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ustralia\Monash\Semester_3\FIT 5147 Data Exploration and Data Visualisation\London\2021\"/>
    </mc:Choice>
  </mc:AlternateContent>
  <xr:revisionPtr revIDLastSave="0" documentId="13_ncr:1_{32EDEDF3-0E7F-424E-9EC0-1BDAED2B37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Borough KWH" sheetId="8" r:id="rId2"/>
    <sheet name="Borough GHG" sheetId="10" r:id="rId3"/>
    <sheet name="Borough Transport" sheetId="11" r:id="rId4"/>
  </sheets>
  <externalReferences>
    <externalReference r:id="rId5"/>
    <externalReference r:id="rId6"/>
    <externalReference r:id="rId7"/>
  </externalReferences>
  <definedNames>
    <definedName name="Borough_KWH">'[1]Emission &amp; Conversion Factors'!$E$123</definedName>
    <definedName name="ConFact_0.001">'[2]Emission &amp; Conversion Factors'!$E$178</definedName>
    <definedName name="EF_CH4_DieselAvBio_Trans_kg_l">'[3]Emission &amp; Conversion Factors'!$G$46</definedName>
    <definedName name="EF_CH4_ElectGen_DCI">'[3]Emission &amp; Conversion Factors'!$G$123</definedName>
    <definedName name="EF_CH4_ElectTDL_DCI">'[3]Emission &amp; Conversion Factors'!$G$124</definedName>
    <definedName name="EF_CH4_GasOil">'[2]Emission &amp; Conversion Factors'!$G$60</definedName>
    <definedName name="EF_CH4_PetrolAvBio_Trans_kg_l">'[3]Emission &amp; Conversion Factors'!$G$70</definedName>
    <definedName name="EF_CO2_ElectGen_DCI">'[3]Emission &amp; Conversion Factors'!$F$123</definedName>
    <definedName name="EF_CO2_ElectTDL_DCI">'[3]Emission &amp; Conversion Factors'!$F$124</definedName>
    <definedName name="EF_CO2_GasOil">'[2]Emission &amp; Conversion Factors'!$F$60</definedName>
    <definedName name="EF_GHG_Coal_DCI">'[3]Emission &amp; Conversion Factors'!$E$109</definedName>
    <definedName name="EF_GHG_ElectGen">'[3]Emission &amp; Conversion Factors'!$E$123</definedName>
    <definedName name="EF_GHG_ElectTD">'[3]Emission &amp; Conversion Factors'!$E$124</definedName>
    <definedName name="EF_GHG_GasOil">'[3]Emission &amp; Conversion Factors'!$E$60</definedName>
    <definedName name="EF_GHG_NatGas_DCI">'[3]Emission &amp; Conversion Factors'!$E$24</definedName>
    <definedName name="EF_GHG_W_R_IC">'[3]Emission &amp; Conversion Factors'!$G$144</definedName>
    <definedName name="EF_N2O_DieselAvBio_Trans_kg_l">'[3]Emission &amp; Conversion Factors'!$H$46</definedName>
    <definedName name="EF_N2O_ElectGen_DCI">'[3]Emission &amp; Conversion Factors'!$H$123</definedName>
    <definedName name="EF_N2O_ElectTDL_DCI">'[3]Emission &amp; Conversion Factors'!$H$124</definedName>
    <definedName name="EF_N2O_GasOil">'[2]Emission &amp; Conversion Factors'!$H$60</definedName>
    <definedName name="EF_N2O_PetrolAvBio_Trans_kg_l">'[3]Emission &amp; Conversion Factors'!$H$70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8" l="1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2" i="8"/>
  <c r="Z34" i="10"/>
  <c r="Z33" i="10"/>
  <c r="Z32" i="10"/>
  <c r="Z31" i="10"/>
  <c r="Z30" i="10"/>
  <c r="Z29" i="10"/>
  <c r="Z28" i="10"/>
  <c r="Z27" i="10"/>
  <c r="Z26" i="10"/>
  <c r="Z25" i="10"/>
  <c r="AE25" i="10"/>
  <c r="AG25" i="10" s="1"/>
  <c r="Z24" i="10"/>
  <c r="Z23" i="10"/>
  <c r="AE23" i="10"/>
  <c r="AG23" i="10" s="1"/>
  <c r="Z22" i="10"/>
  <c r="Z21" i="10"/>
  <c r="AE21" i="10" s="1"/>
  <c r="AG21" i="10" s="1"/>
  <c r="Z20" i="10"/>
  <c r="Z19" i="10"/>
  <c r="AE19" i="10" s="1"/>
  <c r="AG19" i="10" s="1"/>
  <c r="Z18" i="10"/>
  <c r="Z17" i="10"/>
  <c r="Z16" i="10"/>
  <c r="Z15" i="10"/>
  <c r="Z14" i="10"/>
  <c r="Z13" i="10"/>
  <c r="Z12" i="10"/>
  <c r="Z11" i="10"/>
  <c r="Z10" i="10"/>
  <c r="Z9" i="10"/>
  <c r="AE9" i="10" s="1"/>
  <c r="AG9" i="10" s="1"/>
  <c r="Z8" i="10"/>
  <c r="AE8" i="10" s="1"/>
  <c r="AG8" i="10" s="1"/>
  <c r="Z7" i="10"/>
  <c r="Z6" i="10"/>
  <c r="Z5" i="10"/>
  <c r="Z4" i="10"/>
  <c r="Z3" i="10"/>
  <c r="AE3" i="10"/>
  <c r="AG3" i="10" s="1"/>
  <c r="AE5" i="10" l="1"/>
  <c r="AG5" i="10" s="1"/>
  <c r="AE11" i="10"/>
  <c r="AG11" i="10" s="1"/>
  <c r="AE26" i="10"/>
  <c r="AG26" i="10" s="1"/>
  <c r="AE24" i="10"/>
  <c r="AG24" i="10" s="1"/>
  <c r="AE4" i="10"/>
  <c r="AG4" i="10" s="1"/>
  <c r="AE6" i="10"/>
  <c r="AG6" i="10" s="1"/>
  <c r="AE10" i="10"/>
  <c r="AG10" i="10" s="1"/>
  <c r="AE12" i="10"/>
  <c r="AG12" i="10" s="1"/>
  <c r="AE30" i="10"/>
  <c r="AG30" i="10" s="1"/>
  <c r="AE7" i="10"/>
  <c r="AG7" i="10" s="1"/>
  <c r="AE18" i="10"/>
  <c r="AG18" i="10" s="1"/>
  <c r="AE27" i="10"/>
  <c r="AG27" i="10" s="1"/>
  <c r="AE31" i="10"/>
  <c r="AG31" i="10" s="1"/>
  <c r="AE13" i="10"/>
  <c r="AG13" i="10" s="1"/>
  <c r="AE20" i="10"/>
  <c r="AG20" i="10" s="1"/>
  <c r="AE22" i="10"/>
  <c r="AG22" i="10" s="1"/>
  <c r="AE28" i="10"/>
  <c r="AG28" i="10" s="1"/>
  <c r="AE32" i="10"/>
  <c r="AG32" i="10" s="1"/>
  <c r="AE15" i="10"/>
  <c r="AG15" i="10" s="1"/>
  <c r="AE33" i="10"/>
  <c r="AG33" i="10" s="1"/>
  <c r="AE14" i="10"/>
  <c r="AG14" i="10" s="1"/>
  <c r="AE17" i="10"/>
  <c r="AG17" i="10" s="1"/>
  <c r="AE34" i="10"/>
  <c r="AG34" i="10" s="1"/>
  <c r="Z2" i="10"/>
  <c r="AE2" i="10" l="1"/>
  <c r="AG2" i="10" s="1"/>
  <c r="AE29" i="10"/>
  <c r="AG29" i="10" s="1"/>
  <c r="AE16" i="10"/>
  <c r="AG16" i="10" s="1"/>
</calcChain>
</file>

<file path=xl/sharedStrings.xml><?xml version="1.0" encoding="utf-8"?>
<sst xmlns="http://schemas.openxmlformats.org/spreadsheetml/2006/main" count="200" uniqueCount="100">
  <si>
    <t>Electricity</t>
  </si>
  <si>
    <t>Gas</t>
  </si>
  <si>
    <t>Coal</t>
  </si>
  <si>
    <t>Oil</t>
  </si>
  <si>
    <t>Bioenergy and waste*</t>
  </si>
  <si>
    <t>Total</t>
  </si>
  <si>
    <t>Electricity w/o transport</t>
  </si>
  <si>
    <t>Aviation</t>
  </si>
  <si>
    <t>Shipping</t>
  </si>
  <si>
    <t>Railways_Diesel</t>
  </si>
  <si>
    <t>Railways_Electric</t>
  </si>
  <si>
    <t>Road Transport - fossil fuels</t>
  </si>
  <si>
    <t>Road Transport - electric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</si>
  <si>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</si>
  <si>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</si>
  <si>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</si>
  <si>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</si>
  <si>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</si>
  <si>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</si>
  <si>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</si>
  <si>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</si>
  <si>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</si>
  <si>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</si>
  <si>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</si>
  <si>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</si>
  <si>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</si>
  <si>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</si>
  <si>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</si>
  <si>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</si>
  <si>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</si>
  <si>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</si>
  <si>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</si>
  <si>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</si>
  <si>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</si>
  <si>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</si>
  <si>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</si>
  <si>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</si>
  <si>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</si>
  <si>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</si>
  <si>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</si>
  <si>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</si>
  <si>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</t>
  </si>
  <si>
    <t>Wandsworth</t>
  </si>
  <si>
    <t>Westminster</t>
  </si>
  <si>
    <t>Electricity w/o rail &amp; RT</t>
  </si>
  <si>
    <t>Railways diesel</t>
  </si>
  <si>
    <t>Railways electric</t>
  </si>
  <si>
    <t>Road transport - fossil fuels</t>
  </si>
  <si>
    <t>Road transport - electric</t>
  </si>
  <si>
    <t xml:space="preserve">Manufacturing industries </t>
  </si>
  <si>
    <t xml:space="preserve"> Construction</t>
  </si>
  <si>
    <t>Ground activities - aviation</t>
  </si>
  <si>
    <t>Diesel</t>
  </si>
  <si>
    <t>Electric</t>
  </si>
  <si>
    <t xml:space="preserve">Manufacturing Industries </t>
  </si>
  <si>
    <t>Construction</t>
  </si>
  <si>
    <t>UKI2101</t>
  </si>
  <si>
    <t>UKI2301</t>
  </si>
  <si>
    <t>UKI2102</t>
  </si>
  <si>
    <t>UKI2302</t>
  </si>
  <si>
    <t>UKI2201</t>
  </si>
  <si>
    <t>UKI1102</t>
  </si>
  <si>
    <t>UKI1101</t>
  </si>
  <si>
    <t>UKI2202</t>
  </si>
  <si>
    <t>UKI2303</t>
  </si>
  <si>
    <t>UKI2103</t>
  </si>
  <si>
    <t>UKI2104</t>
  </si>
  <si>
    <t>UKI1201</t>
  </si>
  <si>
    <t>UKI1103</t>
  </si>
  <si>
    <t>UKI1202</t>
  </si>
  <si>
    <t>UKI2304</t>
  </si>
  <si>
    <t>UKI2105</t>
  </si>
  <si>
    <t>UKI2305</t>
  </si>
  <si>
    <t>UKI2306</t>
  </si>
  <si>
    <t>UKI1203</t>
  </si>
  <si>
    <t>UKI1104</t>
  </si>
  <si>
    <t>Kingston upon Thames</t>
  </si>
  <si>
    <t>UKI2203</t>
  </si>
  <si>
    <t>UKI1204</t>
  </si>
  <si>
    <t>UKI1205</t>
  </si>
  <si>
    <t>UKI2204</t>
  </si>
  <si>
    <t>UKI1206</t>
  </si>
  <si>
    <t>UKI2106</t>
  </si>
  <si>
    <t>UKI2307</t>
  </si>
  <si>
    <t>UKI1207</t>
  </si>
  <si>
    <t>UKI2205</t>
  </si>
  <si>
    <t>UKI1208</t>
  </si>
  <si>
    <t>UKI2107</t>
  </si>
  <si>
    <t>UKI1105</t>
  </si>
  <si>
    <t>UKI1106</t>
  </si>
  <si>
    <t>(CO2e)</t>
  </si>
  <si>
    <r>
      <t>Diesel (CO</t>
    </r>
    <r>
      <rPr>
        <b/>
        <vertAlign val="subscript"/>
        <sz val="10"/>
        <color indexed="9"/>
        <rFont val="Calibri"/>
        <family val="2"/>
      </rPr>
      <t>2</t>
    </r>
    <r>
      <rPr>
        <b/>
        <sz val="10"/>
        <color indexed="9"/>
        <rFont val="Calibri"/>
        <family val="2"/>
      </rPr>
      <t>e)</t>
    </r>
  </si>
  <si>
    <r>
      <t>Electric (CO</t>
    </r>
    <r>
      <rPr>
        <b/>
        <vertAlign val="subscript"/>
        <sz val="10"/>
        <color indexed="9"/>
        <rFont val="Calibri"/>
        <family val="2"/>
      </rPr>
      <t>2</t>
    </r>
    <r>
      <rPr>
        <b/>
        <sz val="10"/>
        <color indexed="9"/>
        <rFont val="Calibri"/>
        <family val="2"/>
      </rPr>
      <t>e)</t>
    </r>
  </si>
  <si>
    <r>
      <t>(CO</t>
    </r>
    <r>
      <rPr>
        <b/>
        <vertAlign val="subscript"/>
        <sz val="10"/>
        <color indexed="9"/>
        <rFont val="Calibri"/>
        <family val="2"/>
      </rPr>
      <t>2</t>
    </r>
    <r>
      <rPr>
        <b/>
        <sz val="10"/>
        <color indexed="9"/>
        <rFont val="Calibri"/>
        <family val="2"/>
      </rPr>
      <t>e)</t>
    </r>
  </si>
  <si>
    <t>Population 
2021 Census</t>
  </si>
  <si>
    <t>GHG emission Per capita (tCO2)</t>
  </si>
  <si>
    <t>Transport consumption Per capita (KWH)</t>
  </si>
  <si>
    <t>Borough</t>
  </si>
  <si>
    <t>Richmond upon Thames</t>
  </si>
  <si>
    <t>Energy consumption
 Per capita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</si>
</sst>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#,##0.0_ ;\-#,##0.0\ "/>
    <numFmt numFmtId="166" formatCode="0.0000"/>
    <numFmt numFmtId="167" formatCode="#,##0_ ;\-#,##0\ "/>
    <numFmt numFmtId="168" formatCode="0.0"/>
    <numFmt numFmtId="169" formatCode="#,##0.00_ ;\-#,##0.00\ "/>
    <numFmt numFmtId="170" formatCode="0.000"/>
    <numFmt numFmtId="171" formatCode="_(* #,##0_);_(* \(#,##0\);_(* &quot;-&quot;??_);_(@_)"/>
    <numFmt numFmtId="172" formatCode="_-* #,##0_-;\-* #,##0_-;_-* &quot;-&quot;??_-;_-@_-"/>
    <numFmt numFmtId="173" formatCode="0.0%"/>
    <numFmt numFmtId="174" formatCode="#,##0.0"/>
    <numFmt numFmtId="175" formatCode="0.00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9"/>
      <name val="Calibri"/>
      <family val="2"/>
    </font>
    <font>
      <sz val="12"/>
      <name val="Arial"/>
      <family val="2"/>
    </font>
    <font>
      <sz val="10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vertAlign val="subscript"/>
      <sz val="10"/>
      <color indexed="9"/>
      <name val="Calibri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4" tint="0.79998168889431442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9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15" fillId="0" borderId="0"/>
    <xf numFmtId="164" fontId="4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96">
    <xf numFmtId="0" fontId="0" fillId="0" borderId="0" xfId="0"/>
    <xf numFmtId="0" fontId="4" fillId="2" borderId="0" xfId="3" applyFill="1"/>
    <xf numFmtId="0" fontId="4" fillId="2" borderId="0" xfId="3" applyFill="1" applyAlignment="1">
      <alignment horizontal="left" vertical="center"/>
    </xf>
    <xf numFmtId="3" fontId="9" fillId="2" borderId="0" xfId="3" applyNumberFormat="1" applyFont="1" applyFill="1" applyAlignment="1">
      <alignment horizontal="center"/>
    </xf>
    <xf numFmtId="3" fontId="8" fillId="2" borderId="0" xfId="3" applyNumberFormat="1" applyFont="1" applyFill="1" applyAlignment="1">
      <alignment horizontal="center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11" fillId="2" borderId="0" xfId="0" applyFont="1" applyFill="1"/>
    <xf numFmtId="0" fontId="0" fillId="2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left"/>
      <protection locked="0"/>
    </xf>
    <xf numFmtId="0" fontId="0" fillId="2" borderId="0" xfId="0" applyFill="1" applyAlignment="1" applyProtection="1">
      <alignment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13" fillId="2" borderId="0" xfId="0" applyFont="1" applyFill="1" applyAlignment="1" applyProtection="1">
      <alignment wrapText="1"/>
      <protection locked="0"/>
    </xf>
    <xf numFmtId="0" fontId="3" fillId="2" borderId="0" xfId="0" applyFont="1" applyFill="1" applyProtection="1">
      <protection locked="0"/>
    </xf>
    <xf numFmtId="0" fontId="12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left" vertical="center" wrapText="1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14" fontId="0" fillId="2" borderId="0" xfId="0" applyNumberFormat="1" applyFill="1" applyAlignment="1" applyProtection="1">
      <alignment horizontal="left" vertical="top"/>
      <protection locked="0"/>
    </xf>
    <xf numFmtId="0" fontId="0" fillId="2" borderId="0" xfId="0" applyFill="1"/>
    <xf numFmtId="3" fontId="9" fillId="2" borderId="2" xfId="3" applyNumberFormat="1" applyFont="1" applyFill="1" applyBorder="1" applyAlignment="1">
      <alignment horizontal="center"/>
    </xf>
    <xf numFmtId="1" fontId="9" fillId="2" borderId="0" xfId="3" applyNumberFormat="1" applyFont="1" applyFill="1" applyAlignment="1">
      <alignment horizontal="center"/>
    </xf>
    <xf numFmtId="165" fontId="9" fillId="2" borderId="0" xfId="1" applyNumberFormat="1" applyFont="1" applyFill="1" applyBorder="1" applyAlignment="1">
      <alignment horizontal="center"/>
    </xf>
    <xf numFmtId="0" fontId="3" fillId="2" borderId="0" xfId="0" applyFont="1" applyFill="1"/>
    <xf numFmtId="168" fontId="16" fillId="2" borderId="0" xfId="5" applyNumberFormat="1" applyFont="1" applyFill="1"/>
    <xf numFmtId="168" fontId="10" fillId="2" borderId="0" xfId="5" applyNumberFormat="1" applyFont="1" applyFill="1"/>
    <xf numFmtId="0" fontId="18" fillId="3" borderId="7" xfId="0" applyFont="1" applyFill="1" applyBorder="1" applyAlignment="1">
      <alignment vertical="top" wrapText="1"/>
    </xf>
    <xf numFmtId="168" fontId="18" fillId="3" borderId="6" xfId="5" applyNumberFormat="1" applyFont="1" applyFill="1" applyBorder="1" applyAlignment="1">
      <alignment horizontal="center"/>
    </xf>
    <xf numFmtId="168" fontId="18" fillId="3" borderId="7" xfId="5" applyNumberFormat="1" applyFont="1" applyFill="1" applyBorder="1" applyAlignment="1">
      <alignment horizontal="center"/>
    </xf>
    <xf numFmtId="168" fontId="18" fillId="3" borderId="8" xfId="5" applyNumberFormat="1" applyFont="1" applyFill="1" applyBorder="1" applyAlignment="1">
      <alignment horizontal="center"/>
    </xf>
    <xf numFmtId="168" fontId="18" fillId="3" borderId="9" xfId="5" applyNumberFormat="1" applyFont="1" applyFill="1" applyBorder="1" applyAlignment="1">
      <alignment horizontal="center"/>
    </xf>
    <xf numFmtId="2" fontId="10" fillId="2" borderId="0" xfId="5" applyNumberFormat="1" applyFont="1" applyFill="1" applyAlignment="1">
      <alignment horizontal="center"/>
    </xf>
    <xf numFmtId="0" fontId="10" fillId="4" borderId="10" xfId="6" applyFont="1" applyFill="1" applyBorder="1"/>
    <xf numFmtId="167" fontId="10" fillId="2" borderId="10" xfId="1" applyNumberFormat="1" applyFont="1" applyFill="1" applyBorder="1" applyAlignment="1">
      <alignment horizontal="center"/>
    </xf>
    <xf numFmtId="167" fontId="10" fillId="2" borderId="11" xfId="1" applyNumberFormat="1" applyFont="1" applyFill="1" applyBorder="1" applyAlignment="1">
      <alignment horizontal="center"/>
    </xf>
    <xf numFmtId="167" fontId="10" fillId="2" borderId="4" xfId="1" applyNumberFormat="1" applyFont="1" applyFill="1" applyBorder="1" applyAlignment="1">
      <alignment horizontal="center"/>
    </xf>
    <xf numFmtId="167" fontId="10" fillId="2" borderId="0" xfId="1" applyNumberFormat="1" applyFont="1" applyFill="1" applyBorder="1" applyAlignment="1">
      <alignment horizontal="center"/>
    </xf>
    <xf numFmtId="167" fontId="10" fillId="2" borderId="3" xfId="1" applyNumberFormat="1" applyFont="1" applyFill="1" applyBorder="1" applyAlignment="1">
      <alignment horizontal="center"/>
    </xf>
    <xf numFmtId="169" fontId="10" fillId="2" borderId="4" xfId="1" applyNumberFormat="1" applyFont="1" applyFill="1" applyBorder="1" applyAlignment="1">
      <alignment horizontal="center"/>
    </xf>
    <xf numFmtId="167" fontId="10" fillId="2" borderId="12" xfId="1" applyNumberFormat="1" applyFont="1" applyFill="1" applyBorder="1" applyAlignment="1">
      <alignment horizontal="center"/>
    </xf>
    <xf numFmtId="168" fontId="10" fillId="2" borderId="0" xfId="5" applyNumberFormat="1" applyFont="1" applyFill="1" applyAlignment="1">
      <alignment horizontal="center"/>
    </xf>
    <xf numFmtId="167" fontId="10" fillId="2" borderId="5" xfId="1" applyNumberFormat="1" applyFont="1" applyFill="1" applyBorder="1" applyAlignment="1">
      <alignment horizontal="center"/>
    </xf>
    <xf numFmtId="171" fontId="10" fillId="2" borderId="0" xfId="1" applyNumberFormat="1" applyFont="1" applyFill="1"/>
    <xf numFmtId="168" fontId="18" fillId="3" borderId="13" xfId="5" applyNumberFormat="1" applyFont="1" applyFill="1" applyBorder="1" applyAlignment="1">
      <alignment horizontal="center"/>
    </xf>
    <xf numFmtId="168" fontId="10" fillId="2" borderId="0" xfId="5" applyNumberFormat="1" applyFont="1" applyFill="1" applyAlignment="1">
      <alignment horizontal="right"/>
    </xf>
    <xf numFmtId="9" fontId="16" fillId="2" borderId="0" xfId="2" applyFont="1" applyFill="1"/>
    <xf numFmtId="0" fontId="10" fillId="2" borderId="0" xfId="6" applyFont="1" applyFill="1"/>
    <xf numFmtId="174" fontId="10" fillId="2" borderId="0" xfId="5" applyNumberFormat="1" applyFont="1" applyFill="1" applyAlignment="1">
      <alignment horizontal="center"/>
    </xf>
    <xf numFmtId="10" fontId="10" fillId="2" borderId="0" xfId="2" applyNumberFormat="1" applyFont="1" applyFill="1"/>
    <xf numFmtId="175" fontId="10" fillId="2" borderId="0" xfId="2" applyNumberFormat="1" applyFont="1" applyFill="1" applyAlignment="1">
      <alignment horizontal="right"/>
    </xf>
    <xf numFmtId="168" fontId="10" fillId="2" borderId="0" xfId="5" applyNumberFormat="1" applyFont="1" applyFill="1" applyAlignment="1">
      <alignment horizontal="left"/>
    </xf>
    <xf numFmtId="173" fontId="10" fillId="2" borderId="0" xfId="2" applyNumberFormat="1" applyFont="1" applyFill="1"/>
    <xf numFmtId="171" fontId="16" fillId="2" borderId="0" xfId="1" applyNumberFormat="1" applyFont="1" applyFill="1"/>
    <xf numFmtId="166" fontId="10" fillId="2" borderId="0" xfId="5" applyNumberFormat="1" applyFont="1" applyFill="1"/>
    <xf numFmtId="0" fontId="13" fillId="2" borderId="0" xfId="0" applyFont="1" applyFill="1"/>
    <xf numFmtId="167" fontId="0" fillId="0" borderId="0" xfId="0" applyNumberFormat="1"/>
    <xf numFmtId="0" fontId="18" fillId="3" borderId="7" xfId="0" applyFont="1" applyFill="1" applyBorder="1" applyAlignment="1">
      <alignment horizontal="center" wrapText="1"/>
    </xf>
    <xf numFmtId="0" fontId="7" fillId="4" borderId="14" xfId="3" applyFont="1" applyFill="1" applyBorder="1"/>
    <xf numFmtId="3" fontId="9" fillId="4" borderId="16" xfId="3" applyNumberFormat="1" applyFont="1" applyFill="1" applyBorder="1" applyAlignment="1">
      <alignment horizontal="center"/>
    </xf>
    <xf numFmtId="1" fontId="9" fillId="5" borderId="16" xfId="3" applyNumberFormat="1" applyFont="1" applyFill="1" applyBorder="1" applyAlignment="1">
      <alignment horizontal="center"/>
    </xf>
    <xf numFmtId="43" fontId="4" fillId="5" borderId="16" xfId="1" applyFont="1" applyFill="1" applyBorder="1"/>
    <xf numFmtId="3" fontId="7" fillId="4" borderId="16" xfId="3" applyNumberFormat="1" applyFont="1" applyFill="1" applyBorder="1" applyAlignment="1">
      <alignment horizontal="center"/>
    </xf>
    <xf numFmtId="0" fontId="10" fillId="4" borderId="16" xfId="6" applyFont="1" applyFill="1" applyBorder="1" applyAlignment="1">
      <alignment horizontal="center"/>
    </xf>
    <xf numFmtId="167" fontId="10" fillId="2" borderId="16" xfId="1" applyNumberFormat="1" applyFont="1" applyFill="1" applyBorder="1" applyAlignment="1">
      <alignment horizontal="center"/>
    </xf>
    <xf numFmtId="167" fontId="10" fillId="2" borderId="14" xfId="1" applyNumberFormat="1" applyFont="1" applyFill="1" applyBorder="1" applyAlignment="1">
      <alignment horizontal="center"/>
    </xf>
    <xf numFmtId="169" fontId="10" fillId="2" borderId="16" xfId="1" applyNumberFormat="1" applyFont="1" applyFill="1" applyBorder="1" applyAlignment="1">
      <alignment horizontal="center"/>
    </xf>
    <xf numFmtId="168" fontId="10" fillId="0" borderId="0" xfId="5" applyNumberFormat="1" applyFont="1" applyAlignment="1">
      <alignment horizontal="center"/>
    </xf>
    <xf numFmtId="0" fontId="13" fillId="2" borderId="0" xfId="0" applyFont="1" applyFill="1" applyAlignment="1">
      <alignment vertical="top"/>
    </xf>
    <xf numFmtId="43" fontId="13" fillId="2" borderId="0" xfId="1" applyFont="1" applyFill="1" applyBorder="1" applyAlignment="1">
      <alignment vertical="top"/>
    </xf>
    <xf numFmtId="43" fontId="10" fillId="2" borderId="0" xfId="1" applyFont="1" applyFill="1" applyBorder="1" applyAlignment="1">
      <alignment horizontal="center"/>
    </xf>
    <xf numFmtId="0" fontId="20" fillId="6" borderId="0" xfId="0" applyFont="1" applyFill="1"/>
    <xf numFmtId="172" fontId="0" fillId="2" borderId="0" xfId="0" applyNumberFormat="1" applyFill="1"/>
    <xf numFmtId="0" fontId="0" fillId="2" borderId="0" xfId="0" applyFill="1" applyAlignment="1">
      <alignment horizontal="left" indent="2"/>
    </xf>
    <xf numFmtId="0" fontId="5" fillId="3" borderId="19" xfId="3" applyFont="1" applyFill="1" applyBorder="1" applyAlignment="1">
      <alignment horizontal="center" vertical="center" wrapText="1"/>
    </xf>
    <xf numFmtId="0" fontId="5" fillId="3" borderId="20" xfId="3" applyFont="1" applyFill="1" applyBorder="1" applyAlignment="1">
      <alignment horizontal="center" vertical="center" wrapText="1"/>
    </xf>
    <xf numFmtId="0" fontId="6" fillId="3" borderId="19" xfId="3" applyFont="1" applyFill="1" applyBorder="1" applyAlignment="1">
      <alignment horizontal="center" vertical="center" wrapText="1"/>
    </xf>
    <xf numFmtId="3" fontId="9" fillId="5" borderId="16" xfId="3" applyNumberFormat="1" applyFont="1" applyFill="1" applyBorder="1" applyAlignment="1">
      <alignment horizontal="center"/>
    </xf>
    <xf numFmtId="9" fontId="4" fillId="2" borderId="0" xfId="2" applyFont="1" applyFill="1"/>
    <xf numFmtId="0" fontId="5" fillId="3" borderId="22" xfId="3" applyFont="1" applyFill="1" applyBorder="1" applyAlignment="1">
      <alignment horizontal="center" vertical="center" wrapText="1"/>
    </xf>
    <xf numFmtId="0" fontId="5" fillId="3" borderId="23" xfId="3" applyFont="1" applyFill="1" applyBorder="1" applyAlignment="1">
      <alignment horizontal="center" vertical="center" wrapText="1"/>
    </xf>
    <xf numFmtId="0" fontId="6" fillId="3" borderId="23" xfId="3" applyFont="1" applyFill="1" applyBorder="1" applyAlignment="1">
      <alignment horizontal="center" vertical="center" wrapText="1"/>
    </xf>
    <xf numFmtId="0" fontId="14" fillId="3" borderId="22" xfId="3" applyFont="1" applyFill="1" applyBorder="1" applyAlignment="1">
      <alignment horizontal="center" vertical="center" wrapText="1"/>
    </xf>
    <xf numFmtId="1" fontId="9" fillId="5" borderId="24" xfId="3" applyNumberFormat="1" applyFont="1" applyFill="1" applyBorder="1" applyAlignment="1">
      <alignment horizontal="center"/>
    </xf>
    <xf numFmtId="43" fontId="4" fillId="5" borderId="24" xfId="1" applyFont="1" applyFill="1" applyBorder="1"/>
    <xf numFmtId="0" fontId="5" fillId="3" borderId="21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8" fillId="3" borderId="6" xfId="0" applyFont="1" applyFill="1" applyBorder="1" applyAlignment="1">
      <alignment horizontal="center" vertical="top" wrapText="1"/>
    </xf>
    <xf numFmtId="3" fontId="23" fillId="2" borderId="1" xfId="0" applyNumberFormat="1" applyFont="1" applyFill="1" applyBorder="1" applyAlignment="1">
      <alignment horizontal="right"/>
    </xf>
    <xf numFmtId="170" fontId="24" fillId="2" borderId="1" xfId="5" applyNumberFormat="1" applyFont="1" applyFill="1" applyBorder="1" applyAlignment="1">
      <alignment horizontal="center"/>
    </xf>
    <xf numFmtId="0" fontId="5" fillId="3" borderId="15" xfId="3" applyFont="1" applyFill="1" applyBorder="1" applyAlignment="1">
      <alignment horizontal="center"/>
    </xf>
    <xf numFmtId="168" fontId="17" fillId="2" borderId="1" xfId="5" applyNumberFormat="1" applyFont="1" applyFill="1" applyBorder="1" applyAlignment="1">
      <alignment wrapText="1"/>
    </xf>
    <xf numFmtId="0" fontId="5" fillId="3" borderId="26" xfId="3" applyFont="1" applyFill="1" applyBorder="1" applyAlignment="1">
      <alignment horizontal="center" wrapText="1"/>
    </xf>
    <xf numFmtId="168" fontId="22" fillId="2" borderId="0" xfId="8" applyNumberFormat="1" applyFont="1" applyFill="1" applyBorder="1" applyAlignment="1" applyProtection="1">
      <alignment horizontal="left" vertical="top" wrapText="1"/>
    </xf>
    <xf numFmtId="168" fontId="10" fillId="2" borderId="0" xfId="5" applyNumberFormat="1" applyFont="1" applyFill="1" applyAlignment="1">
      <alignment horizontal="left" vertical="top" wrapText="1"/>
    </xf>
    <xf numFmtId="0" fontId="0" fillId="0" borderId="27" xfId="0" applyBorder="1" applyAlignment="1">
      <alignment wrapText="1"/>
    </xf>
  </cellXfs>
  <cellStyles count="9">
    <cellStyle name="Comma" xfId="1" builtinId="3"/>
    <cellStyle name="Comma 5" xfId="7" xr:uid="{7D4E77AC-5CD2-4FDA-83C0-75CCAF1E319E}"/>
    <cellStyle name="Hyperlink" xfId="8" builtinId="8"/>
    <cellStyle name="Normal" xfId="0" builtinId="0"/>
    <cellStyle name="Normal 2" xfId="4" xr:uid="{C8869F24-C974-4D42-81ED-A0A9E173FA97}"/>
    <cellStyle name="Normal 3" xfId="6" xr:uid="{40DBB2D3-7AB9-48DF-B280-86A3D698A65F}"/>
    <cellStyle name="Normal 5" xfId="3" xr:uid="{C36F81C2-A956-4BE0-95D1-2C0C8B1266A0}"/>
    <cellStyle name="Normal 6" xfId="5" xr:uid="{EB75A5D4-1CEB-43C0-B540-727D57CFE041}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/LEGGI%202022_v3.xlsx" TargetMode="External"/><Relationship Id="rId2" Type="http://schemas.openxmlformats.org/officeDocument/2006/relationships/externalLinkPath" Target="file:///D:\Australia\Monash\Semester_3\FIT%205147%20Data%20Exploration%20and%20Data%20Visualisation\London\2022\LEGGI%202022_v3.xlsx" TargetMode="External"/><Relationship Id="rId1" Type="http://schemas.openxmlformats.org/officeDocument/2006/relationships/externalLinkPath" Target="/Australia/Monash/Semester_3/FIT%205147%20Data%20Exploration%20and%20Data%20Visualisation/London/2022/LEGGI%202022_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ustralia\Monash\Semester_3\FIT%205147%20Data%20Exploration%20and%20Data%20Visualisation\London\2021\LEGGI%202021.xlsx" TargetMode="External"/><Relationship Id="rId1" Type="http://schemas.openxmlformats.org/officeDocument/2006/relationships/externalLinkPath" Target="LEGGI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/LEGGI%202023.xlsx" TargetMode="External"/><Relationship Id="rId2" Type="http://schemas.openxmlformats.org/officeDocument/2006/relationships/externalLinkPath" Target="file:///D:\Australia\Monash\Semester_3\FIT%205147%20Data%20Exploration%20and%20Data%20Visualisation\London\2023\LEGGI%202023.xlsx" TargetMode="External"/><Relationship Id="rId1" Type="http://schemas.openxmlformats.org/officeDocument/2006/relationships/externalLinkPath" Target="/Australia/Monash/Semester_3/FIT%205147%20Data%20Exploration%20and%20Data%20Visualisation/London/2023/LEGGI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 LEGGI"/>
      <sheetName val="Summary"/>
      <sheetName val="Borough kWh"/>
      <sheetName val="Borough GHG"/>
      <sheetName val="Charts"/>
      <sheetName val="I. Energy - Stationary"/>
      <sheetName val="II. Transport "/>
      <sheetName val="III. Waste"/>
      <sheetName val="IV. IPPU"/>
      <sheetName val="V. AFOLU"/>
      <sheetName val="V.Other"/>
      <sheetName val="Lookups"/>
      <sheetName val="Emission &amp; Conversion Factors"/>
      <sheetName val="Data sources and methods"/>
    </sheetNames>
    <sheetDataSet>
      <sheetData sheetId="0"/>
      <sheetData sheetId="1"/>
      <sheetData sheetId="2">
        <row r="10">
          <cell r="C10">
            <v>234504494.46899879</v>
          </cell>
        </row>
      </sheetData>
      <sheetData sheetId="3"/>
      <sheetData sheetId="4"/>
      <sheetData sheetId="5">
        <row r="9">
          <cell r="F9">
            <v>234504494.46899879</v>
          </cell>
        </row>
      </sheetData>
      <sheetData sheetId="6">
        <row r="9">
          <cell r="E9">
            <v>2637.9716502360866</v>
          </cell>
        </row>
      </sheetData>
      <sheetData sheetId="7">
        <row r="10">
          <cell r="L10">
            <v>43172</v>
          </cell>
        </row>
      </sheetData>
      <sheetData sheetId="8">
        <row r="65">
          <cell r="R65">
            <v>1561118.3843075738</v>
          </cell>
        </row>
      </sheetData>
      <sheetData sheetId="9">
        <row r="8">
          <cell r="H8">
            <v>2592.7493801043752</v>
          </cell>
        </row>
      </sheetData>
      <sheetData sheetId="10"/>
      <sheetData sheetId="11"/>
      <sheetData sheetId="12">
        <row r="123">
          <cell r="E123">
            <v>0.20705000000000001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 LEGGI"/>
      <sheetName val="Summary"/>
      <sheetName val="Borough kWh"/>
      <sheetName val="Borough GHG"/>
      <sheetName val="Charts"/>
      <sheetName val="I. Energy - Stationary"/>
      <sheetName val="II. Transport "/>
      <sheetName val="III. Waste"/>
      <sheetName val="IV. IPPU"/>
      <sheetName val="V. AFOLU"/>
      <sheetName val="V.Other"/>
      <sheetName val="Lookups"/>
      <sheetName val="Emission &amp; Conversion Factors"/>
      <sheetName val="Data sources and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0">
          <cell r="F60">
            <v>0.25358999999999998</v>
          </cell>
          <cell r="G60">
            <v>2.9119999999999998E-4</v>
          </cell>
          <cell r="H60">
            <v>2.6144295302013422E-3</v>
          </cell>
        </row>
        <row r="178">
          <cell r="E178">
            <v>1E-3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 LEGGI"/>
      <sheetName val="Summary"/>
      <sheetName val="Borough kWh"/>
      <sheetName val="Borough GHG"/>
      <sheetName val="Charts"/>
      <sheetName val="I. Energy - Stationary"/>
      <sheetName val="II. Transport "/>
      <sheetName val="III. Waste"/>
      <sheetName val="IV. IPPU"/>
      <sheetName val="V. AFOLU"/>
      <sheetName val="Emission &amp; Conversion Factors"/>
      <sheetName val="Data sources and methods"/>
    </sheetNames>
    <sheetDataSet>
      <sheetData sheetId="0"/>
      <sheetData sheetId="1"/>
      <sheetData sheetId="2">
        <row r="10">
          <cell r="C10">
            <v>243158673.0610007</v>
          </cell>
        </row>
      </sheetData>
      <sheetData sheetId="3"/>
      <sheetData sheetId="4"/>
      <sheetData sheetId="5">
        <row r="9">
          <cell r="F9">
            <v>243158673.0610007</v>
          </cell>
        </row>
      </sheetData>
      <sheetData sheetId="6">
        <row r="9">
          <cell r="E9">
            <v>2637.166702259924</v>
          </cell>
        </row>
      </sheetData>
      <sheetData sheetId="7">
        <row r="10">
          <cell r="L10">
            <v>41713</v>
          </cell>
        </row>
      </sheetData>
      <sheetData sheetId="8">
        <row r="65">
          <cell r="R65">
            <v>1010103.6196923096</v>
          </cell>
        </row>
      </sheetData>
      <sheetData sheetId="9">
        <row r="9">
          <cell r="H9">
            <v>2592.7493801043752</v>
          </cell>
        </row>
      </sheetData>
      <sheetData sheetId="10">
        <row r="24">
          <cell r="E24">
            <v>0.18296000000000001</v>
          </cell>
        </row>
        <row r="46">
          <cell r="G46">
            <v>2.9E-4</v>
          </cell>
          <cell r="H46">
            <v>3.2899999999999999E-2</v>
          </cell>
        </row>
        <row r="60">
          <cell r="E60">
            <v>0.25650000000000001</v>
          </cell>
        </row>
        <row r="70">
          <cell r="G70">
            <v>8.0599999999999995E-3</v>
          </cell>
          <cell r="H70">
            <v>5.8700000000000002E-3</v>
          </cell>
        </row>
        <row r="109">
          <cell r="E109">
            <v>0.34721000000000002</v>
          </cell>
        </row>
        <row r="123">
          <cell r="E123">
            <v>0.17701</v>
          </cell>
          <cell r="F123">
            <v>0.17488999999999999</v>
          </cell>
          <cell r="G123">
            <v>8.9999999999999998E-4</v>
          </cell>
          <cell r="H123">
            <v>1.2199999999999999E-3</v>
          </cell>
        </row>
        <row r="124">
          <cell r="E124">
            <v>1.8530000000000001E-2</v>
          </cell>
          <cell r="F124">
            <v>1.8339999999999999E-2</v>
          </cell>
          <cell r="G124">
            <v>8.0000000000000007E-5</v>
          </cell>
          <cell r="H124">
            <v>1.1E-4</v>
          </cell>
        </row>
        <row r="144">
          <cell r="G144">
            <v>0.13871156900024537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K15" sqref="K15"/>
    </sheetView>
  </sheetViews>
  <sheetFormatPr defaultRowHeight="14.4" x14ac:dyDescent="0.3"/>
  <sheetData>
    <row r="1" spans="1:3" ht="18" x14ac:dyDescent="0.35">
      <c r="A1" s="6"/>
      <c r="B1" s="7"/>
      <c r="C1" s="7"/>
    </row>
    <row r="2" spans="1:3" x14ac:dyDescent="0.3">
      <c r="A2" s="8"/>
      <c r="B2" s="7"/>
      <c r="C2" s="7"/>
    </row>
    <row r="3" spans="1:3" x14ac:dyDescent="0.3">
      <c r="A3" s="9"/>
      <c r="B3" s="9"/>
      <c r="C3" s="10"/>
    </row>
    <row r="4" spans="1:3" x14ac:dyDescent="0.3">
      <c r="A4" s="7"/>
      <c r="B4" s="11"/>
      <c r="C4" s="5"/>
    </row>
    <row r="5" spans="1:3" x14ac:dyDescent="0.3">
      <c r="A5" s="7"/>
      <c r="B5" s="11"/>
      <c r="C5" s="5"/>
    </row>
    <row r="6" spans="1:3" x14ac:dyDescent="0.3">
      <c r="A6" s="9"/>
      <c r="B6" s="7"/>
      <c r="C6" s="5"/>
    </row>
    <row r="7" spans="1:3" x14ac:dyDescent="0.3">
      <c r="A7" s="7"/>
      <c r="B7" s="10"/>
      <c r="C7" s="5"/>
    </row>
    <row r="8" spans="1:3" x14ac:dyDescent="0.3">
      <c r="A8" s="7"/>
      <c r="B8" s="10"/>
      <c r="C8" s="5"/>
    </row>
    <row r="9" spans="1:3" x14ac:dyDescent="0.3">
      <c r="A9" s="9"/>
      <c r="B9" s="7"/>
      <c r="C9" s="5"/>
    </row>
    <row r="10" spans="1:3" x14ac:dyDescent="0.3">
      <c r="A10" s="7"/>
      <c r="B10" s="11"/>
      <c r="C10" s="5"/>
    </row>
    <row r="11" spans="1:3" x14ac:dyDescent="0.3">
      <c r="A11" s="9"/>
      <c r="B11" s="7"/>
      <c r="C11" s="7"/>
    </row>
    <row r="12" spans="1:3" x14ac:dyDescent="0.3">
      <c r="A12" s="7"/>
      <c r="B12" s="11"/>
      <c r="C12" s="7"/>
    </row>
    <row r="13" spans="1:3" x14ac:dyDescent="0.3">
      <c r="A13" s="9"/>
      <c r="B13" s="7"/>
      <c r="C13" s="7"/>
    </row>
    <row r="14" spans="1:3" x14ac:dyDescent="0.3">
      <c r="A14" s="7"/>
      <c r="B14" s="12"/>
      <c r="C14" s="7"/>
    </row>
    <row r="15" spans="1:3" x14ac:dyDescent="0.3">
      <c r="A15" s="7"/>
      <c r="B15" s="12"/>
      <c r="C15" s="7"/>
    </row>
    <row r="16" spans="1:3" x14ac:dyDescent="0.3">
      <c r="A16" s="13"/>
      <c r="B16" s="14"/>
      <c r="C16" s="7"/>
    </row>
    <row r="17" spans="1:3" x14ac:dyDescent="0.3">
      <c r="A17" s="7"/>
      <c r="B17" s="12"/>
      <c r="C17" s="14"/>
    </row>
    <row r="18" spans="1:3" x14ac:dyDescent="0.3">
      <c r="A18" s="7"/>
      <c r="B18" s="15"/>
      <c r="C18" s="15"/>
    </row>
    <row r="19" spans="1:3" x14ac:dyDescent="0.3">
      <c r="A19" s="13"/>
      <c r="B19" s="16"/>
      <c r="C19" s="15"/>
    </row>
    <row r="20" spans="1:3" x14ac:dyDescent="0.3">
      <c r="A20" s="17"/>
      <c r="B20" s="10"/>
      <c r="C20" s="15"/>
    </row>
    <row r="21" spans="1:3" x14ac:dyDescent="0.3">
      <c r="A21" s="7"/>
      <c r="B21" s="12"/>
      <c r="C2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F195-CD91-476F-8928-70CDAEBA25FA}">
  <dimension ref="A1:Y35"/>
  <sheetViews>
    <sheetView tabSelected="1" topLeftCell="K1" workbookViewId="0">
      <selection activeCell="Y1" sqref="Y1"/>
    </sheetView>
  </sheetViews>
  <sheetFormatPr defaultRowHeight="14.4" x14ac:dyDescent="0.3"/>
  <cols>
    <col min="2" max="2" width="20.21875" customWidth="1"/>
    <col min="3" max="3" width="15.44140625" customWidth="1"/>
    <col min="4" max="4" width="13.77734375" customWidth="1"/>
    <col min="5" max="5" width="12.44140625" customWidth="1"/>
    <col min="6" max="6" width="11.6640625" customWidth="1"/>
    <col min="7" max="7" width="13" customWidth="1"/>
    <col min="8" max="8" width="13.6640625" customWidth="1"/>
    <col min="9" max="9" width="14.44140625" customWidth="1"/>
    <col min="10" max="10" width="15" customWidth="1"/>
    <col min="11" max="11" width="14.109375" customWidth="1"/>
    <col min="12" max="12" width="12.6640625" customWidth="1"/>
    <col min="13" max="13" width="13.5546875" customWidth="1"/>
    <col min="14" max="14" width="11.77734375" customWidth="1"/>
    <col min="15" max="15" width="14.44140625" customWidth="1"/>
    <col min="16" max="16" width="12.77734375" customWidth="1"/>
    <col min="17" max="17" width="10.21875" customWidth="1"/>
    <col min="18" max="18" width="12.33203125" customWidth="1"/>
    <col min="19" max="19" width="13.21875" customWidth="1"/>
    <col min="20" max="20" width="14.21875" customWidth="1"/>
    <col min="21" max="21" width="12.109375" customWidth="1"/>
    <col min="22" max="22" width="13.21875" customWidth="1"/>
    <col min="23" max="23" width="15.88671875" customWidth="1"/>
    <col min="24" max="24" width="16.109375" customWidth="1"/>
    <col min="25" max="25" width="27.6640625" customWidth="1"/>
  </cols>
  <sheetData>
    <row r="1" spans="1:25" ht="41.4" x14ac:dyDescent="0.3">
      <c r="A1" s="2"/>
      <c r="B1" s="90" t="s">
        <v>97</v>
      </c>
      <c r="C1" s="72" t="s">
        <v>0</v>
      </c>
      <c r="D1" s="72" t="s">
        <v>1</v>
      </c>
      <c r="E1" s="72" t="s">
        <v>2</v>
      </c>
      <c r="F1" s="72" t="s">
        <v>3</v>
      </c>
      <c r="G1" s="72" t="s">
        <v>4</v>
      </c>
      <c r="H1" s="72" t="s">
        <v>5</v>
      </c>
      <c r="I1" s="73" t="s">
        <v>0</v>
      </c>
      <c r="J1" s="73" t="s">
        <v>6</v>
      </c>
      <c r="K1" s="73" t="s">
        <v>1</v>
      </c>
      <c r="L1" s="72" t="s">
        <v>2</v>
      </c>
      <c r="M1" s="72" t="s">
        <v>3</v>
      </c>
      <c r="N1" s="74" t="s">
        <v>4</v>
      </c>
      <c r="O1" s="73" t="s">
        <v>5</v>
      </c>
      <c r="P1" s="73" t="s">
        <v>7</v>
      </c>
      <c r="Q1" s="73" t="s">
        <v>8</v>
      </c>
      <c r="R1" s="73" t="s">
        <v>9</v>
      </c>
      <c r="S1" s="73" t="s">
        <v>10</v>
      </c>
      <c r="T1" s="73" t="s">
        <v>11</v>
      </c>
      <c r="U1" s="73" t="s">
        <v>12</v>
      </c>
      <c r="V1" s="73" t="s">
        <v>5</v>
      </c>
      <c r="W1" s="83"/>
      <c r="X1" s="91" t="s">
        <v>94</v>
      </c>
      <c r="Y1" s="95" t="s">
        <v>99</v>
      </c>
    </row>
    <row r="2" spans="1:25" ht="15.6" x14ac:dyDescent="0.3">
      <c r="A2" s="1"/>
      <c r="B2" s="56" t="s">
        <v>13</v>
      </c>
      <c r="C2" s="19">
        <v>248247678.47354472</v>
      </c>
      <c r="D2" s="3">
        <v>772330505.37109315</v>
      </c>
      <c r="E2" s="3">
        <v>1685286.40627861</v>
      </c>
      <c r="F2" s="3">
        <v>2564435.3607296906</v>
      </c>
      <c r="G2" s="3">
        <v>4180852.8396487203</v>
      </c>
      <c r="H2" s="75">
        <v>1029008758.4512949</v>
      </c>
      <c r="I2" s="3">
        <v>316059737.16267651</v>
      </c>
      <c r="J2" s="3">
        <v>269894274.6081754</v>
      </c>
      <c r="K2" s="3">
        <v>228107910.1562503</v>
      </c>
      <c r="L2" s="3">
        <v>260974.20603362154</v>
      </c>
      <c r="M2" s="3">
        <v>142661449.50826049</v>
      </c>
      <c r="N2" s="3">
        <v>3018539.1789674717</v>
      </c>
      <c r="O2" s="75">
        <v>643943147.65768731</v>
      </c>
      <c r="P2" s="3">
        <v>0</v>
      </c>
      <c r="Q2" s="3">
        <v>1461229.5448377077</v>
      </c>
      <c r="R2" s="3">
        <v>8736708.1250549089</v>
      </c>
      <c r="S2" s="3">
        <v>44879434.973342299</v>
      </c>
      <c r="T2" s="3">
        <v>488190006.69158888</v>
      </c>
      <c r="U2" s="3">
        <v>1286027.5811588338</v>
      </c>
      <c r="V2" s="75">
        <v>544553406.91598272</v>
      </c>
      <c r="W2" s="57">
        <v>2217505313.0249648</v>
      </c>
      <c r="X2" s="88">
        <v>218900</v>
      </c>
      <c r="Y2">
        <f>W2/X2</f>
        <v>10130.220708199931</v>
      </c>
    </row>
    <row r="3" spans="1:25" ht="15.6" x14ac:dyDescent="0.3">
      <c r="A3" s="1"/>
      <c r="B3" s="56" t="s">
        <v>14</v>
      </c>
      <c r="C3" s="19">
        <v>608607454.7259711</v>
      </c>
      <c r="D3" s="3">
        <v>2175681152.3437481</v>
      </c>
      <c r="E3" s="3">
        <v>2835327.965021139</v>
      </c>
      <c r="F3" s="3">
        <v>8567565.8828020059</v>
      </c>
      <c r="G3" s="3">
        <v>5052370.6796765383</v>
      </c>
      <c r="H3" s="75">
        <v>2800743871.597219</v>
      </c>
      <c r="I3" s="3">
        <v>452863444.78515649</v>
      </c>
      <c r="J3" s="3">
        <v>349573979.3115688</v>
      </c>
      <c r="K3" s="3">
        <v>540994079.58984339</v>
      </c>
      <c r="L3" s="3">
        <v>1137876.0366141791</v>
      </c>
      <c r="M3" s="3">
        <v>86294041.007524386</v>
      </c>
      <c r="N3" s="3">
        <v>2376211.7762863603</v>
      </c>
      <c r="O3" s="75">
        <v>980376187.72183716</v>
      </c>
      <c r="P3" s="3">
        <v>488250.53321199515</v>
      </c>
      <c r="Q3" s="3">
        <v>0</v>
      </c>
      <c r="R3" s="3">
        <v>37911848.759940624</v>
      </c>
      <c r="S3" s="3">
        <v>99414538.900509953</v>
      </c>
      <c r="T3" s="3">
        <v>1363247078.1507111</v>
      </c>
      <c r="U3" s="3">
        <v>3874926.5730777467</v>
      </c>
      <c r="V3" s="75">
        <v>1504936642.9174514</v>
      </c>
      <c r="W3" s="57">
        <v>5286056702.2365074</v>
      </c>
      <c r="X3" s="88">
        <v>389300</v>
      </c>
      <c r="Y3">
        <f t="shared" ref="Y3:Y34" si="0">W3/X3</f>
        <v>13578.362964902408</v>
      </c>
    </row>
    <row r="4" spans="1:25" ht="15.6" x14ac:dyDescent="0.3">
      <c r="A4" s="1"/>
      <c r="B4" s="56" t="s">
        <v>15</v>
      </c>
      <c r="C4" s="19">
        <v>355236935.92867368</v>
      </c>
      <c r="D4" s="3">
        <v>1217401733.3984339</v>
      </c>
      <c r="E4" s="3">
        <v>1772030.4141938684</v>
      </c>
      <c r="F4" s="3">
        <v>5990710.0749015817</v>
      </c>
      <c r="G4" s="3">
        <v>5130596.7944860412</v>
      </c>
      <c r="H4" s="75">
        <v>1585532006.6106892</v>
      </c>
      <c r="I4" s="3">
        <v>386080912.01355511</v>
      </c>
      <c r="J4" s="3">
        <v>346529781.45109475</v>
      </c>
      <c r="K4" s="3">
        <v>678296508.78906286</v>
      </c>
      <c r="L4" s="3">
        <v>688565.87076569081</v>
      </c>
      <c r="M4" s="3">
        <v>90658657.398259982</v>
      </c>
      <c r="N4" s="3">
        <v>36710656.282901809</v>
      </c>
      <c r="O4" s="75">
        <v>1152884169.7920849</v>
      </c>
      <c r="P4" s="3">
        <v>4232351.4523433018</v>
      </c>
      <c r="Q4" s="3">
        <v>751306.52280917089</v>
      </c>
      <c r="R4" s="3">
        <v>4762040.2843006942</v>
      </c>
      <c r="S4" s="3">
        <v>37655680.389113411</v>
      </c>
      <c r="T4" s="3">
        <v>753588912.09463573</v>
      </c>
      <c r="U4" s="3">
        <v>1895450.173346939</v>
      </c>
      <c r="V4" s="75">
        <v>802885740.91654932</v>
      </c>
      <c r="W4" s="57">
        <v>3541301917.3193231</v>
      </c>
      <c r="X4" s="88">
        <v>246500</v>
      </c>
      <c r="Y4">
        <f t="shared" si="0"/>
        <v>14366.336378577376</v>
      </c>
    </row>
    <row r="5" spans="1:25" ht="15.6" x14ac:dyDescent="0.3">
      <c r="A5" s="1"/>
      <c r="B5" s="56" t="s">
        <v>16</v>
      </c>
      <c r="C5" s="19">
        <v>414988577.37454551</v>
      </c>
      <c r="D5" s="3">
        <v>1538470092.7734365</v>
      </c>
      <c r="E5" s="3">
        <v>1203146.3356688621</v>
      </c>
      <c r="F5" s="3">
        <v>5106713.9053344736</v>
      </c>
      <c r="G5" s="3">
        <v>3483497.1544146594</v>
      </c>
      <c r="H5" s="75">
        <v>1963252027.5434</v>
      </c>
      <c r="I5" s="3">
        <v>730691884.48554182</v>
      </c>
      <c r="J5" s="3">
        <v>621458657.78913736</v>
      </c>
      <c r="K5" s="3">
        <v>628235412.59765577</v>
      </c>
      <c r="L5" s="3">
        <v>98945.739017799482</v>
      </c>
      <c r="M5" s="3">
        <v>233435061.17608431</v>
      </c>
      <c r="N5" s="3">
        <v>11943851.373195685</v>
      </c>
      <c r="O5" s="75">
        <v>1495171928.6750908</v>
      </c>
      <c r="P5" s="3">
        <v>790761.39173379296</v>
      </c>
      <c r="Q5" s="3">
        <v>0</v>
      </c>
      <c r="R5" s="3">
        <v>51924026.109289922</v>
      </c>
      <c r="S5" s="3">
        <v>106779889.03644696</v>
      </c>
      <c r="T5" s="3">
        <v>698853332.60518146</v>
      </c>
      <c r="U5" s="3">
        <v>2453337.6599574774</v>
      </c>
      <c r="V5" s="75">
        <v>860801346.80260968</v>
      </c>
      <c r="W5" s="57">
        <v>4319225303.0211</v>
      </c>
      <c r="X5" s="88">
        <v>339800</v>
      </c>
      <c r="Y5">
        <f t="shared" si="0"/>
        <v>12711.080938849618</v>
      </c>
    </row>
    <row r="6" spans="1:25" ht="15.6" x14ac:dyDescent="0.3">
      <c r="A6" s="1"/>
      <c r="B6" s="56" t="s">
        <v>17</v>
      </c>
      <c r="C6" s="19">
        <v>524377012.77462506</v>
      </c>
      <c r="D6" s="3">
        <v>2020962646.4843805</v>
      </c>
      <c r="E6" s="3">
        <v>6223474.4885563878</v>
      </c>
      <c r="F6" s="3">
        <v>13682496.311664628</v>
      </c>
      <c r="G6" s="3">
        <v>7155469.6989059476</v>
      </c>
      <c r="H6" s="75">
        <v>2572401099.7581325</v>
      </c>
      <c r="I6" s="3">
        <v>360487358.46677732</v>
      </c>
      <c r="J6" s="3">
        <v>280118542.16283858</v>
      </c>
      <c r="K6" s="3">
        <v>361706756.5917967</v>
      </c>
      <c r="L6" s="3">
        <v>205708.32319745966</v>
      </c>
      <c r="M6" s="3">
        <v>98777726.561389863</v>
      </c>
      <c r="N6" s="3">
        <v>3221758.2827806487</v>
      </c>
      <c r="O6" s="75">
        <v>744030491.92200327</v>
      </c>
      <c r="P6" s="3">
        <v>10133509.319386</v>
      </c>
      <c r="Q6" s="3">
        <v>0</v>
      </c>
      <c r="R6" s="3">
        <v>5292497.9153990326</v>
      </c>
      <c r="S6" s="3">
        <v>77679388.054852828</v>
      </c>
      <c r="T6" s="3">
        <v>930008486.05587816</v>
      </c>
      <c r="U6" s="3">
        <v>2689428.2490858841</v>
      </c>
      <c r="V6" s="75">
        <v>1025803309.5946019</v>
      </c>
      <c r="W6" s="57">
        <v>4342234901.2747374</v>
      </c>
      <c r="X6" s="88">
        <v>330000</v>
      </c>
      <c r="Y6">
        <f t="shared" si="0"/>
        <v>13158.287579620417</v>
      </c>
    </row>
    <row r="7" spans="1:25" ht="15.6" x14ac:dyDescent="0.3">
      <c r="A7" s="1"/>
      <c r="B7" s="56" t="s">
        <v>18</v>
      </c>
      <c r="C7" s="19">
        <v>332048939.52299893</v>
      </c>
      <c r="D7" s="3">
        <v>942216735.83984387</v>
      </c>
      <c r="E7" s="3">
        <v>336460.53613163612</v>
      </c>
      <c r="F7" s="3">
        <v>9496764.3696069717</v>
      </c>
      <c r="G7" s="3">
        <v>974178.54614555871</v>
      </c>
      <c r="H7" s="75">
        <v>1285073078.8147271</v>
      </c>
      <c r="I7" s="3">
        <v>1145621519.426023</v>
      </c>
      <c r="J7" s="3">
        <v>1033318584.5628377</v>
      </c>
      <c r="K7" s="3">
        <v>1460489624.0234416</v>
      </c>
      <c r="L7" s="3">
        <v>1164996.4391440125</v>
      </c>
      <c r="M7" s="3">
        <v>78921280.409619227</v>
      </c>
      <c r="N7" s="3">
        <v>5187383.9038610412</v>
      </c>
      <c r="O7" s="75">
        <v>2579081869.3389039</v>
      </c>
      <c r="P7" s="3">
        <v>0</v>
      </c>
      <c r="Q7" s="3">
        <v>0</v>
      </c>
      <c r="R7" s="3">
        <v>46095221.517209932</v>
      </c>
      <c r="S7" s="3">
        <v>108799992.1048729</v>
      </c>
      <c r="T7" s="3">
        <v>466439394.21974093</v>
      </c>
      <c r="U7" s="3">
        <v>3502942.7583123785</v>
      </c>
      <c r="V7" s="75">
        <v>624837550.60013616</v>
      </c>
      <c r="W7" s="57">
        <v>4488992498.753767</v>
      </c>
      <c r="X7" s="88">
        <v>210100</v>
      </c>
      <c r="Y7">
        <f t="shared" si="0"/>
        <v>21365.980479551486</v>
      </c>
    </row>
    <row r="8" spans="1:25" ht="15.6" x14ac:dyDescent="0.3">
      <c r="A8" s="1"/>
      <c r="B8" s="56" t="s">
        <v>19</v>
      </c>
      <c r="C8" s="19">
        <v>26911325.563130252</v>
      </c>
      <c r="D8" s="3">
        <v>27526269.912719693</v>
      </c>
      <c r="E8" s="3">
        <v>4878.982587833897</v>
      </c>
      <c r="F8" s="3">
        <v>344294.66126486612</v>
      </c>
      <c r="G8" s="3">
        <v>14126.635318389141</v>
      </c>
      <c r="H8" s="75">
        <v>54800895.755021036</v>
      </c>
      <c r="I8" s="3">
        <v>1568089819.315361</v>
      </c>
      <c r="J8" s="3">
        <v>1535119268.3933034</v>
      </c>
      <c r="K8" s="3">
        <v>723312194.82421851</v>
      </c>
      <c r="L8" s="3">
        <v>49472.869508899799</v>
      </c>
      <c r="M8" s="3">
        <v>44604580.568160169</v>
      </c>
      <c r="N8" s="3">
        <v>10995313.936471937</v>
      </c>
      <c r="O8" s="75">
        <v>2314080830.5916624</v>
      </c>
      <c r="P8" s="3">
        <v>202324.91082162879</v>
      </c>
      <c r="Q8" s="3">
        <v>1748388.6126001289</v>
      </c>
      <c r="R8" s="3">
        <v>13207.681062168353</v>
      </c>
      <c r="S8" s="3">
        <v>31453948.843759138</v>
      </c>
      <c r="T8" s="3">
        <v>122313860.08857679</v>
      </c>
      <c r="U8" s="3">
        <v>1516602.0782985894</v>
      </c>
      <c r="V8" s="75">
        <v>157248332.21511847</v>
      </c>
      <c r="W8" s="57">
        <v>2526130058.5618019</v>
      </c>
      <c r="X8" s="88">
        <v>8600</v>
      </c>
      <c r="Y8">
        <f t="shared" si="0"/>
        <v>293736.05332113977</v>
      </c>
    </row>
    <row r="9" spans="1:25" ht="15.6" x14ac:dyDescent="0.3">
      <c r="A9" s="1"/>
      <c r="B9" s="56" t="s">
        <v>20</v>
      </c>
      <c r="C9" s="19">
        <v>565109559.31968892</v>
      </c>
      <c r="D9" s="3">
        <v>2070456054.6875007</v>
      </c>
      <c r="E9" s="3">
        <v>11672291.561961176</v>
      </c>
      <c r="F9" s="3">
        <v>8778094.1087007578</v>
      </c>
      <c r="G9" s="3">
        <v>7509501.8339157077</v>
      </c>
      <c r="H9" s="75">
        <v>2663525501.5117674</v>
      </c>
      <c r="I9" s="3">
        <v>586976338.63502681</v>
      </c>
      <c r="J9" s="3">
        <v>472457489.56203353</v>
      </c>
      <c r="K9" s="3">
        <v>524484191.89453119</v>
      </c>
      <c r="L9" s="3">
        <v>474413.46137427178</v>
      </c>
      <c r="M9" s="3">
        <v>60434246.641169272</v>
      </c>
      <c r="N9" s="3">
        <v>11312236.887812618</v>
      </c>
      <c r="O9" s="75">
        <v>1069162578.4469209</v>
      </c>
      <c r="P9" s="3">
        <v>387609.15133421915</v>
      </c>
      <c r="Q9" s="3">
        <v>0</v>
      </c>
      <c r="R9" s="3">
        <v>12013241.020689435</v>
      </c>
      <c r="S9" s="3">
        <v>112029656.08378053</v>
      </c>
      <c r="T9" s="3">
        <v>844238634.49299908</v>
      </c>
      <c r="U9" s="3">
        <v>2489192.9892127481</v>
      </c>
      <c r="V9" s="75">
        <v>971158333.73801601</v>
      </c>
      <c r="W9" s="57">
        <v>4703846413.6967039</v>
      </c>
      <c r="X9" s="88">
        <v>390800</v>
      </c>
      <c r="Y9">
        <f t="shared" si="0"/>
        <v>12036.454487453182</v>
      </c>
    </row>
    <row r="10" spans="1:25" ht="15.6" x14ac:dyDescent="0.3">
      <c r="A10" s="1"/>
      <c r="B10" s="56" t="s">
        <v>21</v>
      </c>
      <c r="C10" s="19">
        <v>465098176.22289342</v>
      </c>
      <c r="D10" s="3">
        <v>1666811645.5078177</v>
      </c>
      <c r="E10" s="3">
        <v>1658532.3610156784</v>
      </c>
      <c r="F10" s="3">
        <v>6437395.5917358389</v>
      </c>
      <c r="G10" s="3">
        <v>4802008.6395740556</v>
      </c>
      <c r="H10" s="75">
        <v>2144807758.3230369</v>
      </c>
      <c r="I10" s="3">
        <v>870972732.99685156</v>
      </c>
      <c r="J10" s="3">
        <v>774108317.11709046</v>
      </c>
      <c r="K10" s="3">
        <v>669715820.31250012</v>
      </c>
      <c r="L10" s="3">
        <v>373430.52700161893</v>
      </c>
      <c r="M10" s="3">
        <v>135024688.13678122</v>
      </c>
      <c r="N10" s="3">
        <v>30791534.566879239</v>
      </c>
      <c r="O10" s="75">
        <v>1610013790.6602528</v>
      </c>
      <c r="P10" s="3">
        <v>311.48993579442055</v>
      </c>
      <c r="Q10" s="3">
        <v>0</v>
      </c>
      <c r="R10" s="3">
        <v>21478307.412339285</v>
      </c>
      <c r="S10" s="3">
        <v>93922516.633618176</v>
      </c>
      <c r="T10" s="3">
        <v>972817500.25689459</v>
      </c>
      <c r="U10" s="3">
        <v>2941899.2461428358</v>
      </c>
      <c r="V10" s="75">
        <v>1091160535.0389307</v>
      </c>
      <c r="W10" s="57">
        <v>4845982084.0222206</v>
      </c>
      <c r="X10" s="88">
        <v>367100</v>
      </c>
      <c r="Y10">
        <f t="shared" si="0"/>
        <v>13200.713930869573</v>
      </c>
    </row>
    <row r="11" spans="1:25" ht="15.6" x14ac:dyDescent="0.3">
      <c r="A11" s="1"/>
      <c r="B11" s="56" t="s">
        <v>22</v>
      </c>
      <c r="C11" s="19">
        <v>459680398.72655916</v>
      </c>
      <c r="D11" s="3">
        <v>1577653442.3828101</v>
      </c>
      <c r="E11" s="3">
        <v>2954454.9052417274</v>
      </c>
      <c r="F11" s="3">
        <v>6239851.039648056</v>
      </c>
      <c r="G11" s="3">
        <v>6589513.9223337146</v>
      </c>
      <c r="H11" s="75">
        <v>2053117660.9765928</v>
      </c>
      <c r="I11" s="3">
        <v>508037234.20018953</v>
      </c>
      <c r="J11" s="3">
        <v>463010042.75674719</v>
      </c>
      <c r="K11" s="3">
        <v>509408111.57226539</v>
      </c>
      <c r="L11" s="3">
        <v>1563640.1966214159</v>
      </c>
      <c r="M11" s="3">
        <v>106746138.91966642</v>
      </c>
      <c r="N11" s="3">
        <v>3385673.8719344144</v>
      </c>
      <c r="O11" s="75">
        <v>1084113607.317235</v>
      </c>
      <c r="P11" s="3">
        <v>343809.8037087277</v>
      </c>
      <c r="Q11" s="3">
        <v>0</v>
      </c>
      <c r="R11" s="3">
        <v>4805843.5430069491</v>
      </c>
      <c r="S11" s="3">
        <v>41322159.249081194</v>
      </c>
      <c r="T11" s="3">
        <v>1442841065.8739676</v>
      </c>
      <c r="U11" s="3">
        <v>3705032.1943611465</v>
      </c>
      <c r="V11" s="75">
        <v>1493017910.6641257</v>
      </c>
      <c r="W11" s="57">
        <v>4630249178.9579535</v>
      </c>
      <c r="X11" s="88">
        <v>330000</v>
      </c>
      <c r="Y11">
        <f t="shared" si="0"/>
        <v>14031.058118054405</v>
      </c>
    </row>
    <row r="12" spans="1:25" ht="15.6" x14ac:dyDescent="0.3">
      <c r="A12" s="1"/>
      <c r="B12" s="56" t="s">
        <v>23</v>
      </c>
      <c r="C12" s="19">
        <v>364932956.15124482</v>
      </c>
      <c r="D12" s="3">
        <v>1144411987.304687</v>
      </c>
      <c r="E12" s="3">
        <v>1299493.7910512083</v>
      </c>
      <c r="F12" s="3">
        <v>4682887.418270112</v>
      </c>
      <c r="G12" s="3">
        <v>3717969.6178436293</v>
      </c>
      <c r="H12" s="75">
        <v>1519045294.2830968</v>
      </c>
      <c r="I12" s="3">
        <v>426002075.55893612</v>
      </c>
      <c r="J12" s="3">
        <v>385176733.63322544</v>
      </c>
      <c r="K12" s="3">
        <v>543760009.76562512</v>
      </c>
      <c r="L12" s="3">
        <v>49472.869508899799</v>
      </c>
      <c r="M12" s="3">
        <v>80725410.70088394</v>
      </c>
      <c r="N12" s="3">
        <v>3510749.698579309</v>
      </c>
      <c r="O12" s="75">
        <v>1013222376.6678227</v>
      </c>
      <c r="P12" s="3">
        <v>3146009.5655800109</v>
      </c>
      <c r="Q12" s="3">
        <v>1212610.3270940185</v>
      </c>
      <c r="R12" s="3">
        <v>2856441.2356061498</v>
      </c>
      <c r="S12" s="3">
        <v>37457061.236274406</v>
      </c>
      <c r="T12" s="3">
        <v>805994544.26557159</v>
      </c>
      <c r="U12" s="3">
        <v>3368280.6894362834</v>
      </c>
      <c r="V12" s="75">
        <v>854034947.31956255</v>
      </c>
      <c r="W12" s="57">
        <v>3386302618.2704821</v>
      </c>
      <c r="X12" s="88">
        <v>289100</v>
      </c>
      <c r="Y12">
        <f t="shared" si="0"/>
        <v>11713.257067694507</v>
      </c>
    </row>
    <row r="13" spans="1:25" ht="15.6" x14ac:dyDescent="0.3">
      <c r="A13" s="1"/>
      <c r="B13" s="56" t="s">
        <v>24</v>
      </c>
      <c r="C13" s="19">
        <v>332501560.64865923</v>
      </c>
      <c r="D13" s="3">
        <v>978841613.76953065</v>
      </c>
      <c r="E13" s="3">
        <v>751641.50509983348</v>
      </c>
      <c r="F13" s="3">
        <v>3052268.6561942105</v>
      </c>
      <c r="G13" s="3">
        <v>1875978.136509656</v>
      </c>
      <c r="H13" s="75">
        <v>1317023062.7159936</v>
      </c>
      <c r="I13" s="3">
        <v>516504463.24479377</v>
      </c>
      <c r="J13" s="3">
        <v>476873821.66982597</v>
      </c>
      <c r="K13" s="3">
        <v>370377624.51171929</v>
      </c>
      <c r="L13" s="3">
        <v>646008.08877497958</v>
      </c>
      <c r="M13" s="3">
        <v>55354010.285558194</v>
      </c>
      <c r="N13" s="3">
        <v>20992611.062526669</v>
      </c>
      <c r="O13" s="75">
        <v>924244075.61840522</v>
      </c>
      <c r="P13" s="3">
        <v>0</v>
      </c>
      <c r="Q13" s="3">
        <v>0</v>
      </c>
      <c r="R13" s="3">
        <v>3949282.0689670909</v>
      </c>
      <c r="S13" s="3">
        <v>37195676.275345877</v>
      </c>
      <c r="T13" s="3">
        <v>395949233.38526618</v>
      </c>
      <c r="U13" s="3">
        <v>2434965.2996219564</v>
      </c>
      <c r="V13" s="75">
        <v>439529157.02920109</v>
      </c>
      <c r="W13" s="57">
        <v>2680796295.3635998</v>
      </c>
      <c r="X13" s="88">
        <v>259200</v>
      </c>
      <c r="Y13">
        <f t="shared" si="0"/>
        <v>10342.578300013887</v>
      </c>
    </row>
    <row r="14" spans="1:25" ht="15.6" x14ac:dyDescent="0.3">
      <c r="A14" s="1"/>
      <c r="B14" s="56" t="s">
        <v>25</v>
      </c>
      <c r="C14" s="19">
        <v>277757076.81171173</v>
      </c>
      <c r="D14" s="3">
        <v>874504638.67187488</v>
      </c>
      <c r="E14" s="3">
        <v>523485.45514047227</v>
      </c>
      <c r="F14" s="3">
        <v>3691311.4944100366</v>
      </c>
      <c r="G14" s="3">
        <v>1515694.7056949127</v>
      </c>
      <c r="H14" s="75">
        <v>1157992207.1388321</v>
      </c>
      <c r="I14" s="3">
        <v>593070841.25451577</v>
      </c>
      <c r="J14" s="3">
        <v>545137493.033535</v>
      </c>
      <c r="K14" s="3">
        <v>569755065.91796863</v>
      </c>
      <c r="L14" s="3">
        <v>0</v>
      </c>
      <c r="M14" s="3">
        <v>48538401.971887827</v>
      </c>
      <c r="N14" s="3">
        <v>1418026.8737673713</v>
      </c>
      <c r="O14" s="75">
        <v>1164848987.797159</v>
      </c>
      <c r="P14" s="3">
        <v>15223659.67267496</v>
      </c>
      <c r="Q14" s="3">
        <v>2059.3800768758056</v>
      </c>
      <c r="R14" s="3">
        <v>7559640.1029701838</v>
      </c>
      <c r="S14" s="3">
        <v>45538891.990382284</v>
      </c>
      <c r="T14" s="3">
        <v>382236870.98041546</v>
      </c>
      <c r="U14" s="3">
        <v>2394456.2305984008</v>
      </c>
      <c r="V14" s="75">
        <v>452955578.35711819</v>
      </c>
      <c r="W14" s="57">
        <v>2775796773.2931094</v>
      </c>
      <c r="X14" s="88">
        <v>183200</v>
      </c>
      <c r="Y14">
        <f t="shared" si="0"/>
        <v>15151.729111861951</v>
      </c>
    </row>
    <row r="15" spans="1:25" ht="15.6" x14ac:dyDescent="0.3">
      <c r="A15" s="1"/>
      <c r="B15" s="56" t="s">
        <v>26</v>
      </c>
      <c r="C15" s="19">
        <v>342400643.40744537</v>
      </c>
      <c r="D15" s="3">
        <v>1257656738.2812502</v>
      </c>
      <c r="E15" s="3">
        <v>969431.10879510629</v>
      </c>
      <c r="F15" s="3">
        <v>3107735.2157235164</v>
      </c>
      <c r="G15" s="3">
        <v>2806857.4649095545</v>
      </c>
      <c r="H15" s="75">
        <v>1606941405.4781239</v>
      </c>
      <c r="I15" s="3">
        <v>407257702.36201984</v>
      </c>
      <c r="J15" s="3">
        <v>334938726.38307667</v>
      </c>
      <c r="K15" s="3">
        <v>368394439.6972661</v>
      </c>
      <c r="L15" s="3">
        <v>323004.04438748979</v>
      </c>
      <c r="M15" s="3">
        <v>54155781.177055307</v>
      </c>
      <c r="N15" s="3">
        <v>15865389.468669882</v>
      </c>
      <c r="O15" s="75">
        <v>773677340.77045548</v>
      </c>
      <c r="P15" s="3">
        <v>0</v>
      </c>
      <c r="Q15" s="3">
        <v>0</v>
      </c>
      <c r="R15" s="3">
        <v>11757357.387515176</v>
      </c>
      <c r="S15" s="3">
        <v>69739351.530797437</v>
      </c>
      <c r="T15" s="3">
        <v>440552546.36314279</v>
      </c>
      <c r="U15" s="3">
        <v>2579624.448145723</v>
      </c>
      <c r="V15" s="75">
        <v>524628879.72960114</v>
      </c>
      <c r="W15" s="57">
        <v>2905247625.9781809</v>
      </c>
      <c r="X15" s="88">
        <v>264200</v>
      </c>
      <c r="Y15">
        <f t="shared" si="0"/>
        <v>10996.395253513176</v>
      </c>
    </row>
    <row r="16" spans="1:25" ht="15.6" x14ac:dyDescent="0.3">
      <c r="A16" s="1"/>
      <c r="B16" s="56" t="s">
        <v>27</v>
      </c>
      <c r="C16" s="19">
        <v>340815400.09378409</v>
      </c>
      <c r="D16" s="3">
        <v>1431403686.5234413</v>
      </c>
      <c r="E16" s="3">
        <v>1588106.8918481469</v>
      </c>
      <c r="F16" s="3">
        <v>5388216.6597247161</v>
      </c>
      <c r="G16" s="3">
        <v>3435383.3886980987</v>
      </c>
      <c r="H16" s="75">
        <v>1782630793.5574963</v>
      </c>
      <c r="I16" s="3">
        <v>188664162.28361931</v>
      </c>
      <c r="J16" s="3">
        <v>136486688.22424516</v>
      </c>
      <c r="K16" s="3">
        <v>260534484.86328077</v>
      </c>
      <c r="L16" s="3">
        <v>581544.63354498183</v>
      </c>
      <c r="M16" s="3">
        <v>45701200.108509526</v>
      </c>
      <c r="N16" s="3">
        <v>2434343.8708782229</v>
      </c>
      <c r="O16" s="75">
        <v>445738261.70045871</v>
      </c>
      <c r="P16" s="3">
        <v>775855.28329800488</v>
      </c>
      <c r="Q16" s="3">
        <v>0</v>
      </c>
      <c r="R16" s="3">
        <v>18953500.604758084</v>
      </c>
      <c r="S16" s="3">
        <v>50740705.800659828</v>
      </c>
      <c r="T16" s="3">
        <v>501095037.42690295</v>
      </c>
      <c r="U16" s="3">
        <v>1436768.2587143299</v>
      </c>
      <c r="V16" s="75">
        <v>573001867.37433314</v>
      </c>
      <c r="W16" s="57">
        <v>2801370922.632288</v>
      </c>
      <c r="X16" s="88">
        <v>261300</v>
      </c>
      <c r="Y16">
        <f t="shared" si="0"/>
        <v>10720.899053319128</v>
      </c>
    </row>
    <row r="17" spans="1:25" ht="15.6" x14ac:dyDescent="0.3">
      <c r="A17" s="1"/>
      <c r="B17" s="56" t="s">
        <v>28</v>
      </c>
      <c r="C17" s="19">
        <v>381286621.65042406</v>
      </c>
      <c r="D17" s="3">
        <v>1344051513.6718779</v>
      </c>
      <c r="E17" s="3">
        <v>2245057.3477894026</v>
      </c>
      <c r="F17" s="3">
        <v>7571110.1633310309</v>
      </c>
      <c r="G17" s="3">
        <v>5474399.6939063091</v>
      </c>
      <c r="H17" s="75">
        <v>1740628702.5273285</v>
      </c>
      <c r="I17" s="3">
        <v>359086018.25776821</v>
      </c>
      <c r="J17" s="3">
        <v>300717902.48680097</v>
      </c>
      <c r="K17" s="3">
        <v>245524917.60253927</v>
      </c>
      <c r="L17" s="3">
        <v>718611.37065538636</v>
      </c>
      <c r="M17" s="3">
        <v>94041620.18282339</v>
      </c>
      <c r="N17" s="3">
        <v>1586467.1657979533</v>
      </c>
      <c r="O17" s="75">
        <v>642589518.808617</v>
      </c>
      <c r="P17" s="3">
        <v>744483.16509351437</v>
      </c>
      <c r="Q17" s="3">
        <v>353584.65923418984</v>
      </c>
      <c r="R17" s="3">
        <v>7097918.7595313704</v>
      </c>
      <c r="S17" s="3">
        <v>54862741.349889182</v>
      </c>
      <c r="T17" s="3">
        <v>1452426096.6288235</v>
      </c>
      <c r="U17" s="3">
        <v>3505374.4210780975</v>
      </c>
      <c r="V17" s="75">
        <v>1518990198.98365</v>
      </c>
      <c r="W17" s="57">
        <v>3902208420.3195953</v>
      </c>
      <c r="X17" s="88">
        <v>262000</v>
      </c>
      <c r="Y17">
        <f t="shared" si="0"/>
        <v>14893.925268395402</v>
      </c>
    </row>
    <row r="18" spans="1:25" ht="15.6" x14ac:dyDescent="0.3">
      <c r="A18" s="1"/>
      <c r="B18" s="56" t="s">
        <v>29</v>
      </c>
      <c r="C18" s="19">
        <v>417563281.57015085</v>
      </c>
      <c r="D18" s="3">
        <v>1450564208.9843764</v>
      </c>
      <c r="E18" s="3">
        <v>7912175.607979293</v>
      </c>
      <c r="F18" s="3">
        <v>9137672.553062439</v>
      </c>
      <c r="G18" s="3">
        <v>12614104.245901071</v>
      </c>
      <c r="H18" s="75">
        <v>1897791442.9614701</v>
      </c>
      <c r="I18" s="3">
        <v>1080056924.8762841</v>
      </c>
      <c r="J18" s="3">
        <v>988998136.26375639</v>
      </c>
      <c r="K18" s="3">
        <v>684687988.28125036</v>
      </c>
      <c r="L18" s="3">
        <v>2166051.4428621079</v>
      </c>
      <c r="M18" s="3">
        <v>212486057.47313964</v>
      </c>
      <c r="N18" s="3">
        <v>13729681.186676059</v>
      </c>
      <c r="O18" s="75">
        <v>1902067914.6476846</v>
      </c>
      <c r="P18" s="3">
        <v>1224764095.4675598</v>
      </c>
      <c r="Q18" s="3">
        <v>0</v>
      </c>
      <c r="R18" s="3">
        <v>27138795.02212397</v>
      </c>
      <c r="S18" s="3">
        <v>87106371.860976636</v>
      </c>
      <c r="T18" s="3">
        <v>1436975014.3771908</v>
      </c>
      <c r="U18" s="3">
        <v>3952416.7515510684</v>
      </c>
      <c r="V18" s="75">
        <v>2779936693.4794025</v>
      </c>
      <c r="W18" s="57">
        <v>6579796051.0885572</v>
      </c>
      <c r="X18" s="88">
        <v>305900</v>
      </c>
      <c r="Y18">
        <f t="shared" si="0"/>
        <v>21509.630765245365</v>
      </c>
    </row>
    <row r="19" spans="1:25" ht="15.6" x14ac:dyDescent="0.3">
      <c r="A19" s="1"/>
      <c r="B19" s="56" t="s">
        <v>30</v>
      </c>
      <c r="C19" s="19">
        <v>377625082.86957318</v>
      </c>
      <c r="D19" s="3">
        <v>1176045776.3671856</v>
      </c>
      <c r="E19" s="3">
        <v>1233310.4582875965</v>
      </c>
      <c r="F19" s="3">
        <v>7056845.7680940665</v>
      </c>
      <c r="G19" s="3">
        <v>3570801.7894625627</v>
      </c>
      <c r="H19" s="75">
        <v>1565531817.2526028</v>
      </c>
      <c r="I19" s="3">
        <v>823219936.04152226</v>
      </c>
      <c r="J19" s="3">
        <v>780431995.96809018</v>
      </c>
      <c r="K19" s="3">
        <v>522552673.33984387</v>
      </c>
      <c r="L19" s="3">
        <v>2176806.3233792833</v>
      </c>
      <c r="M19" s="3">
        <v>74290191.524521783</v>
      </c>
      <c r="N19" s="3">
        <v>5522575.1546025258</v>
      </c>
      <c r="O19" s="75">
        <v>1384974242.3104377</v>
      </c>
      <c r="P19" s="3">
        <v>188686532.72670758</v>
      </c>
      <c r="Q19" s="3">
        <v>0</v>
      </c>
      <c r="R19" s="3">
        <v>2082027.5143850432</v>
      </c>
      <c r="S19" s="3">
        <v>39281200.87870612</v>
      </c>
      <c r="T19" s="3">
        <v>1041963259.2723416</v>
      </c>
      <c r="U19" s="3">
        <v>3506739.1947259475</v>
      </c>
      <c r="V19" s="75">
        <v>1275519759.5868664</v>
      </c>
      <c r="W19" s="57">
        <v>4226025819.1499071</v>
      </c>
      <c r="X19" s="88">
        <v>288200</v>
      </c>
      <c r="Y19">
        <f t="shared" si="0"/>
        <v>14663.517762491003</v>
      </c>
    </row>
    <row r="20" spans="1:25" ht="15.6" x14ac:dyDescent="0.3">
      <c r="A20" s="1"/>
      <c r="B20" s="56" t="s">
        <v>31</v>
      </c>
      <c r="C20" s="19">
        <v>301494937.64355248</v>
      </c>
      <c r="D20" s="3">
        <v>894560668.94531286</v>
      </c>
      <c r="E20" s="3">
        <v>1954905.9072268791</v>
      </c>
      <c r="F20" s="3">
        <v>3193606.7337369625</v>
      </c>
      <c r="G20" s="3">
        <v>989274.05990660226</v>
      </c>
      <c r="H20" s="75">
        <v>1202193393.2897358</v>
      </c>
      <c r="I20" s="3">
        <v>654405074.89834964</v>
      </c>
      <c r="J20" s="3">
        <v>579700504.64566028</v>
      </c>
      <c r="K20" s="3">
        <v>624956665.03906214</v>
      </c>
      <c r="L20" s="3">
        <v>197043.93122460082</v>
      </c>
      <c r="M20" s="3">
        <v>32876856.892022394</v>
      </c>
      <c r="N20" s="3">
        <v>5189149.8360037832</v>
      </c>
      <c r="O20" s="75">
        <v>1242920220.3439732</v>
      </c>
      <c r="P20" s="3">
        <v>0</v>
      </c>
      <c r="Q20" s="3">
        <v>0</v>
      </c>
      <c r="R20" s="3">
        <v>9149728.5005106628</v>
      </c>
      <c r="S20" s="3">
        <v>72279184.85707131</v>
      </c>
      <c r="T20" s="3">
        <v>310767513.90384114</v>
      </c>
      <c r="U20" s="3">
        <v>2425385.3956180909</v>
      </c>
      <c r="V20" s="75">
        <v>394621812.65704119</v>
      </c>
      <c r="W20" s="57">
        <v>2839735426.29075</v>
      </c>
      <c r="X20" s="88">
        <v>216600</v>
      </c>
      <c r="Y20">
        <f t="shared" si="0"/>
        <v>13110.505199864958</v>
      </c>
    </row>
    <row r="21" spans="1:25" ht="15.6" x14ac:dyDescent="0.3">
      <c r="A21" s="1"/>
      <c r="B21" s="56" t="s">
        <v>32</v>
      </c>
      <c r="C21" s="19">
        <v>340427766.7103613</v>
      </c>
      <c r="D21" s="3">
        <v>860885864.25781214</v>
      </c>
      <c r="E21" s="3">
        <v>309776.40679106145</v>
      </c>
      <c r="F21" s="3">
        <v>8134252.9261112185</v>
      </c>
      <c r="G21" s="3">
        <v>896927.76657640981</v>
      </c>
      <c r="H21" s="75">
        <v>1210654588.0676522</v>
      </c>
      <c r="I21" s="3">
        <v>809766452.08150303</v>
      </c>
      <c r="J21" s="3">
        <v>767711550.64113617</v>
      </c>
      <c r="K21" s="3">
        <v>891250549.31640601</v>
      </c>
      <c r="L21" s="3">
        <v>37343.047284521199</v>
      </c>
      <c r="M21" s="3">
        <v>33866228.120186187</v>
      </c>
      <c r="N21" s="3">
        <v>4550597.0916152028</v>
      </c>
      <c r="O21" s="75">
        <v>1697416268.2166281</v>
      </c>
      <c r="P21" s="3">
        <v>0</v>
      </c>
      <c r="Q21" s="3">
        <v>4730.0766485476688</v>
      </c>
      <c r="R21" s="3">
        <v>1904501.1611991185</v>
      </c>
      <c r="S21" s="3">
        <v>39072734.280813262</v>
      </c>
      <c r="T21" s="3">
        <v>395593999.99351472</v>
      </c>
      <c r="U21" s="3">
        <v>2982167.1595536</v>
      </c>
      <c r="V21" s="75">
        <v>439558132.67172921</v>
      </c>
      <c r="W21" s="57">
        <v>3347628988.9560094</v>
      </c>
      <c r="X21" s="88">
        <v>143400</v>
      </c>
      <c r="Y21">
        <f t="shared" si="0"/>
        <v>23344.693088954042</v>
      </c>
    </row>
    <row r="22" spans="1:25" ht="15.6" x14ac:dyDescent="0.3">
      <c r="A22" s="1"/>
      <c r="B22" s="56" t="s">
        <v>76</v>
      </c>
      <c r="C22" s="19">
        <v>254442376.74922332</v>
      </c>
      <c r="D22" s="3">
        <v>883335449.21874964</v>
      </c>
      <c r="E22" s="3">
        <v>997778.86882424413</v>
      </c>
      <c r="F22" s="3">
        <v>3363107.0268154088</v>
      </c>
      <c r="G22" s="3">
        <v>2554073.2036531013</v>
      </c>
      <c r="H22" s="75">
        <v>1144692785.0672657</v>
      </c>
      <c r="I22" s="3">
        <v>283893996.74606472</v>
      </c>
      <c r="J22" s="3">
        <v>254082990.70999983</v>
      </c>
      <c r="K22" s="3">
        <v>235490371.70410115</v>
      </c>
      <c r="L22" s="3">
        <v>86815.916793420896</v>
      </c>
      <c r="M22" s="3">
        <v>50056737.972237185</v>
      </c>
      <c r="N22" s="3">
        <v>2932669.1254973379</v>
      </c>
      <c r="O22" s="75">
        <v>542649585.42862892</v>
      </c>
      <c r="P22" s="3">
        <v>0</v>
      </c>
      <c r="Q22" s="3">
        <v>0</v>
      </c>
      <c r="R22" s="3">
        <v>2042942.8627585073</v>
      </c>
      <c r="S22" s="3">
        <v>28376695.030554362</v>
      </c>
      <c r="T22" s="3">
        <v>501631952.71669596</v>
      </c>
      <c r="U22" s="3">
        <v>1434311.0055105309</v>
      </c>
      <c r="V22" s="75">
        <v>533485901.61551934</v>
      </c>
      <c r="W22" s="57">
        <v>2220828272.111414</v>
      </c>
      <c r="X22" s="88">
        <v>168000</v>
      </c>
      <c r="Y22">
        <f t="shared" si="0"/>
        <v>13219.215905425082</v>
      </c>
    </row>
    <row r="23" spans="1:25" ht="15.6" x14ac:dyDescent="0.3">
      <c r="A23" s="1"/>
      <c r="B23" s="56" t="s">
        <v>33</v>
      </c>
      <c r="C23" s="19">
        <v>419590352.03645778</v>
      </c>
      <c r="D23" s="3">
        <v>1387359619.1406295</v>
      </c>
      <c r="E23" s="3">
        <v>943191.63605570851</v>
      </c>
      <c r="F23" s="3">
        <v>6098271.4593410464</v>
      </c>
      <c r="G23" s="3">
        <v>2730871.4324235949</v>
      </c>
      <c r="H23" s="75">
        <v>1816722305.7049077</v>
      </c>
      <c r="I23" s="3">
        <v>559384071.87069726</v>
      </c>
      <c r="J23" s="3">
        <v>449806210.78388244</v>
      </c>
      <c r="K23" s="3">
        <v>838669677.7343744</v>
      </c>
      <c r="L23" s="3">
        <v>49472.869508899799</v>
      </c>
      <c r="M23" s="3">
        <v>93037402.236266032</v>
      </c>
      <c r="N23" s="3">
        <v>4976180.4991960535</v>
      </c>
      <c r="O23" s="75">
        <v>1386538944.1232281</v>
      </c>
      <c r="P23" s="3">
        <v>0</v>
      </c>
      <c r="Q23" s="3">
        <v>6427.0184483616031</v>
      </c>
      <c r="R23" s="3">
        <v>5522056.3610950233</v>
      </c>
      <c r="S23" s="3">
        <v>106302545.87035885</v>
      </c>
      <c r="T23" s="3">
        <v>536956335.10758066</v>
      </c>
      <c r="U23" s="3">
        <v>3275315.2164560226</v>
      </c>
      <c r="V23" s="75">
        <v>652062679.57393897</v>
      </c>
      <c r="W23" s="57">
        <v>3855323929.4020743</v>
      </c>
      <c r="X23" s="88">
        <v>317600</v>
      </c>
      <c r="Y23">
        <f t="shared" si="0"/>
        <v>12138.929248747085</v>
      </c>
    </row>
    <row r="24" spans="1:25" ht="15.6" x14ac:dyDescent="0.3">
      <c r="A24" s="1"/>
      <c r="B24" s="56" t="s">
        <v>34</v>
      </c>
      <c r="C24" s="19">
        <v>393448432.12082839</v>
      </c>
      <c r="D24" s="3">
        <v>1334641601.5625012</v>
      </c>
      <c r="E24" s="3">
        <v>1294227.7086153626</v>
      </c>
      <c r="F24" s="3">
        <v>4093593.6093330351</v>
      </c>
      <c r="G24" s="3">
        <v>3747221.0100293108</v>
      </c>
      <c r="H24" s="75">
        <v>1737225076.0113072</v>
      </c>
      <c r="I24" s="3">
        <v>267869784.49239263</v>
      </c>
      <c r="J24" s="3">
        <v>167546030.6795221</v>
      </c>
      <c r="K24" s="3">
        <v>347738708.49609375</v>
      </c>
      <c r="L24" s="3">
        <v>173631.84441812316</v>
      </c>
      <c r="M24" s="3">
        <v>36205754.853603445</v>
      </c>
      <c r="N24" s="3">
        <v>1109004.1725337503</v>
      </c>
      <c r="O24" s="75">
        <v>552773130.04617119</v>
      </c>
      <c r="P24" s="3">
        <v>0</v>
      </c>
      <c r="Q24" s="3">
        <v>217470.23295547802</v>
      </c>
      <c r="R24" s="3">
        <v>9081705.0668062624</v>
      </c>
      <c r="S24" s="3">
        <v>98087376.450678021</v>
      </c>
      <c r="T24" s="3">
        <v>492703892.30932927</v>
      </c>
      <c r="U24" s="3">
        <v>2236377.3621925106</v>
      </c>
      <c r="V24" s="75">
        <v>602326821.42196155</v>
      </c>
      <c r="W24" s="57">
        <v>2892325027.4794397</v>
      </c>
      <c r="X24" s="88">
        <v>300600</v>
      </c>
      <c r="Y24">
        <f t="shared" si="0"/>
        <v>9621.839745440584</v>
      </c>
    </row>
    <row r="25" spans="1:25" ht="15.6" x14ac:dyDescent="0.3">
      <c r="A25" s="1"/>
      <c r="B25" s="56" t="s">
        <v>35</v>
      </c>
      <c r="C25" s="19">
        <v>301910029.83678311</v>
      </c>
      <c r="D25" s="3">
        <v>1073988647.460937</v>
      </c>
      <c r="E25" s="3">
        <v>1353332.5822651384</v>
      </c>
      <c r="F25" s="3">
        <v>4403774.1312384615</v>
      </c>
      <c r="G25" s="3">
        <v>3918352.1389961299</v>
      </c>
      <c r="H25" s="75">
        <v>1385574136.1502199</v>
      </c>
      <c r="I25" s="3">
        <v>424713445.33491981</v>
      </c>
      <c r="J25" s="3">
        <v>361980581.24028373</v>
      </c>
      <c r="K25" s="3">
        <v>307220642.08984315</v>
      </c>
      <c r="L25" s="3">
        <v>49472.869508899799</v>
      </c>
      <c r="M25" s="3">
        <v>47486047.56367892</v>
      </c>
      <c r="N25" s="3">
        <v>8118702.3252248792</v>
      </c>
      <c r="O25" s="75">
        <v>724855446.0885396</v>
      </c>
      <c r="P25" s="3">
        <v>131.94903284465607</v>
      </c>
      <c r="Q25" s="3">
        <v>0</v>
      </c>
      <c r="R25" s="3">
        <v>2539131.0980525296</v>
      </c>
      <c r="S25" s="3">
        <v>61405817.792087123</v>
      </c>
      <c r="T25" s="3">
        <v>487029492.21122652</v>
      </c>
      <c r="U25" s="3">
        <v>1327046.3025489382</v>
      </c>
      <c r="V25" s="75">
        <v>552301619.35294795</v>
      </c>
      <c r="W25" s="57">
        <v>2662731201.5917072</v>
      </c>
      <c r="X25" s="88">
        <v>215200</v>
      </c>
      <c r="Y25">
        <f t="shared" si="0"/>
        <v>12373.286252749569</v>
      </c>
    </row>
    <row r="26" spans="1:25" ht="15.6" x14ac:dyDescent="0.3">
      <c r="A26" s="1"/>
      <c r="B26" s="56" t="s">
        <v>36</v>
      </c>
      <c r="C26" s="19">
        <v>375978605.62588042</v>
      </c>
      <c r="D26" s="3">
        <v>1102773803.7109373</v>
      </c>
      <c r="E26" s="3">
        <v>1469393.4033066027</v>
      </c>
      <c r="F26" s="3">
        <v>1879282.1106314685</v>
      </c>
      <c r="G26" s="3">
        <v>4226560.15455723</v>
      </c>
      <c r="H26" s="75">
        <v>1486327645.0053129</v>
      </c>
      <c r="I26" s="3">
        <v>907088677.75951433</v>
      </c>
      <c r="J26" s="3">
        <v>805801934.35613155</v>
      </c>
      <c r="K26" s="3">
        <v>936539306.64062464</v>
      </c>
      <c r="L26" s="3">
        <v>544201.58084481966</v>
      </c>
      <c r="M26" s="3">
        <v>75674107.871839076</v>
      </c>
      <c r="N26" s="3">
        <v>181571691.35093725</v>
      </c>
      <c r="O26" s="75">
        <v>2000131241.8003774</v>
      </c>
      <c r="P26" s="3">
        <v>23185813.703898706</v>
      </c>
      <c r="Q26" s="3">
        <v>1461229.5448377077</v>
      </c>
      <c r="R26" s="3">
        <v>6944384.9602451073</v>
      </c>
      <c r="S26" s="3">
        <v>97927002.723813072</v>
      </c>
      <c r="T26" s="3">
        <v>641122684.39250684</v>
      </c>
      <c r="U26" s="3">
        <v>3359740.6795696835</v>
      </c>
      <c r="V26" s="75">
        <v>774000856.00487113</v>
      </c>
      <c r="W26" s="57">
        <v>4260459742.8105612</v>
      </c>
      <c r="X26" s="88">
        <v>351100</v>
      </c>
      <c r="Y26">
        <f t="shared" si="0"/>
        <v>12134.604792966566</v>
      </c>
    </row>
    <row r="27" spans="1:25" ht="15.6" x14ac:dyDescent="0.3">
      <c r="A27" s="1"/>
      <c r="B27" s="56" t="s">
        <v>37</v>
      </c>
      <c r="C27" s="19">
        <v>384027369.3445732</v>
      </c>
      <c r="D27" s="3">
        <v>1454058227.5390651</v>
      </c>
      <c r="E27" s="3">
        <v>1531415.3577014804</v>
      </c>
      <c r="F27" s="3">
        <v>4753691.0724639855</v>
      </c>
      <c r="G27" s="3">
        <v>4121994.7892427468</v>
      </c>
      <c r="H27" s="75">
        <v>1848492698.1030467</v>
      </c>
      <c r="I27" s="3">
        <v>235274679.98303562</v>
      </c>
      <c r="J27" s="3">
        <v>189285097.90238068</v>
      </c>
      <c r="K27" s="3">
        <v>250060226.44042996</v>
      </c>
      <c r="L27" s="3">
        <v>272577.58343592321</v>
      </c>
      <c r="M27" s="3">
        <v>90500609.506951869</v>
      </c>
      <c r="N27" s="3">
        <v>1390680.140778424</v>
      </c>
      <c r="O27" s="75">
        <v>531509191.57397687</v>
      </c>
      <c r="P27" s="3">
        <v>356741.42368831788</v>
      </c>
      <c r="Q27" s="3">
        <v>0</v>
      </c>
      <c r="R27" s="3">
        <v>2690983.3107069647</v>
      </c>
      <c r="S27" s="3">
        <v>43321545.041196302</v>
      </c>
      <c r="T27" s="3">
        <v>861030904.36041999</v>
      </c>
      <c r="U27" s="3">
        <v>2668037.0394586651</v>
      </c>
      <c r="V27" s="75">
        <v>910068211.17547023</v>
      </c>
      <c r="W27" s="57">
        <v>3290070100.8524938</v>
      </c>
      <c r="X27" s="88">
        <v>310300</v>
      </c>
      <c r="Y27">
        <f t="shared" si="0"/>
        <v>10602.868517088282</v>
      </c>
    </row>
    <row r="28" spans="1:25" ht="15.6" x14ac:dyDescent="0.3">
      <c r="A28" s="1"/>
      <c r="B28" s="56" t="s">
        <v>98</v>
      </c>
      <c r="C28" s="19">
        <v>324660489.7005161</v>
      </c>
      <c r="D28" s="3">
        <v>1176813110.3515618</v>
      </c>
      <c r="E28" s="3">
        <v>956325.12815296662</v>
      </c>
      <c r="F28" s="3">
        <v>6429616.4786815681</v>
      </c>
      <c r="G28" s="3">
        <v>2768820.4303383823</v>
      </c>
      <c r="H28" s="75">
        <v>1511628362.0892508</v>
      </c>
      <c r="I28" s="3">
        <v>282256421.55821991</v>
      </c>
      <c r="J28" s="3">
        <v>246057925.96584255</v>
      </c>
      <c r="K28" s="3">
        <v>281740844.72656232</v>
      </c>
      <c r="L28" s="3">
        <v>98945.739017799482</v>
      </c>
      <c r="M28" s="3">
        <v>42088792.415793903</v>
      </c>
      <c r="N28" s="3">
        <v>3410563.2904171906</v>
      </c>
      <c r="O28" s="75">
        <v>573397072.1376338</v>
      </c>
      <c r="P28" s="3">
        <v>68107205.051471382</v>
      </c>
      <c r="Q28" s="3">
        <v>0</v>
      </c>
      <c r="R28" s="3">
        <v>1040006.8720707695</v>
      </c>
      <c r="S28" s="3">
        <v>34631809.596623756</v>
      </c>
      <c r="T28" s="3">
        <v>492878496.29428875</v>
      </c>
      <c r="U28" s="3">
        <v>1566685.995753628</v>
      </c>
      <c r="V28" s="75">
        <v>598224203.81020832</v>
      </c>
      <c r="W28" s="57">
        <v>2683249638.0370932</v>
      </c>
      <c r="X28" s="88">
        <v>195200</v>
      </c>
      <c r="Y28">
        <f t="shared" si="0"/>
        <v>13746.155932567075</v>
      </c>
    </row>
    <row r="29" spans="1:25" ht="15.6" x14ac:dyDescent="0.3">
      <c r="A29" s="1"/>
      <c r="B29" s="56" t="s">
        <v>38</v>
      </c>
      <c r="C29" s="19">
        <v>431545295.96578449</v>
      </c>
      <c r="D29" s="3">
        <v>1044441528.3203124</v>
      </c>
      <c r="E29" s="3">
        <v>674520.33264562488</v>
      </c>
      <c r="F29" s="3">
        <v>8381003.7302970923</v>
      </c>
      <c r="G29" s="3">
        <v>1952965.8459126982</v>
      </c>
      <c r="H29" s="75">
        <v>1486995314.1949522</v>
      </c>
      <c r="I29" s="3">
        <v>835881692.32549357</v>
      </c>
      <c r="J29" s="3">
        <v>728193712.18122709</v>
      </c>
      <c r="K29" s="3">
        <v>946787658.69140565</v>
      </c>
      <c r="L29" s="3">
        <v>0</v>
      </c>
      <c r="M29" s="3">
        <v>45307818.859145097</v>
      </c>
      <c r="N29" s="3">
        <v>47044870.386123627</v>
      </c>
      <c r="O29" s="75">
        <v>1767334060.1179016</v>
      </c>
      <c r="P29" s="3">
        <v>730372.19800691307</v>
      </c>
      <c r="Q29" s="3">
        <v>1508514.798690181</v>
      </c>
      <c r="R29" s="3">
        <v>4479950.8064846992</v>
      </c>
      <c r="S29" s="3">
        <v>104171650.0191509</v>
      </c>
      <c r="T29" s="3">
        <v>498298496.6395005</v>
      </c>
      <c r="U29" s="3">
        <v>3516330.1251156707</v>
      </c>
      <c r="V29" s="75">
        <v>612705314.58694887</v>
      </c>
      <c r="W29" s="57">
        <v>3867034688.8998027</v>
      </c>
      <c r="X29" s="88">
        <v>307700</v>
      </c>
      <c r="Y29">
        <f t="shared" si="0"/>
        <v>12567.548550210604</v>
      </c>
    </row>
    <row r="30" spans="1:25" ht="15.6" x14ac:dyDescent="0.3">
      <c r="A30" s="1"/>
      <c r="B30" s="56" t="s">
        <v>39</v>
      </c>
      <c r="C30" s="19">
        <v>310241419.0992533</v>
      </c>
      <c r="D30" s="3">
        <v>1033844848.6328125</v>
      </c>
      <c r="E30" s="3">
        <v>1045446.8623176208</v>
      </c>
      <c r="F30" s="3">
        <v>5106969.0036773654</v>
      </c>
      <c r="G30" s="3">
        <v>3026861.7624044451</v>
      </c>
      <c r="H30" s="75">
        <v>1353265545.360465</v>
      </c>
      <c r="I30" s="3">
        <v>331688463.0338614</v>
      </c>
      <c r="J30" s="3">
        <v>311982248.31124204</v>
      </c>
      <c r="K30" s="3">
        <v>280173492.43164092</v>
      </c>
      <c r="L30" s="3">
        <v>1003494.4061189886</v>
      </c>
      <c r="M30" s="3">
        <v>58925480.473404713</v>
      </c>
      <c r="N30" s="3">
        <v>9433642.7801847514</v>
      </c>
      <c r="O30" s="75">
        <v>661518358.40259147</v>
      </c>
      <c r="P30" s="3">
        <v>88690.085444860815</v>
      </c>
      <c r="Q30" s="3">
        <v>0</v>
      </c>
      <c r="R30" s="3">
        <v>142330.32019470233</v>
      </c>
      <c r="S30" s="3">
        <v>18558007.291432731</v>
      </c>
      <c r="T30" s="3">
        <v>386032143.89970553</v>
      </c>
      <c r="U30" s="3">
        <v>1148207.4311865934</v>
      </c>
      <c r="V30" s="75">
        <v>405969379.02796441</v>
      </c>
      <c r="W30" s="57">
        <v>2420753282.7910209</v>
      </c>
      <c r="X30" s="88">
        <v>209600</v>
      </c>
      <c r="Y30">
        <f t="shared" si="0"/>
        <v>11549.395433163267</v>
      </c>
    </row>
    <row r="31" spans="1:25" ht="15.6" x14ac:dyDescent="0.3">
      <c r="A31" s="1"/>
      <c r="B31" s="56" t="s">
        <v>40</v>
      </c>
      <c r="C31" s="19">
        <v>428859894.77144778</v>
      </c>
      <c r="D31" s="3">
        <v>705523132.32421875</v>
      </c>
      <c r="E31" s="3">
        <v>312541.82793200074</v>
      </c>
      <c r="F31" s="3">
        <v>4570830.9653401412</v>
      </c>
      <c r="G31" s="3">
        <v>904922.29215800716</v>
      </c>
      <c r="H31" s="75">
        <v>1140171322.1810966</v>
      </c>
      <c r="I31" s="3">
        <v>2057829697.6300321</v>
      </c>
      <c r="J31" s="3">
        <v>1974417395.1041131</v>
      </c>
      <c r="K31" s="3">
        <v>838455383.30078101</v>
      </c>
      <c r="L31" s="3">
        <v>460246.4113011958</v>
      </c>
      <c r="M31" s="3">
        <v>100092337.68040314</v>
      </c>
      <c r="N31" s="3">
        <v>33023869.664669055</v>
      </c>
      <c r="O31" s="75">
        <v>2946449232.1612673</v>
      </c>
      <c r="P31" s="3">
        <v>5301208.1939595081</v>
      </c>
      <c r="Q31" s="3">
        <v>3340191.5185990529</v>
      </c>
      <c r="R31" s="3">
        <v>89507.327207611248</v>
      </c>
      <c r="S31" s="3">
        <v>79966513.716783494</v>
      </c>
      <c r="T31" s="3">
        <v>556777217.65743887</v>
      </c>
      <c r="U31" s="3">
        <v>3445788.8091353378</v>
      </c>
      <c r="V31" s="75">
        <v>648920427.22312391</v>
      </c>
      <c r="W31" s="57">
        <v>4735540981.5654879</v>
      </c>
      <c r="X31" s="88">
        <v>310300</v>
      </c>
      <c r="Y31">
        <f t="shared" si="0"/>
        <v>15261.16977623425</v>
      </c>
    </row>
    <row r="32" spans="1:25" ht="15.6" x14ac:dyDescent="0.3">
      <c r="A32" s="1"/>
      <c r="B32" s="56" t="s">
        <v>41</v>
      </c>
      <c r="C32" s="19">
        <v>329426904.04350781</v>
      </c>
      <c r="D32" s="3">
        <v>1193759033.2031214</v>
      </c>
      <c r="E32" s="3">
        <v>1576874.6362626546</v>
      </c>
      <c r="F32" s="3">
        <v>2956245.2727556266</v>
      </c>
      <c r="G32" s="3">
        <v>4045752.2720098533</v>
      </c>
      <c r="H32" s="75">
        <v>1531764809.4276574</v>
      </c>
      <c r="I32" s="3">
        <v>300498689.35137469</v>
      </c>
      <c r="J32" s="3">
        <v>269870386.67108047</v>
      </c>
      <c r="K32" s="3">
        <v>296366943.35937518</v>
      </c>
      <c r="L32" s="3">
        <v>74686.105400323897</v>
      </c>
      <c r="M32" s="3">
        <v>58196092.89228449</v>
      </c>
      <c r="N32" s="3">
        <v>14846217.519044874</v>
      </c>
      <c r="O32" s="75">
        <v>639354326.5471853</v>
      </c>
      <c r="P32" s="3">
        <v>261721.83225533416</v>
      </c>
      <c r="Q32" s="3">
        <v>0</v>
      </c>
      <c r="R32" s="3">
        <v>3652792.6516367872</v>
      </c>
      <c r="S32" s="3">
        <v>28001108.630414777</v>
      </c>
      <c r="T32" s="3">
        <v>576390859.33314133</v>
      </c>
      <c r="U32" s="3">
        <v>2627194.0498794229</v>
      </c>
      <c r="V32" s="75">
        <v>610933676.49732769</v>
      </c>
      <c r="W32" s="57">
        <v>2782052812.4721704</v>
      </c>
      <c r="X32" s="88">
        <v>278400</v>
      </c>
      <c r="Y32">
        <f t="shared" si="0"/>
        <v>9993.0057919258998</v>
      </c>
    </row>
    <row r="33" spans="1:25" ht="15.6" x14ac:dyDescent="0.3">
      <c r="A33" s="1"/>
      <c r="B33" s="56" t="s">
        <v>42</v>
      </c>
      <c r="C33" s="19">
        <v>488172526.75701678</v>
      </c>
      <c r="D33" s="3">
        <v>1516891235.3515601</v>
      </c>
      <c r="E33" s="3">
        <v>1038038.6556684962</v>
      </c>
      <c r="F33" s="3">
        <v>5643855.0069928123</v>
      </c>
      <c r="G33" s="3">
        <v>3005492.0771717983</v>
      </c>
      <c r="H33" s="75">
        <v>2014751147.8484099</v>
      </c>
      <c r="I33" s="3">
        <v>454903653.68050271</v>
      </c>
      <c r="J33" s="3">
        <v>315434859.18284059</v>
      </c>
      <c r="K33" s="3">
        <v>675487854.00390649</v>
      </c>
      <c r="L33" s="3">
        <v>49472.869508899799</v>
      </c>
      <c r="M33" s="3">
        <v>53418923.473618895</v>
      </c>
      <c r="N33" s="3">
        <v>7779720.9924459504</v>
      </c>
      <c r="O33" s="75">
        <v>1052170830.5223207</v>
      </c>
      <c r="P33" s="3">
        <v>10555552.22656613</v>
      </c>
      <c r="Q33" s="3">
        <v>2218.6099702077254</v>
      </c>
      <c r="R33" s="3">
        <v>8351239.9881666824</v>
      </c>
      <c r="S33" s="3">
        <v>137226262.20864975</v>
      </c>
      <c r="T33" s="3">
        <v>568638524.96943641</v>
      </c>
      <c r="U33" s="3">
        <v>2242532.2890123725</v>
      </c>
      <c r="V33" s="75">
        <v>727016330.29180169</v>
      </c>
      <c r="W33" s="57">
        <v>3793938308.6625319</v>
      </c>
      <c r="X33" s="88">
        <v>327500</v>
      </c>
      <c r="Y33">
        <f t="shared" si="0"/>
        <v>11584.544453931396</v>
      </c>
    </row>
    <row r="34" spans="1:25" ht="15.6" x14ac:dyDescent="0.3">
      <c r="A34" s="1"/>
      <c r="B34" s="56" t="s">
        <v>43</v>
      </c>
      <c r="C34" s="19">
        <v>468538308.86472201</v>
      </c>
      <c r="D34" s="3">
        <v>945916198.73046863</v>
      </c>
      <c r="E34" s="3">
        <v>235704.14260961139</v>
      </c>
      <c r="F34" s="3">
        <v>11878723.657131203</v>
      </c>
      <c r="G34" s="3">
        <v>682453.27156037081</v>
      </c>
      <c r="H34" s="75">
        <v>1427251388.6664917</v>
      </c>
      <c r="I34" s="3">
        <v>2558159581.1145873</v>
      </c>
      <c r="J34" s="3">
        <v>2433730892.0561972</v>
      </c>
      <c r="K34" s="3">
        <v>2417673339.8437462</v>
      </c>
      <c r="L34" s="3">
        <v>0</v>
      </c>
      <c r="M34" s="3">
        <v>274087483.57929283</v>
      </c>
      <c r="N34" s="3">
        <v>20201524.759531036</v>
      </c>
      <c r="O34" s="75">
        <v>5145693240.2387676</v>
      </c>
      <c r="P34" s="3">
        <v>0</v>
      </c>
      <c r="Q34" s="3">
        <v>1318933.0962096886</v>
      </c>
      <c r="R34" s="3">
        <v>6679684.8964585867</v>
      </c>
      <c r="S34" s="3">
        <v>115957996.16943663</v>
      </c>
      <c r="T34" s="3">
        <v>706082312.03248549</v>
      </c>
      <c r="U34" s="3">
        <v>8470692.8889535312</v>
      </c>
      <c r="V34" s="75">
        <v>838509619.0835439</v>
      </c>
      <c r="W34" s="57">
        <v>7411454247.9888029</v>
      </c>
      <c r="X34" s="88">
        <v>204300</v>
      </c>
      <c r="Y34">
        <f t="shared" si="0"/>
        <v>36277.309094414108</v>
      </c>
    </row>
    <row r="35" spans="1:25" x14ac:dyDescent="0.3">
      <c r="A35" s="1"/>
      <c r="B35" s="1"/>
      <c r="C35" s="1"/>
      <c r="D35" s="1"/>
      <c r="E35" s="1"/>
      <c r="F35" s="1"/>
      <c r="G35" s="1"/>
      <c r="H35" s="7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</sheetData>
  <conditionalFormatting sqref="X2:X34">
    <cfRule type="cellIs" dxfId="2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7558-35BC-4A3A-BA93-7A0CA9277C2E}">
  <dimension ref="A1:AG34"/>
  <sheetViews>
    <sheetView topLeftCell="N1" workbookViewId="0">
      <selection activeCell="AG1" sqref="AG1"/>
    </sheetView>
  </sheetViews>
  <sheetFormatPr defaultRowHeight="14.4" x14ac:dyDescent="0.3"/>
  <cols>
    <col min="2" max="2" width="21.88671875" customWidth="1"/>
    <col min="32" max="32" width="17.88671875" customWidth="1"/>
    <col min="33" max="33" width="27.109375" customWidth="1"/>
  </cols>
  <sheetData>
    <row r="1" spans="1:33" ht="55.2" x14ac:dyDescent="0.3">
      <c r="A1" s="2"/>
      <c r="B1" s="92" t="s">
        <v>97</v>
      </c>
      <c r="C1" s="78" t="s">
        <v>0</v>
      </c>
      <c r="D1" s="78" t="s">
        <v>1</v>
      </c>
      <c r="E1" s="78" t="s">
        <v>2</v>
      </c>
      <c r="F1" s="78" t="s">
        <v>3</v>
      </c>
      <c r="G1" s="78" t="s">
        <v>4</v>
      </c>
      <c r="H1" s="78" t="s">
        <v>5</v>
      </c>
      <c r="I1" s="77" t="s">
        <v>0</v>
      </c>
      <c r="J1" s="77" t="s">
        <v>44</v>
      </c>
      <c r="K1" s="77" t="s">
        <v>1</v>
      </c>
      <c r="L1" s="77" t="s">
        <v>2</v>
      </c>
      <c r="M1" s="77" t="s">
        <v>3</v>
      </c>
      <c r="N1" s="79" t="s">
        <v>4</v>
      </c>
      <c r="O1" s="77" t="s">
        <v>5</v>
      </c>
      <c r="P1" s="77" t="s">
        <v>7</v>
      </c>
      <c r="Q1" s="77" t="s">
        <v>8</v>
      </c>
      <c r="R1" s="77" t="s">
        <v>45</v>
      </c>
      <c r="S1" s="77" t="s">
        <v>46</v>
      </c>
      <c r="T1" s="77" t="s">
        <v>47</v>
      </c>
      <c r="U1" s="77" t="s">
        <v>48</v>
      </c>
      <c r="V1" s="77" t="s">
        <v>5</v>
      </c>
      <c r="W1" s="80" t="s">
        <v>49</v>
      </c>
      <c r="X1" s="77" t="s">
        <v>50</v>
      </c>
      <c r="Y1" s="77" t="s">
        <v>51</v>
      </c>
      <c r="Z1" s="77" t="s">
        <v>5</v>
      </c>
      <c r="AA1" s="85"/>
      <c r="AB1" s="85"/>
      <c r="AC1" s="85"/>
      <c r="AD1" s="85"/>
      <c r="AE1" s="84"/>
      <c r="AF1" s="91" t="s">
        <v>94</v>
      </c>
      <c r="AG1" s="91" t="s">
        <v>95</v>
      </c>
    </row>
    <row r="2" spans="1:33" ht="15.6" x14ac:dyDescent="0.3">
      <c r="A2" s="18"/>
      <c r="B2" s="56" t="s">
        <v>13</v>
      </c>
      <c r="C2" s="19">
        <v>71.110090628388292</v>
      </c>
      <c r="D2" s="3">
        <v>60.722095752021943</v>
      </c>
      <c r="E2" s="3">
        <v>41.727535056791424</v>
      </c>
      <c r="F2" s="3">
        <v>9.0613628242028135E-2</v>
      </c>
      <c r="G2" s="3">
        <v>36.592038301312307</v>
      </c>
      <c r="H2" s="57">
        <v>0.41870630560329042</v>
      </c>
      <c r="I2" s="4">
        <v>139.55098904397099</v>
      </c>
      <c r="J2" s="3">
        <v>0</v>
      </c>
      <c r="K2" s="3">
        <v>2.5084107741452732</v>
      </c>
      <c r="L2" s="3">
        <v>2.2409274505575842</v>
      </c>
      <c r="M2" s="20">
        <v>10.0973971469913</v>
      </c>
      <c r="N2" s="20">
        <v>122.29302711422061</v>
      </c>
      <c r="O2" s="57">
        <v>0.29059772937505179</v>
      </c>
      <c r="P2" s="20">
        <v>137.43036021528982</v>
      </c>
      <c r="Q2" s="20">
        <v>0.30139094166120006</v>
      </c>
      <c r="R2" s="20">
        <v>2.9838555049660007</v>
      </c>
      <c r="S2" s="20">
        <v>0</v>
      </c>
      <c r="T2" s="20">
        <v>3.2852464466272009</v>
      </c>
      <c r="U2" s="21"/>
      <c r="V2" s="58"/>
      <c r="W2" s="20"/>
      <c r="X2" s="20"/>
      <c r="Y2" s="20">
        <v>479.22413434820078</v>
      </c>
      <c r="Z2" s="81">
        <f>SUM(W2:Y2)</f>
        <v>479.22413434820078</v>
      </c>
      <c r="AA2" s="59"/>
      <c r="AB2" s="82"/>
      <c r="AC2" s="82"/>
      <c r="AD2" s="82"/>
      <c r="AE2" s="60">
        <f>H2+O2+V2+Z2+AC2</f>
        <v>479.93343838317912</v>
      </c>
      <c r="AF2" s="88">
        <v>218900</v>
      </c>
      <c r="AG2">
        <f>(AE2*1000)/AF2</f>
        <v>2.1924780191100006</v>
      </c>
    </row>
    <row r="3" spans="1:33" ht="15.6" x14ac:dyDescent="0.3">
      <c r="A3" s="18"/>
      <c r="B3" s="56" t="s">
        <v>14</v>
      </c>
      <c r="C3" s="19">
        <v>101.88947472414547</v>
      </c>
      <c r="D3" s="3">
        <v>78.645410223858931</v>
      </c>
      <c r="E3" s="3">
        <v>98.963466046130222</v>
      </c>
      <c r="F3" s="3">
        <v>0.39508531411715936</v>
      </c>
      <c r="G3" s="3">
        <v>22.134044372929974</v>
      </c>
      <c r="H3" s="57">
        <v>0.32960806376554108</v>
      </c>
      <c r="I3" s="4">
        <v>200.46761402080179</v>
      </c>
      <c r="J3" s="3">
        <v>0.11986327986658399</v>
      </c>
      <c r="K3" s="3">
        <v>0</v>
      </c>
      <c r="L3" s="3">
        <v>9.7242235143347528</v>
      </c>
      <c r="M3" s="20">
        <v>22.367217458502388</v>
      </c>
      <c r="N3" s="20">
        <v>338.42653781767291</v>
      </c>
      <c r="O3" s="57">
        <v>0.87684704178413864</v>
      </c>
      <c r="P3" s="20">
        <v>371.51468911216074</v>
      </c>
      <c r="Q3" s="20">
        <v>0.54765714267800003</v>
      </c>
      <c r="R3" s="20">
        <v>15.746857973709997</v>
      </c>
      <c r="S3" s="20">
        <v>0</v>
      </c>
      <c r="T3" s="20">
        <v>16.294515116387995</v>
      </c>
      <c r="U3" s="21"/>
      <c r="V3" s="58"/>
      <c r="W3" s="20"/>
      <c r="X3" s="20"/>
      <c r="Y3" s="20">
        <v>1127.0848893223804</v>
      </c>
      <c r="Z3" s="58">
        <f t="shared" ref="Z3:Z34" si="0">(SUM(W3:Y3))</f>
        <v>1127.0848893223804</v>
      </c>
      <c r="AA3" s="59"/>
      <c r="AB3" s="59"/>
      <c r="AC3" s="59"/>
      <c r="AD3" s="59"/>
      <c r="AE3" s="60">
        <f t="shared" ref="AE3:AE34" si="1">H3+O3+V3+Z3+AC3</f>
        <v>1128.29134442793</v>
      </c>
      <c r="AF3" s="88">
        <v>389300</v>
      </c>
      <c r="AG3">
        <f t="shared" ref="AG3:AG34" si="2">(AE3*1000)/AF3</f>
        <v>2.8982567285587719</v>
      </c>
    </row>
    <row r="4" spans="1:33" ht="15.6" x14ac:dyDescent="0.3">
      <c r="A4" s="18"/>
      <c r="B4" s="56" t="s">
        <v>15</v>
      </c>
      <c r="C4" s="19">
        <v>86.864112745382542</v>
      </c>
      <c r="D4" s="3">
        <v>77.963340466393561</v>
      </c>
      <c r="E4" s="3">
        <v>124.08005198069331</v>
      </c>
      <c r="F4" s="3">
        <v>0.23907899857993051</v>
      </c>
      <c r="G4" s="3">
        <v>23.25354940172954</v>
      </c>
      <c r="H4" s="57">
        <v>5.0921927320300258</v>
      </c>
      <c r="I4" s="4">
        <v>230.62821357942639</v>
      </c>
      <c r="J4" s="3">
        <v>1.0386132951625431</v>
      </c>
      <c r="K4" s="3">
        <v>1.2897431319952655</v>
      </c>
      <c r="L4" s="3">
        <v>1.2214425205698853</v>
      </c>
      <c r="M4" s="20">
        <v>8.4721289373383915</v>
      </c>
      <c r="N4" s="20">
        <v>190.74623675822068</v>
      </c>
      <c r="O4" s="57">
        <v>0.42864334165058127</v>
      </c>
      <c r="P4" s="20">
        <v>203.19680798493732</v>
      </c>
      <c r="Q4" s="20">
        <v>0.451031388418</v>
      </c>
      <c r="R4" s="20">
        <v>6.9003001799310013</v>
      </c>
      <c r="S4" s="20">
        <v>0</v>
      </c>
      <c r="T4" s="20">
        <v>7.3513315683490017</v>
      </c>
      <c r="U4" s="21"/>
      <c r="V4" s="58"/>
      <c r="W4" s="20"/>
      <c r="X4" s="20"/>
      <c r="Y4" s="20">
        <v>746.66242603869478</v>
      </c>
      <c r="Z4" s="58">
        <f t="shared" si="0"/>
        <v>746.66242603869478</v>
      </c>
      <c r="AA4" s="59"/>
      <c r="AB4" s="59"/>
      <c r="AC4" s="59"/>
      <c r="AD4" s="59"/>
      <c r="AE4" s="60">
        <f t="shared" si="1"/>
        <v>752.18326211237536</v>
      </c>
      <c r="AF4" s="88">
        <v>246500</v>
      </c>
      <c r="AG4">
        <f t="shared" si="2"/>
        <v>3.0514533959934091</v>
      </c>
    </row>
    <row r="5" spans="1:33" ht="15.6" x14ac:dyDescent="0.3">
      <c r="A5" s="18"/>
      <c r="B5" s="56" t="s">
        <v>16</v>
      </c>
      <c r="C5" s="19">
        <v>164.39792867527134</v>
      </c>
      <c r="D5" s="3">
        <v>139.81832537619988</v>
      </c>
      <c r="E5" s="3">
        <v>114.92242941128102</v>
      </c>
      <c r="F5" s="3">
        <v>3.43552435612604E-2</v>
      </c>
      <c r="G5" s="3">
        <v>59.875072970780806</v>
      </c>
      <c r="H5" s="57">
        <v>1.6567503638817085</v>
      </c>
      <c r="I5" s="4">
        <v>316.30693336570471</v>
      </c>
      <c r="J5" s="3">
        <v>0.19403794800720095</v>
      </c>
      <c r="K5" s="3">
        <v>0</v>
      </c>
      <c r="L5" s="3">
        <v>13.318285764644926</v>
      </c>
      <c r="M5" s="20">
        <v>24.024343166376781</v>
      </c>
      <c r="N5" s="20">
        <v>173.21121557775723</v>
      </c>
      <c r="O5" s="57">
        <v>0.55526013269467467</v>
      </c>
      <c r="P5" s="20">
        <v>211.30314258948081</v>
      </c>
      <c r="Q5" s="20">
        <v>0.91883538422700006</v>
      </c>
      <c r="R5" s="20">
        <v>13.530437723187999</v>
      </c>
      <c r="S5" s="20">
        <v>0</v>
      </c>
      <c r="T5" s="20">
        <v>14.449273107414999</v>
      </c>
      <c r="U5" s="21"/>
      <c r="V5" s="58"/>
      <c r="W5" s="20"/>
      <c r="X5" s="20"/>
      <c r="Y5" s="20">
        <v>919.06886127772475</v>
      </c>
      <c r="Z5" s="58">
        <f t="shared" si="0"/>
        <v>919.06886127772475</v>
      </c>
      <c r="AA5" s="59"/>
      <c r="AB5" s="59"/>
      <c r="AC5" s="59"/>
      <c r="AD5" s="59"/>
      <c r="AE5" s="60">
        <f t="shared" si="1"/>
        <v>921.28087177430109</v>
      </c>
      <c r="AF5" s="88">
        <v>339800</v>
      </c>
      <c r="AG5">
        <f t="shared" si="2"/>
        <v>2.7112444725553297</v>
      </c>
    </row>
    <row r="6" spans="1:33" ht="15.6" x14ac:dyDescent="0.3">
      <c r="A6" s="18"/>
      <c r="B6" s="56" t="s">
        <v>17</v>
      </c>
      <c r="C6" s="19">
        <v>81.105834489025142</v>
      </c>
      <c r="D6" s="3">
        <v>63.021042033471623</v>
      </c>
      <c r="E6" s="3">
        <v>66.166628573397418</v>
      </c>
      <c r="F6" s="3">
        <v>7.1424597119395694E-2</v>
      </c>
      <c r="G6" s="3">
        <v>25.336055157925781</v>
      </c>
      <c r="H6" s="57">
        <v>0.44689514634403998</v>
      </c>
      <c r="I6" s="4">
        <v>155.04204550825827</v>
      </c>
      <c r="J6" s="3">
        <v>2.5032752555278339</v>
      </c>
      <c r="K6" s="3">
        <v>0</v>
      </c>
      <c r="L6" s="3">
        <v>1.357502584597553</v>
      </c>
      <c r="M6" s="20">
        <v>17.477038910828504</v>
      </c>
      <c r="N6" s="20">
        <v>233.70412455096573</v>
      </c>
      <c r="O6" s="57">
        <v>0.60775354472501608</v>
      </c>
      <c r="P6" s="20">
        <v>255.64969484664465</v>
      </c>
      <c r="Q6" s="20">
        <v>0.38487658532414004</v>
      </c>
      <c r="R6" s="20">
        <v>8.6549093097363965</v>
      </c>
      <c r="S6" s="20">
        <v>0</v>
      </c>
      <c r="T6" s="20">
        <v>9.0397858950605361</v>
      </c>
      <c r="U6" s="21"/>
      <c r="V6" s="58"/>
      <c r="W6" s="20"/>
      <c r="X6" s="20"/>
      <c r="Y6" s="20">
        <v>914.06624046070306</v>
      </c>
      <c r="Z6" s="58">
        <f t="shared" si="0"/>
        <v>914.06624046070306</v>
      </c>
      <c r="AA6" s="59"/>
      <c r="AB6" s="59"/>
      <c r="AC6" s="59"/>
      <c r="AD6" s="59"/>
      <c r="AE6" s="60">
        <f t="shared" si="1"/>
        <v>915.12088915177208</v>
      </c>
      <c r="AF6" s="88">
        <v>330000</v>
      </c>
      <c r="AG6">
        <f t="shared" si="2"/>
        <v>2.7730936034902181</v>
      </c>
    </row>
    <row r="7" spans="1:33" ht="15.6" x14ac:dyDescent="0.3">
      <c r="A7" s="18"/>
      <c r="B7" s="56" t="s">
        <v>18</v>
      </c>
      <c r="C7" s="19">
        <v>257.75269828274924</v>
      </c>
      <c r="D7" s="3">
        <v>232.48104482436756</v>
      </c>
      <c r="E7" s="3">
        <v>267.1657986116025</v>
      </c>
      <c r="F7" s="3">
        <v>0.40450186953066974</v>
      </c>
      <c r="G7" s="3">
        <v>20.242963501994829</v>
      </c>
      <c r="H7" s="57">
        <v>0.71955016031118291</v>
      </c>
      <c r="I7" s="4">
        <v>521.01385896780675</v>
      </c>
      <c r="J7" s="3">
        <v>0</v>
      </c>
      <c r="K7" s="3">
        <v>0</v>
      </c>
      <c r="L7" s="3">
        <v>11.823222861390841</v>
      </c>
      <c r="M7" s="20">
        <v>24.478844943680087</v>
      </c>
      <c r="N7" s="20">
        <v>111.37069364365598</v>
      </c>
      <c r="O7" s="57">
        <v>0.79280851470159364</v>
      </c>
      <c r="P7" s="20">
        <v>148.46556996342849</v>
      </c>
      <c r="Q7" s="20">
        <v>0.89733008073599985</v>
      </c>
      <c r="R7" s="20">
        <v>34.492970468911011</v>
      </c>
      <c r="S7" s="20">
        <v>0</v>
      </c>
      <c r="T7" s="20">
        <v>35.390300549647009</v>
      </c>
      <c r="U7" s="21"/>
      <c r="V7" s="58"/>
      <c r="W7" s="20"/>
      <c r="X7" s="20"/>
      <c r="Y7" s="20">
        <v>954.62374871656596</v>
      </c>
      <c r="Z7" s="58">
        <f t="shared" si="0"/>
        <v>954.62374871656596</v>
      </c>
      <c r="AA7" s="59"/>
      <c r="AB7" s="59"/>
      <c r="AC7" s="59"/>
      <c r="AD7" s="59"/>
      <c r="AE7" s="60">
        <f t="shared" si="1"/>
        <v>956.13610739157878</v>
      </c>
      <c r="AF7" s="88">
        <v>210100</v>
      </c>
      <c r="AG7">
        <f t="shared" si="2"/>
        <v>4.5508620056714841</v>
      </c>
    </row>
    <row r="8" spans="1:33" ht="15.6" x14ac:dyDescent="0.3">
      <c r="A8" s="18"/>
      <c r="B8" s="56" t="s">
        <v>19</v>
      </c>
      <c r="C8" s="19">
        <v>352.8035875938715</v>
      </c>
      <c r="D8" s="3">
        <v>345.38351040950153</v>
      </c>
      <c r="E8" s="3">
        <v>132.3147230881126</v>
      </c>
      <c r="F8" s="3">
        <v>1.7177621780630221E-2</v>
      </c>
      <c r="G8" s="3">
        <v>11.440879972760829</v>
      </c>
      <c r="H8" s="57">
        <v>1.5251772477782868</v>
      </c>
      <c r="I8" s="4">
        <v>490.68146833993387</v>
      </c>
      <c r="J8" s="3">
        <v>4.9655202801356095E-2</v>
      </c>
      <c r="K8" s="3">
        <v>3.0401074365273679</v>
      </c>
      <c r="L8" s="3">
        <v>3.3877124686749896E-3</v>
      </c>
      <c r="M8" s="20">
        <v>7.0768050779880616</v>
      </c>
      <c r="N8" s="20">
        <v>28.735177021591404</v>
      </c>
      <c r="O8" s="57">
        <v>0.34327210638192351</v>
      </c>
      <c r="P8" s="20">
        <v>39.248404557758789</v>
      </c>
      <c r="Q8" s="20">
        <v>0.41675647185599995</v>
      </c>
      <c r="R8" s="20">
        <v>5.7212067772459996</v>
      </c>
      <c r="S8" s="20">
        <v>0</v>
      </c>
      <c r="T8" s="20">
        <v>6.1379632491019995</v>
      </c>
      <c r="U8" s="21"/>
      <c r="V8" s="58"/>
      <c r="W8" s="20"/>
      <c r="X8" s="20"/>
      <c r="Y8" s="20">
        <v>547.24991378482343</v>
      </c>
      <c r="Z8" s="58">
        <f t="shared" si="0"/>
        <v>547.24991378482343</v>
      </c>
      <c r="AA8" s="59"/>
      <c r="AB8" s="59"/>
      <c r="AC8" s="59"/>
      <c r="AD8" s="59"/>
      <c r="AE8" s="60">
        <f t="shared" si="1"/>
        <v>549.11836313898368</v>
      </c>
      <c r="AF8" s="88">
        <v>8600</v>
      </c>
      <c r="AG8">
        <f t="shared" si="2"/>
        <v>63.85097245802136</v>
      </c>
    </row>
    <row r="9" spans="1:33" ht="15.6" x14ac:dyDescent="0.3">
      <c r="A9" s="18"/>
      <c r="B9" s="56" t="s">
        <v>20</v>
      </c>
      <c r="C9" s="19">
        <v>132.0634542436915</v>
      </c>
      <c r="D9" s="3">
        <v>106.29562884247765</v>
      </c>
      <c r="E9" s="3">
        <v>95.943330018765238</v>
      </c>
      <c r="F9" s="3">
        <v>0.16472250524423021</v>
      </c>
      <c r="G9" s="3">
        <v>15.501120137410167</v>
      </c>
      <c r="H9" s="57">
        <v>1.5691381276109408</v>
      </c>
      <c r="I9" s="4">
        <v>219.47393963150824</v>
      </c>
      <c r="J9" s="3">
        <v>9.5148785932266278E-2</v>
      </c>
      <c r="K9" s="3">
        <v>0</v>
      </c>
      <c r="L9" s="3">
        <v>3.0813438182997746</v>
      </c>
      <c r="M9" s="20">
        <v>25.20548510449613</v>
      </c>
      <c r="N9" s="20">
        <v>211.88297468622238</v>
      </c>
      <c r="O9" s="57">
        <v>0.56234029671770658</v>
      </c>
      <c r="P9" s="20">
        <v>240.82729269166828</v>
      </c>
      <c r="Q9" s="20">
        <v>0.23383853988799999</v>
      </c>
      <c r="R9" s="20">
        <v>22.226410989615008</v>
      </c>
      <c r="S9" s="20">
        <v>0</v>
      </c>
      <c r="T9" s="20">
        <v>22.46024952950301</v>
      </c>
      <c r="U9" s="21"/>
      <c r="V9" s="58"/>
      <c r="W9" s="20"/>
      <c r="X9" s="20"/>
      <c r="Y9" s="20">
        <v>995.99741384844504</v>
      </c>
      <c r="Z9" s="58">
        <f t="shared" si="0"/>
        <v>995.99741384844504</v>
      </c>
      <c r="AA9" s="59"/>
      <c r="AB9" s="59"/>
      <c r="AC9" s="59"/>
      <c r="AD9" s="59"/>
      <c r="AE9" s="60">
        <f t="shared" si="1"/>
        <v>998.12889227277367</v>
      </c>
      <c r="AF9" s="88">
        <v>390800</v>
      </c>
      <c r="AG9">
        <f t="shared" si="2"/>
        <v>2.5540657427655415</v>
      </c>
    </row>
    <row r="10" spans="1:33" ht="15.6" x14ac:dyDescent="0.3">
      <c r="A10" s="18"/>
      <c r="B10" s="56" t="s">
        <v>21</v>
      </c>
      <c r="C10" s="19">
        <v>195.95963261332182</v>
      </c>
      <c r="D10" s="3">
        <v>174.16190745455651</v>
      </c>
      <c r="E10" s="3">
        <v>122.5103958518378</v>
      </c>
      <c r="F10" s="3">
        <v>0.12965992104058738</v>
      </c>
      <c r="G10" s="3">
        <v>34.633242385762806</v>
      </c>
      <c r="H10" s="57">
        <v>4.2711420716971107</v>
      </c>
      <c r="I10" s="4">
        <v>335.70634768489481</v>
      </c>
      <c r="J10" s="3">
        <v>0</v>
      </c>
      <c r="K10" s="3">
        <v>0</v>
      </c>
      <c r="L10" s="3">
        <v>5.5090919809711547</v>
      </c>
      <c r="M10" s="20">
        <v>21.131570663887771</v>
      </c>
      <c r="N10" s="20">
        <v>242.11418898383309</v>
      </c>
      <c r="O10" s="57">
        <v>0.6661544948775191</v>
      </c>
      <c r="P10" s="20">
        <v>269.4210061235695</v>
      </c>
      <c r="Q10" s="20">
        <v>1.0140735236480001</v>
      </c>
      <c r="R10" s="20">
        <v>21.05928328278301</v>
      </c>
      <c r="S10" s="20">
        <v>0</v>
      </c>
      <c r="T10" s="20">
        <v>22.073356806431011</v>
      </c>
      <c r="U10" s="21"/>
      <c r="V10" s="58"/>
      <c r="W10" s="20"/>
      <c r="X10" s="20"/>
      <c r="Y10" s="20">
        <v>1039.6440566008644</v>
      </c>
      <c r="Z10" s="58">
        <f t="shared" si="0"/>
        <v>1039.6440566008644</v>
      </c>
      <c r="AA10" s="59"/>
      <c r="AB10" s="59"/>
      <c r="AC10" s="59"/>
      <c r="AD10" s="59"/>
      <c r="AE10" s="60">
        <f t="shared" si="1"/>
        <v>1044.5813531674389</v>
      </c>
      <c r="AF10" s="88">
        <v>367100</v>
      </c>
      <c r="AG10">
        <f t="shared" si="2"/>
        <v>2.8454953777375072</v>
      </c>
    </row>
    <row r="11" spans="1:33" ht="15.6" x14ac:dyDescent="0.3">
      <c r="A11" s="18"/>
      <c r="B11" s="56" t="s">
        <v>22</v>
      </c>
      <c r="C11" s="19">
        <v>114.30299250036012</v>
      </c>
      <c r="D11" s="3">
        <v>104.16955052042351</v>
      </c>
      <c r="E11" s="3">
        <v>93.185478834492699</v>
      </c>
      <c r="F11" s="3">
        <v>0.54291615111836422</v>
      </c>
      <c r="G11" s="3">
        <v>27.379918102118165</v>
      </c>
      <c r="H11" s="57">
        <v>0.46963213489915845</v>
      </c>
      <c r="I11" s="4">
        <v>225.7474957430519</v>
      </c>
      <c r="J11" s="3">
        <v>8.4833999388029713E-2</v>
      </c>
      <c r="K11" s="3">
        <v>0</v>
      </c>
      <c r="L11" s="3">
        <v>1.2326778649872205</v>
      </c>
      <c r="M11" s="20">
        <v>9.2970478161552297</v>
      </c>
      <c r="N11" s="20">
        <v>376.49579884784816</v>
      </c>
      <c r="O11" s="57">
        <v>0.83639416378138409</v>
      </c>
      <c r="P11" s="20">
        <v>387.94675269216003</v>
      </c>
      <c r="Q11" s="20">
        <v>0.81880077795499995</v>
      </c>
      <c r="R11" s="20">
        <v>3.823358876136</v>
      </c>
      <c r="S11" s="20">
        <v>0</v>
      </c>
      <c r="T11" s="20">
        <v>4.6421596540909995</v>
      </c>
      <c r="U11" s="21"/>
      <c r="V11" s="58"/>
      <c r="W11" s="20"/>
      <c r="X11" s="20"/>
      <c r="Y11" s="20">
        <v>1013.8984366687138</v>
      </c>
      <c r="Z11" s="58">
        <f t="shared" si="0"/>
        <v>1013.8984366687138</v>
      </c>
      <c r="AA11" s="59"/>
      <c r="AB11" s="59"/>
      <c r="AC11" s="59"/>
      <c r="AD11" s="59"/>
      <c r="AE11" s="60">
        <f t="shared" si="1"/>
        <v>1015.2044629673943</v>
      </c>
      <c r="AF11" s="88">
        <v>330000</v>
      </c>
      <c r="AG11">
        <f t="shared" si="2"/>
        <v>3.0763771605072554</v>
      </c>
    </row>
    <row r="12" spans="1:33" ht="15.6" x14ac:dyDescent="0.3">
      <c r="A12" s="18"/>
      <c r="B12" s="56" t="s">
        <v>23</v>
      </c>
      <c r="C12" s="19">
        <v>95.845951378759693</v>
      </c>
      <c r="D12" s="3">
        <v>86.655182677189458</v>
      </c>
      <c r="E12" s="3">
        <v>99.469434683059617</v>
      </c>
      <c r="F12" s="3">
        <v>1.7177621780630221E-2</v>
      </c>
      <c r="G12" s="3">
        <v>20.705715036807277</v>
      </c>
      <c r="H12" s="57">
        <v>0.48698159905707444</v>
      </c>
      <c r="I12" s="4">
        <v>207.33449161789409</v>
      </c>
      <c r="J12" s="3">
        <v>0.77190708395636665</v>
      </c>
      <c r="K12" s="3">
        <v>2.0891516259311032</v>
      </c>
      <c r="L12" s="3">
        <v>0.73266469294282555</v>
      </c>
      <c r="M12" s="20">
        <v>8.4274417333126372</v>
      </c>
      <c r="N12" s="20">
        <v>207.3516837850695</v>
      </c>
      <c r="O12" s="57">
        <v>0.76332696825759527</v>
      </c>
      <c r="P12" s="20">
        <v>220.13617588947002</v>
      </c>
      <c r="Q12" s="20">
        <v>0.54861386806599999</v>
      </c>
      <c r="R12" s="20">
        <v>7.9129895673880002</v>
      </c>
      <c r="S12" s="20">
        <v>0</v>
      </c>
      <c r="T12" s="20">
        <v>8.4616034354540002</v>
      </c>
      <c r="U12" s="21"/>
      <c r="V12" s="58"/>
      <c r="W12" s="20"/>
      <c r="X12" s="20"/>
      <c r="Y12" s="20">
        <v>729.55244037600073</v>
      </c>
      <c r="Z12" s="58">
        <f t="shared" si="0"/>
        <v>729.55244037600073</v>
      </c>
      <c r="AA12" s="59"/>
      <c r="AB12" s="59"/>
      <c r="AC12" s="59"/>
      <c r="AD12" s="59"/>
      <c r="AE12" s="60">
        <f t="shared" si="1"/>
        <v>730.80274894331535</v>
      </c>
      <c r="AF12" s="88">
        <v>289100</v>
      </c>
      <c r="AG12">
        <f t="shared" si="2"/>
        <v>2.5278545449440171</v>
      </c>
    </row>
    <row r="13" spans="1:33" ht="15.6" x14ac:dyDescent="0.3">
      <c r="A13" s="18"/>
      <c r="B13" s="56" t="s">
        <v>24</v>
      </c>
      <c r="C13" s="19">
        <v>116.20802928276819</v>
      </c>
      <c r="D13" s="3">
        <v>107.28803037269589</v>
      </c>
      <c r="E13" s="3">
        <v>67.752781130989746</v>
      </c>
      <c r="F13" s="3">
        <v>0.22430238484970319</v>
      </c>
      <c r="G13" s="3">
        <v>14.19806171521549</v>
      </c>
      <c r="H13" s="57">
        <v>2.9119180178949824</v>
      </c>
      <c r="I13" s="4">
        <v>192.37509362164579</v>
      </c>
      <c r="J13" s="3">
        <v>0</v>
      </c>
      <c r="K13" s="3">
        <v>0</v>
      </c>
      <c r="L13" s="3">
        <v>1.01297359047205</v>
      </c>
      <c r="M13" s="20">
        <v>8.3686328877843028</v>
      </c>
      <c r="N13" s="20">
        <v>96.478656909372006</v>
      </c>
      <c r="O13" s="57">
        <v>0.55136602228800402</v>
      </c>
      <c r="P13" s="20">
        <v>106.41162940991637</v>
      </c>
      <c r="Q13" s="20">
        <v>0.40704629645070001</v>
      </c>
      <c r="R13" s="20">
        <v>14.969694382715998</v>
      </c>
      <c r="S13" s="20">
        <v>0</v>
      </c>
      <c r="T13" s="20">
        <v>15.376740679166698</v>
      </c>
      <c r="U13" s="21"/>
      <c r="V13" s="58"/>
      <c r="W13" s="20"/>
      <c r="X13" s="20"/>
      <c r="Y13" s="20">
        <v>569.33532875978449</v>
      </c>
      <c r="Z13" s="58">
        <f t="shared" si="0"/>
        <v>569.33532875978449</v>
      </c>
      <c r="AA13" s="59"/>
      <c r="AB13" s="59"/>
      <c r="AC13" s="59"/>
      <c r="AD13" s="59"/>
      <c r="AE13" s="60">
        <f t="shared" si="1"/>
        <v>572.79861279996749</v>
      </c>
      <c r="AF13" s="88">
        <v>259200</v>
      </c>
      <c r="AG13">
        <f t="shared" si="2"/>
        <v>2.2098711913578994</v>
      </c>
    </row>
    <row r="14" spans="1:33" ht="15.6" x14ac:dyDescent="0.3">
      <c r="A14" s="18"/>
      <c r="B14" s="56" t="s">
        <v>25</v>
      </c>
      <c r="C14" s="19">
        <v>133.43465273134873</v>
      </c>
      <c r="D14" s="3">
        <v>122.64608453144352</v>
      </c>
      <c r="E14" s="3">
        <v>104.22468239085356</v>
      </c>
      <c r="F14" s="3">
        <v>0</v>
      </c>
      <c r="G14" s="3">
        <v>12.449887970169334</v>
      </c>
      <c r="H14" s="57">
        <v>0.19669673254478495</v>
      </c>
      <c r="I14" s="4">
        <v>239.5173516250112</v>
      </c>
      <c r="J14" s="3">
        <v>3.7345324042146908</v>
      </c>
      <c r="K14" s="3">
        <v>3.5535441934149746E-3</v>
      </c>
      <c r="L14" s="3">
        <v>1.9390146472330934</v>
      </c>
      <c r="M14" s="20">
        <v>10.245767985580915</v>
      </c>
      <c r="N14" s="20">
        <v>94.955085255562338</v>
      </c>
      <c r="O14" s="57">
        <v>0.5428002143243007</v>
      </c>
      <c r="P14" s="20">
        <v>111.42075405110876</v>
      </c>
      <c r="Q14" s="20">
        <v>0.25575030935702797</v>
      </c>
      <c r="R14" s="20">
        <v>11.936210371152999</v>
      </c>
      <c r="S14" s="20">
        <v>0</v>
      </c>
      <c r="T14" s="20">
        <v>12.191960680510027</v>
      </c>
      <c r="U14" s="21"/>
      <c r="V14" s="58"/>
      <c r="W14" s="20"/>
      <c r="X14" s="20"/>
      <c r="Y14" s="20">
        <v>586.93346949518548</v>
      </c>
      <c r="Z14" s="58">
        <f t="shared" si="0"/>
        <v>586.93346949518548</v>
      </c>
      <c r="AA14" s="59"/>
      <c r="AB14" s="59"/>
      <c r="AC14" s="59"/>
      <c r="AD14" s="59"/>
      <c r="AE14" s="60">
        <f t="shared" si="1"/>
        <v>587.67296644205453</v>
      </c>
      <c r="AF14" s="88">
        <v>183200</v>
      </c>
      <c r="AG14">
        <f t="shared" si="2"/>
        <v>3.2078218692251883</v>
      </c>
    </row>
    <row r="15" spans="1:33" ht="15.6" x14ac:dyDescent="0.3">
      <c r="A15" s="18"/>
      <c r="B15" s="56" t="s">
        <v>26</v>
      </c>
      <c r="C15" s="19">
        <v>91.628666099809422</v>
      </c>
      <c r="D15" s="3">
        <v>75.353192422275342</v>
      </c>
      <c r="E15" s="3">
        <v>67.389999262476252</v>
      </c>
      <c r="F15" s="3">
        <v>0.1121511924248516</v>
      </c>
      <c r="G15" s="3">
        <v>13.890721185708628</v>
      </c>
      <c r="H15" s="57">
        <v>2.2007130659991683</v>
      </c>
      <c r="I15" s="4">
        <v>158.94677712888424</v>
      </c>
      <c r="J15" s="3">
        <v>0</v>
      </c>
      <c r="K15" s="3">
        <v>0</v>
      </c>
      <c r="L15" s="3">
        <v>3.0157107847222684</v>
      </c>
      <c r="M15" s="20">
        <v>15.690614857303194</v>
      </c>
      <c r="N15" s="20">
        <v>106.54072898230586</v>
      </c>
      <c r="O15" s="57">
        <v>0.58485882023088909</v>
      </c>
      <c r="P15" s="20">
        <v>125.83191344456222</v>
      </c>
      <c r="Q15" s="20">
        <v>0.48999601909499996</v>
      </c>
      <c r="R15" s="20">
        <v>7.7688428030349987</v>
      </c>
      <c r="S15" s="20">
        <v>0</v>
      </c>
      <c r="T15" s="20">
        <v>8.2588388221299986</v>
      </c>
      <c r="U15" s="21"/>
      <c r="V15" s="58"/>
      <c r="W15" s="20"/>
      <c r="X15" s="20"/>
      <c r="Y15" s="20">
        <v>601.65890449987535</v>
      </c>
      <c r="Z15" s="58">
        <f t="shared" si="0"/>
        <v>601.65890449987535</v>
      </c>
      <c r="AA15" s="59"/>
      <c r="AB15" s="59"/>
      <c r="AC15" s="59"/>
      <c r="AD15" s="59"/>
      <c r="AE15" s="60">
        <f t="shared" si="1"/>
        <v>604.44447638610541</v>
      </c>
      <c r="AF15" s="88">
        <v>264200</v>
      </c>
      <c r="AG15">
        <f t="shared" si="2"/>
        <v>2.2878292066090289</v>
      </c>
    </row>
    <row r="16" spans="1:33" ht="15.6" x14ac:dyDescent="0.3">
      <c r="A16" s="18"/>
      <c r="B16" s="56" t="s">
        <v>27</v>
      </c>
      <c r="C16" s="19">
        <v>42.447436673694135</v>
      </c>
      <c r="D16" s="3">
        <v>30.706760278039415</v>
      </c>
      <c r="E16" s="3">
        <v>47.659293547465609</v>
      </c>
      <c r="F16" s="3">
        <v>0.20191983733213317</v>
      </c>
      <c r="G16" s="3">
        <v>11.722158092117855</v>
      </c>
      <c r="H16" s="57">
        <v>0.33767165781564901</v>
      </c>
      <c r="I16" s="4">
        <v>90.627803412770646</v>
      </c>
      <c r="J16" s="3">
        <v>0.19036938443663171</v>
      </c>
      <c r="K16" s="3">
        <v>0</v>
      </c>
      <c r="L16" s="3">
        <v>4.8614900694184762</v>
      </c>
      <c r="M16" s="20">
        <v>11.416120953666974</v>
      </c>
      <c r="N16" s="20">
        <v>127.99263667266058</v>
      </c>
      <c r="O16" s="57">
        <v>0.32455544198774566</v>
      </c>
      <c r="P16" s="20">
        <v>144.7851725221704</v>
      </c>
      <c r="Q16" s="20">
        <v>0.20114253507599997</v>
      </c>
      <c r="R16" s="20">
        <v>8.6532952531050054</v>
      </c>
      <c r="S16" s="20">
        <v>0</v>
      </c>
      <c r="T16" s="20">
        <v>8.8544377881810057</v>
      </c>
      <c r="U16" s="21"/>
      <c r="V16" s="58"/>
      <c r="W16" s="20"/>
      <c r="X16" s="20"/>
      <c r="Y16" s="20">
        <v>585.20239814802335</v>
      </c>
      <c r="Z16" s="58">
        <f t="shared" si="0"/>
        <v>585.20239814802335</v>
      </c>
      <c r="AA16" s="59"/>
      <c r="AB16" s="59"/>
      <c r="AC16" s="59"/>
      <c r="AD16" s="59"/>
      <c r="AE16" s="60">
        <f t="shared" si="1"/>
        <v>585.86462524782678</v>
      </c>
      <c r="AF16" s="88">
        <v>261300</v>
      </c>
      <c r="AG16">
        <f t="shared" si="2"/>
        <v>2.2421149071864783</v>
      </c>
    </row>
    <row r="17" spans="1:33" ht="15.6" x14ac:dyDescent="0.3">
      <c r="A17" s="18"/>
      <c r="B17" s="56" t="s">
        <v>28</v>
      </c>
      <c r="C17" s="19">
        <v>80.790547796204308</v>
      </c>
      <c r="D17" s="3">
        <v>67.655964057585905</v>
      </c>
      <c r="E17" s="3">
        <v>44.913609526114286</v>
      </c>
      <c r="F17" s="3">
        <v>0.24951118572489314</v>
      </c>
      <c r="G17" s="3">
        <v>24.121264570833375</v>
      </c>
      <c r="H17" s="57">
        <v>0.2200613497352065</v>
      </c>
      <c r="I17" s="4">
        <v>137.16041068999368</v>
      </c>
      <c r="J17" s="3">
        <v>0.18261741978046897</v>
      </c>
      <c r="K17" s="3">
        <v>0.60700384895263582</v>
      </c>
      <c r="L17" s="3">
        <v>1.8205851405802245</v>
      </c>
      <c r="M17" s="20">
        <v>12.343535258666757</v>
      </c>
      <c r="N17" s="20">
        <v>399.34606442800646</v>
      </c>
      <c r="O17" s="57">
        <v>0.79104847995164629</v>
      </c>
      <c r="P17" s="20">
        <v>415.09085457593818</v>
      </c>
      <c r="Q17" s="20">
        <v>0.40062732726103989</v>
      </c>
      <c r="R17" s="20">
        <v>5.9321683652500035</v>
      </c>
      <c r="S17" s="20">
        <v>0</v>
      </c>
      <c r="T17" s="20">
        <v>6.3327956925110431</v>
      </c>
      <c r="U17" s="21"/>
      <c r="V17" s="58"/>
      <c r="W17" s="20"/>
      <c r="X17" s="20"/>
      <c r="Y17" s="20">
        <v>893.71624157082499</v>
      </c>
      <c r="Z17" s="58">
        <f t="shared" si="0"/>
        <v>893.71624157082499</v>
      </c>
      <c r="AA17" s="59"/>
      <c r="AB17" s="59"/>
      <c r="AC17" s="59"/>
      <c r="AD17" s="59"/>
      <c r="AE17" s="60">
        <f t="shared" si="1"/>
        <v>894.72735140051179</v>
      </c>
      <c r="AF17" s="88">
        <v>262000</v>
      </c>
      <c r="AG17">
        <f t="shared" si="2"/>
        <v>3.4149898908416483</v>
      </c>
    </row>
    <row r="18" spans="1:33" ht="15.6" x14ac:dyDescent="0.3">
      <c r="A18" s="18"/>
      <c r="B18" s="56" t="s">
        <v>29</v>
      </c>
      <c r="C18" s="19">
        <v>243.00135949376022</v>
      </c>
      <c r="D18" s="3">
        <v>222.51090039051726</v>
      </c>
      <c r="E18" s="3">
        <v>125.24923846086548</v>
      </c>
      <c r="F18" s="3">
        <v>0.75208114694419104</v>
      </c>
      <c r="G18" s="3">
        <v>54.501745077963491</v>
      </c>
      <c r="H18" s="57">
        <v>1.9044656192769869</v>
      </c>
      <c r="I18" s="4">
        <v>404.91843069556745</v>
      </c>
      <c r="J18" s="3">
        <v>287.04649138447274</v>
      </c>
      <c r="K18" s="3">
        <v>0</v>
      </c>
      <c r="L18" s="3">
        <v>6.9609823138907831</v>
      </c>
      <c r="M18" s="20">
        <v>19.598010341178014</v>
      </c>
      <c r="N18" s="20">
        <v>363.57468776918017</v>
      </c>
      <c r="O18" s="57">
        <v>0.89244876206492185</v>
      </c>
      <c r="P18" s="20">
        <v>678.07262057078663</v>
      </c>
      <c r="Q18" s="20">
        <v>0.80866592867066656</v>
      </c>
      <c r="R18" s="20">
        <v>16.572394954819995</v>
      </c>
      <c r="S18" s="20">
        <v>13.549088537338243</v>
      </c>
      <c r="T18" s="20">
        <v>30.930149420828904</v>
      </c>
      <c r="U18" s="21"/>
      <c r="V18" s="58"/>
      <c r="W18" s="20"/>
      <c r="X18" s="20"/>
      <c r="Y18" s="20">
        <v>1480.0593711956367</v>
      </c>
      <c r="Z18" s="58">
        <f t="shared" si="0"/>
        <v>1480.0593711956367</v>
      </c>
      <c r="AA18" s="59"/>
      <c r="AB18" s="59"/>
      <c r="AC18" s="59"/>
      <c r="AD18" s="59"/>
      <c r="AE18" s="60">
        <f t="shared" si="1"/>
        <v>1482.8562855769785</v>
      </c>
      <c r="AF18" s="88">
        <v>305900</v>
      </c>
      <c r="AG18">
        <f t="shared" si="2"/>
        <v>4.8475197305556668</v>
      </c>
    </row>
    <row r="19" spans="1:33" ht="15.6" x14ac:dyDescent="0.3">
      <c r="A19" s="18"/>
      <c r="B19" s="56" t="s">
        <v>30</v>
      </c>
      <c r="C19" s="19">
        <v>185.21575947802046</v>
      </c>
      <c r="D19" s="3">
        <v>175.58523689965941</v>
      </c>
      <c r="E19" s="3">
        <v>95.589999403670163</v>
      </c>
      <c r="F19" s="3">
        <v>0.75581538091229905</v>
      </c>
      <c r="G19" s="3">
        <v>19.055109443001442</v>
      </c>
      <c r="H19" s="57">
        <v>0.76604506461668898</v>
      </c>
      <c r="I19" s="4">
        <v>291.75220619186001</v>
      </c>
      <c r="J19" s="3">
        <v>46.281587266045854</v>
      </c>
      <c r="K19" s="3">
        <v>0</v>
      </c>
      <c r="L19" s="3">
        <v>0.534030958001392</v>
      </c>
      <c r="M19" s="20">
        <v>8.8378538169795604</v>
      </c>
      <c r="N19" s="20">
        <v>254.06920393779822</v>
      </c>
      <c r="O19" s="57">
        <v>0.7926687613814779</v>
      </c>
      <c r="P19" s="20">
        <v>310.5153447402065</v>
      </c>
      <c r="Q19" s="20">
        <v>0.64434616135173972</v>
      </c>
      <c r="R19" s="20">
        <v>11.072872679491001</v>
      </c>
      <c r="S19" s="20">
        <v>0</v>
      </c>
      <c r="T19" s="20">
        <v>11.71721884084274</v>
      </c>
      <c r="U19" s="21"/>
      <c r="V19" s="58"/>
      <c r="W19" s="20"/>
      <c r="X19" s="20"/>
      <c r="Y19" s="20">
        <v>916.81278459494354</v>
      </c>
      <c r="Z19" s="58">
        <f t="shared" si="0"/>
        <v>916.81278459494354</v>
      </c>
      <c r="AA19" s="59"/>
      <c r="AB19" s="59"/>
      <c r="AC19" s="59"/>
      <c r="AD19" s="59"/>
      <c r="AE19" s="60">
        <f t="shared" si="1"/>
        <v>918.37149842094175</v>
      </c>
      <c r="AF19" s="88">
        <v>288200</v>
      </c>
      <c r="AG19">
        <f t="shared" si="2"/>
        <v>3.1865770243613523</v>
      </c>
    </row>
    <row r="20" spans="1:33" ht="15.6" x14ac:dyDescent="0.3">
      <c r="A20" s="18"/>
      <c r="B20" s="56" t="s">
        <v>31</v>
      </c>
      <c r="C20" s="19">
        <v>147.23420515833473</v>
      </c>
      <c r="D20" s="3">
        <v>130.423331027014</v>
      </c>
      <c r="E20" s="3">
        <v>114.32265164119023</v>
      </c>
      <c r="F20" s="3">
        <v>6.8416207880074867E-2</v>
      </c>
      <c r="G20" s="3">
        <v>8.4327701054936224</v>
      </c>
      <c r="H20" s="57">
        <v>0.71979511552945075</v>
      </c>
      <c r="I20" s="4">
        <v>253.96696409710739</v>
      </c>
      <c r="J20" s="3">
        <v>0</v>
      </c>
      <c r="K20" s="3">
        <v>0</v>
      </c>
      <c r="L20" s="3">
        <v>2.3468653717689074</v>
      </c>
      <c r="M20" s="20">
        <v>16.262050433481559</v>
      </c>
      <c r="N20" s="20">
        <v>73.313203477002588</v>
      </c>
      <c r="O20" s="57">
        <v>0.54882369783915885</v>
      </c>
      <c r="P20" s="20">
        <v>92.470942980092204</v>
      </c>
      <c r="Q20" s="20">
        <v>0.39803770886599998</v>
      </c>
      <c r="R20" s="20">
        <v>9.7846086795449985</v>
      </c>
      <c r="S20" s="20">
        <v>0</v>
      </c>
      <c r="T20" s="20">
        <v>10.182646388410998</v>
      </c>
      <c r="U20" s="21"/>
      <c r="V20" s="58"/>
      <c r="W20" s="20"/>
      <c r="X20" s="20"/>
      <c r="Y20" s="20">
        <v>589.72987976300408</v>
      </c>
      <c r="Z20" s="58">
        <f t="shared" si="0"/>
        <v>589.72987976300408</v>
      </c>
      <c r="AA20" s="59"/>
      <c r="AB20" s="59"/>
      <c r="AC20" s="59"/>
      <c r="AD20" s="59"/>
      <c r="AE20" s="60">
        <f t="shared" si="1"/>
        <v>590.99849857637264</v>
      </c>
      <c r="AF20" s="88">
        <v>216600</v>
      </c>
      <c r="AG20">
        <f t="shared" si="2"/>
        <v>2.7285249241753124</v>
      </c>
    </row>
    <row r="21" spans="1:33" ht="15.6" x14ac:dyDescent="0.3">
      <c r="A21" s="18"/>
      <c r="B21" s="56" t="s">
        <v>32</v>
      </c>
      <c r="C21" s="19">
        <v>182.18886819394609</v>
      </c>
      <c r="D21" s="3">
        <v>172.72318316596258</v>
      </c>
      <c r="E21" s="3">
        <v>163.03550593888045</v>
      </c>
      <c r="F21" s="3">
        <v>1.2965990223678068E-2</v>
      </c>
      <c r="G21" s="3">
        <v>8.6865395015005635</v>
      </c>
      <c r="H21" s="57">
        <v>0.63122046246589814</v>
      </c>
      <c r="I21" s="4">
        <v>345.08941505903317</v>
      </c>
      <c r="J21" s="3">
        <v>0</v>
      </c>
      <c r="K21" s="3">
        <v>8.1656454450868832E-3</v>
      </c>
      <c r="L21" s="3">
        <v>0.48849622428276734</v>
      </c>
      <c r="M21" s="20">
        <v>8.7909510421996071</v>
      </c>
      <c r="N21" s="20">
        <v>95.388322616505377</v>
      </c>
      <c r="O21" s="57">
        <v>0.67473398578392008</v>
      </c>
      <c r="P21" s="20">
        <v>105.35066951421675</v>
      </c>
      <c r="Q21" s="20">
        <v>0.29818478346600003</v>
      </c>
      <c r="R21" s="20">
        <v>9.6703726613290009</v>
      </c>
      <c r="S21" s="20">
        <v>0</v>
      </c>
      <c r="T21" s="20">
        <v>9.9685574447950014</v>
      </c>
      <c r="U21" s="21"/>
      <c r="V21" s="58"/>
      <c r="W21" s="20"/>
      <c r="X21" s="20"/>
      <c r="Y21" s="20">
        <v>696.80058066899255</v>
      </c>
      <c r="Z21" s="58">
        <f t="shared" si="0"/>
        <v>696.80058066899255</v>
      </c>
      <c r="AA21" s="59"/>
      <c r="AB21" s="59"/>
      <c r="AC21" s="59"/>
      <c r="AD21" s="59"/>
      <c r="AE21" s="60">
        <f t="shared" si="1"/>
        <v>698.1065351172424</v>
      </c>
      <c r="AF21" s="88">
        <v>143400</v>
      </c>
      <c r="AG21">
        <f t="shared" si="2"/>
        <v>4.8682464094647306</v>
      </c>
    </row>
    <row r="22" spans="1:33" ht="15.6" x14ac:dyDescent="0.3">
      <c r="A22" s="18"/>
      <c r="B22" s="56" t="s">
        <v>76</v>
      </c>
      <c r="C22" s="19">
        <v>63.873139991499052</v>
      </c>
      <c r="D22" s="3">
        <v>57.164352598369689</v>
      </c>
      <c r="E22" s="3">
        <v>43.078000820264293</v>
      </c>
      <c r="F22" s="3">
        <v>3.0143612004308252E-2</v>
      </c>
      <c r="G22" s="3">
        <v>12.83933451841731</v>
      </c>
      <c r="H22" s="57">
        <v>0.40679513575631321</v>
      </c>
      <c r="I22" s="4">
        <v>113.51862668481192</v>
      </c>
      <c r="J22" s="3">
        <v>0</v>
      </c>
      <c r="K22" s="3">
        <v>0</v>
      </c>
      <c r="L22" s="3">
        <v>0.52400591567747501</v>
      </c>
      <c r="M22" s="20">
        <v>6.3844555889074073</v>
      </c>
      <c r="N22" s="20">
        <v>126.52010801607534</v>
      </c>
      <c r="O22" s="57">
        <v>0.32433180422195595</v>
      </c>
      <c r="P22" s="20">
        <v>133.7529013248822</v>
      </c>
      <c r="Q22" s="20">
        <v>0.22412425564400001</v>
      </c>
      <c r="R22" s="20">
        <v>6.5741310329570011</v>
      </c>
      <c r="S22" s="20">
        <v>0</v>
      </c>
      <c r="T22" s="20">
        <v>6.798255288601001</v>
      </c>
      <c r="U22" s="21"/>
      <c r="V22" s="58"/>
      <c r="W22" s="20"/>
      <c r="X22" s="20"/>
      <c r="Y22" s="20">
        <v>474.46756967146854</v>
      </c>
      <c r="Z22" s="58">
        <f t="shared" si="0"/>
        <v>474.46756967146854</v>
      </c>
      <c r="AA22" s="59"/>
      <c r="AB22" s="59"/>
      <c r="AC22" s="59"/>
      <c r="AD22" s="59"/>
      <c r="AE22" s="60">
        <f t="shared" si="1"/>
        <v>475.19869661144679</v>
      </c>
      <c r="AF22" s="88">
        <v>168000</v>
      </c>
      <c r="AG22">
        <f t="shared" si="2"/>
        <v>2.8285636703062309</v>
      </c>
    </row>
    <row r="23" spans="1:33" ht="15.6" x14ac:dyDescent="0.3">
      <c r="A23" s="18"/>
      <c r="B23" s="56" t="s">
        <v>33</v>
      </c>
      <c r="C23" s="19">
        <v>125.85548669974504</v>
      </c>
      <c r="D23" s="3">
        <v>101.19733000929271</v>
      </c>
      <c r="E23" s="3">
        <v>153.41694356306027</v>
      </c>
      <c r="F23" s="3">
        <v>1.7177621780630221E-2</v>
      </c>
      <c r="G23" s="3">
        <v>23.863687056445617</v>
      </c>
      <c r="H23" s="57">
        <v>0.69025380467190889</v>
      </c>
      <c r="I23" s="4">
        <v>279.18539205525116</v>
      </c>
      <c r="J23" s="3">
        <v>0</v>
      </c>
      <c r="K23" s="3">
        <v>1.1151029733931162E-2</v>
      </c>
      <c r="L23" s="3">
        <v>1.4163833226403211</v>
      </c>
      <c r="M23" s="20">
        <v>23.916946013844512</v>
      </c>
      <c r="N23" s="20">
        <v>132.82684579023166</v>
      </c>
      <c r="O23" s="57">
        <v>0.74121067660782158</v>
      </c>
      <c r="P23" s="20">
        <v>158.91253683305825</v>
      </c>
      <c r="Q23" s="20">
        <v>0.19410463392680002</v>
      </c>
      <c r="R23" s="20">
        <v>16.412005392361003</v>
      </c>
      <c r="S23" s="20">
        <v>0</v>
      </c>
      <c r="T23" s="20">
        <v>16.606110026287801</v>
      </c>
      <c r="U23" s="21"/>
      <c r="V23" s="58"/>
      <c r="W23" s="20"/>
      <c r="X23" s="20"/>
      <c r="Y23" s="20">
        <v>805.16609761634095</v>
      </c>
      <c r="Z23" s="58">
        <f t="shared" si="0"/>
        <v>805.16609761634095</v>
      </c>
      <c r="AA23" s="59"/>
      <c r="AB23" s="59"/>
      <c r="AC23" s="59"/>
      <c r="AD23" s="59"/>
      <c r="AE23" s="60">
        <f t="shared" si="1"/>
        <v>806.59756209762065</v>
      </c>
      <c r="AF23" s="88">
        <v>317600</v>
      </c>
      <c r="AG23">
        <f t="shared" si="2"/>
        <v>2.5396648680655565</v>
      </c>
    </row>
    <row r="24" spans="1:33" ht="15.6" x14ac:dyDescent="0.3">
      <c r="A24" s="18"/>
      <c r="B24" s="56" t="s">
        <v>34</v>
      </c>
      <c r="C24" s="19">
        <v>60.267862091072715</v>
      </c>
      <c r="D24" s="3">
        <v>37.692934355550896</v>
      </c>
      <c r="E24" s="3">
        <v>63.611468534496744</v>
      </c>
      <c r="F24" s="3">
        <v>6.0287227769377838E-2</v>
      </c>
      <c r="G24" s="3">
        <v>9.2866178837911573</v>
      </c>
      <c r="H24" s="57">
        <v>0.15383170879997532</v>
      </c>
      <c r="I24" s="4">
        <v>110.80513971040814</v>
      </c>
      <c r="J24" s="3">
        <v>0</v>
      </c>
      <c r="K24" s="3">
        <v>0.37725481133612404</v>
      </c>
      <c r="L24" s="3">
        <v>2.3294176583180914</v>
      </c>
      <c r="M24" s="20">
        <v>22.068619975212176</v>
      </c>
      <c r="N24" s="20">
        <v>123.99183418162715</v>
      </c>
      <c r="O24" s="57">
        <v>0.50630776030964775</v>
      </c>
      <c r="P24" s="20">
        <v>149.27343438680319</v>
      </c>
      <c r="Q24" s="20">
        <v>0.13549177062000003</v>
      </c>
      <c r="R24" s="20">
        <v>7.8030006840399979</v>
      </c>
      <c r="S24" s="20">
        <v>0</v>
      </c>
      <c r="T24" s="20">
        <v>7.9384924546599978</v>
      </c>
      <c r="U24" s="21"/>
      <c r="V24" s="58"/>
      <c r="W24" s="20"/>
      <c r="X24" s="20"/>
      <c r="Y24" s="20">
        <v>602.70249264483562</v>
      </c>
      <c r="Z24" s="58">
        <f t="shared" si="0"/>
        <v>602.70249264483562</v>
      </c>
      <c r="AA24" s="59"/>
      <c r="AB24" s="59"/>
      <c r="AC24" s="59"/>
      <c r="AD24" s="59"/>
      <c r="AE24" s="60">
        <f t="shared" si="1"/>
        <v>603.36263211394521</v>
      </c>
      <c r="AF24" s="88">
        <v>300600</v>
      </c>
      <c r="AG24">
        <f t="shared" si="2"/>
        <v>2.0071943849432641</v>
      </c>
    </row>
    <row r="25" spans="1:33" ht="15.6" x14ac:dyDescent="0.3">
      <c r="A25" s="18"/>
      <c r="B25" s="56" t="s">
        <v>35</v>
      </c>
      <c r="C25" s="19">
        <v>95.556023237836385</v>
      </c>
      <c r="D25" s="3">
        <v>81.440564775500036</v>
      </c>
      <c r="E25" s="3">
        <v>56.199542156134385</v>
      </c>
      <c r="F25" s="3">
        <v>1.7177621780630221E-2</v>
      </c>
      <c r="G25" s="3">
        <v>12.179963663746909</v>
      </c>
      <c r="H25" s="57">
        <v>1.1261579377778834</v>
      </c>
      <c r="I25" s="4">
        <v>150.96340615493986</v>
      </c>
      <c r="J25" s="3">
        <v>0</v>
      </c>
      <c r="K25" s="3">
        <v>0</v>
      </c>
      <c r="L25" s="3">
        <v>0.65127602945469498</v>
      </c>
      <c r="M25" s="20">
        <v>13.815658101551003</v>
      </c>
      <c r="N25" s="20">
        <v>121.75835138324354</v>
      </c>
      <c r="O25" s="57">
        <v>0.29980036078534045</v>
      </c>
      <c r="P25" s="20">
        <v>136.52508587503456</v>
      </c>
      <c r="Q25" s="20">
        <v>0.37768341774499992</v>
      </c>
      <c r="R25" s="20">
        <v>9.3709055373030026</v>
      </c>
      <c r="S25" s="20">
        <v>0</v>
      </c>
      <c r="T25" s="20">
        <v>9.7485889550480032</v>
      </c>
      <c r="U25" s="21"/>
      <c r="V25" s="58"/>
      <c r="W25" s="20"/>
      <c r="X25" s="20"/>
      <c r="Y25" s="20">
        <v>563.77019166728019</v>
      </c>
      <c r="Z25" s="58">
        <f t="shared" si="0"/>
        <v>563.77019166728019</v>
      </c>
      <c r="AA25" s="59"/>
      <c r="AB25" s="59"/>
      <c r="AC25" s="59"/>
      <c r="AD25" s="59"/>
      <c r="AE25" s="60">
        <f t="shared" si="1"/>
        <v>565.19614996584346</v>
      </c>
      <c r="AF25" s="88">
        <v>215200</v>
      </c>
      <c r="AG25">
        <f t="shared" si="2"/>
        <v>2.6263761615513168</v>
      </c>
    </row>
    <row r="26" spans="1:33" ht="15.6" x14ac:dyDescent="0.3">
      <c r="A26" s="18"/>
      <c r="B26" s="56" t="s">
        <v>36</v>
      </c>
      <c r="C26" s="19">
        <v>204.08533735590646</v>
      </c>
      <c r="D26" s="3">
        <v>181.29081093794315</v>
      </c>
      <c r="E26" s="3">
        <v>171.32012968397711</v>
      </c>
      <c r="F26" s="3">
        <v>0.18895384522807435</v>
      </c>
      <c r="G26" s="3">
        <v>19.410077937723731</v>
      </c>
      <c r="H26" s="57">
        <v>25.186094193316787</v>
      </c>
      <c r="I26" s="4">
        <v>397.39606659818878</v>
      </c>
      <c r="J26" s="3">
        <v>5.3447154320505668</v>
      </c>
      <c r="K26" s="3">
        <v>1.7349971861889886</v>
      </c>
      <c r="L26" s="3">
        <v>1.7812043920781309</v>
      </c>
      <c r="M26" s="20">
        <v>22.032537586629065</v>
      </c>
      <c r="N26" s="20">
        <v>158.75383349022255</v>
      </c>
      <c r="O26" s="57">
        <v>0.76198883133423301</v>
      </c>
      <c r="P26" s="20">
        <v>190.40927691850354</v>
      </c>
      <c r="Q26" s="20">
        <v>0.50802759892977001</v>
      </c>
      <c r="R26" s="20">
        <v>10.913918340576</v>
      </c>
      <c r="S26" s="20">
        <v>0.35103810225640164</v>
      </c>
      <c r="T26" s="20">
        <v>11.772984041762172</v>
      </c>
      <c r="U26" s="21"/>
      <c r="V26" s="58"/>
      <c r="W26" s="20"/>
      <c r="X26" s="20"/>
      <c r="Y26" s="20">
        <v>887.47724905824248</v>
      </c>
      <c r="Z26" s="58">
        <f t="shared" si="0"/>
        <v>887.47724905824248</v>
      </c>
      <c r="AA26" s="59"/>
      <c r="AB26" s="59"/>
      <c r="AC26" s="59"/>
      <c r="AD26" s="59"/>
      <c r="AE26" s="60">
        <f t="shared" si="1"/>
        <v>913.42533208289353</v>
      </c>
      <c r="AF26" s="88">
        <v>351100</v>
      </c>
      <c r="AG26">
        <f t="shared" si="2"/>
        <v>2.601610173975772</v>
      </c>
    </row>
    <row r="27" spans="1:33" ht="15.6" x14ac:dyDescent="0.3">
      <c r="A27" s="18"/>
      <c r="B27" s="56" t="s">
        <v>37</v>
      </c>
      <c r="C27" s="19">
        <v>52.93430908457519</v>
      </c>
      <c r="D27" s="3">
        <v>42.583744699185345</v>
      </c>
      <c r="E27" s="3">
        <v>45.743248701699329</v>
      </c>
      <c r="F27" s="3">
        <v>9.4642471330638439E-2</v>
      </c>
      <c r="G27" s="3">
        <v>23.213010808352543</v>
      </c>
      <c r="H27" s="57">
        <v>0.1929034243048573</v>
      </c>
      <c r="I27" s="4">
        <v>111.82755010487273</v>
      </c>
      <c r="J27" s="3">
        <v>8.7793889119898244E-2</v>
      </c>
      <c r="K27" s="3">
        <v>0</v>
      </c>
      <c r="L27" s="3">
        <v>0.69022545833504823</v>
      </c>
      <c r="M27" s="20">
        <v>9.7468884258917292</v>
      </c>
      <c r="N27" s="20">
        <v>219.86195033355668</v>
      </c>
      <c r="O27" s="57">
        <v>0.60367595949811981</v>
      </c>
      <c r="P27" s="20">
        <v>230.99053406640149</v>
      </c>
      <c r="Q27" s="20">
        <v>0.29390377193099992</v>
      </c>
      <c r="R27" s="20">
        <v>6.3727688714860005</v>
      </c>
      <c r="S27" s="20">
        <v>0</v>
      </c>
      <c r="T27" s="20">
        <v>6.6666726434170007</v>
      </c>
      <c r="U27" s="21"/>
      <c r="V27" s="58"/>
      <c r="W27" s="20"/>
      <c r="X27" s="20"/>
      <c r="Y27" s="20">
        <v>704.19895100407246</v>
      </c>
      <c r="Z27" s="58">
        <f t="shared" si="0"/>
        <v>704.19895100407246</v>
      </c>
      <c r="AA27" s="59"/>
      <c r="AB27" s="59"/>
      <c r="AC27" s="59"/>
      <c r="AD27" s="59"/>
      <c r="AE27" s="60">
        <f t="shared" si="1"/>
        <v>704.99553038787542</v>
      </c>
      <c r="AF27" s="88">
        <v>310300</v>
      </c>
      <c r="AG27">
        <f t="shared" si="2"/>
        <v>2.2719804395355312</v>
      </c>
    </row>
    <row r="28" spans="1:33" ht="15.6" x14ac:dyDescent="0.3">
      <c r="A28" s="18"/>
      <c r="B28" s="56" t="s">
        <v>98</v>
      </c>
      <c r="C28" s="19">
        <v>63.504702932530954</v>
      </c>
      <c r="D28" s="3">
        <v>55.358715889513164</v>
      </c>
      <c r="E28" s="3">
        <v>51.538550185325647</v>
      </c>
      <c r="F28" s="3">
        <v>3.43552435612604E-2</v>
      </c>
      <c r="G28" s="3">
        <v>10.795591306855021</v>
      </c>
      <c r="H28" s="57">
        <v>0.47308458518840801</v>
      </c>
      <c r="I28" s="4">
        <v>118.20029721044349</v>
      </c>
      <c r="J28" s="3">
        <v>16.70677087019298</v>
      </c>
      <c r="K28" s="3">
        <v>0</v>
      </c>
      <c r="L28" s="3">
        <v>0.2667572173675275</v>
      </c>
      <c r="M28" s="20">
        <v>7.7917900620586202</v>
      </c>
      <c r="N28" s="20">
        <v>122.32576617953946</v>
      </c>
      <c r="O28" s="57">
        <v>0.35419698095917018</v>
      </c>
      <c r="P28" s="20">
        <v>147.44528131011774</v>
      </c>
      <c r="Q28" s="20">
        <v>0.22073364909899998</v>
      </c>
      <c r="R28" s="20">
        <v>7.0109594053790003</v>
      </c>
      <c r="S28" s="20">
        <v>0</v>
      </c>
      <c r="T28" s="20">
        <v>7.2316930544780007</v>
      </c>
      <c r="U28" s="21"/>
      <c r="V28" s="58"/>
      <c r="W28" s="20"/>
      <c r="X28" s="20"/>
      <c r="Y28" s="20">
        <v>563.56088337828442</v>
      </c>
      <c r="Z28" s="58">
        <f t="shared" si="0"/>
        <v>563.56088337828442</v>
      </c>
      <c r="AA28" s="59"/>
      <c r="AB28" s="59"/>
      <c r="AC28" s="59"/>
      <c r="AD28" s="59"/>
      <c r="AE28" s="60">
        <f t="shared" si="1"/>
        <v>564.38816494443199</v>
      </c>
      <c r="AF28" s="88">
        <v>195200</v>
      </c>
      <c r="AG28">
        <f t="shared" si="2"/>
        <v>2.8913328122153277</v>
      </c>
    </row>
    <row r="29" spans="1:33" ht="15.6" x14ac:dyDescent="0.3">
      <c r="A29" s="18"/>
      <c r="B29" s="56" t="s">
        <v>38</v>
      </c>
      <c r="C29" s="19">
        <v>188.0645204272974</v>
      </c>
      <c r="D29" s="3">
        <v>163.83086494518784</v>
      </c>
      <c r="E29" s="3">
        <v>173.1948497196847</v>
      </c>
      <c r="F29" s="3">
        <v>0</v>
      </c>
      <c r="G29" s="3">
        <v>11.621257520916751</v>
      </c>
      <c r="H29" s="57">
        <v>6.525667784672387</v>
      </c>
      <c r="I29" s="4">
        <v>355.17263997046172</v>
      </c>
      <c r="J29" s="3">
        <v>0.17924009956747786</v>
      </c>
      <c r="K29" s="3">
        <v>2.6156337365526192</v>
      </c>
      <c r="L29" s="3">
        <v>1.149087802373626</v>
      </c>
      <c r="M29" s="20">
        <v>23.43751703481875</v>
      </c>
      <c r="N29" s="20">
        <v>120.58946155988399</v>
      </c>
      <c r="O29" s="57">
        <v>0.79613844729080507</v>
      </c>
      <c r="P29" s="20">
        <v>148.76707868048729</v>
      </c>
      <c r="Q29" s="20">
        <v>0.40067660809595995</v>
      </c>
      <c r="R29" s="20">
        <v>16.433420980535001</v>
      </c>
      <c r="S29" s="20">
        <v>0</v>
      </c>
      <c r="T29" s="20">
        <v>16.834097588630961</v>
      </c>
      <c r="U29" s="21"/>
      <c r="V29" s="58"/>
      <c r="W29" s="20"/>
      <c r="X29" s="20"/>
      <c r="Y29" s="20">
        <v>811.58029266964104</v>
      </c>
      <c r="Z29" s="58">
        <f t="shared" si="0"/>
        <v>811.58029266964104</v>
      </c>
      <c r="AA29" s="59"/>
      <c r="AB29" s="59"/>
      <c r="AC29" s="59"/>
      <c r="AD29" s="59"/>
      <c r="AE29" s="60">
        <f t="shared" si="1"/>
        <v>818.90209890160418</v>
      </c>
      <c r="AF29" s="88">
        <v>307700</v>
      </c>
      <c r="AG29">
        <f t="shared" si="2"/>
        <v>2.6613652872980311</v>
      </c>
    </row>
    <row r="30" spans="1:33" ht="15.6" x14ac:dyDescent="0.3">
      <c r="A30" s="18"/>
      <c r="B30" s="56" t="s">
        <v>39</v>
      </c>
      <c r="C30" s="19">
        <v>74.626388284910647</v>
      </c>
      <c r="D30" s="3">
        <v>70.191647812410139</v>
      </c>
      <c r="E30" s="3">
        <v>51.251836113078539</v>
      </c>
      <c r="F30" s="3">
        <v>0.34842626955748351</v>
      </c>
      <c r="G30" s="3">
        <v>15.114128209395528</v>
      </c>
      <c r="H30" s="57">
        <v>1.3085553914272636</v>
      </c>
      <c r="I30" s="4">
        <v>138.21459379586895</v>
      </c>
      <c r="J30" s="3">
        <v>2.1812132257200505E-2</v>
      </c>
      <c r="K30" s="3">
        <v>0</v>
      </c>
      <c r="L30" s="3">
        <v>3.6507105079575303E-2</v>
      </c>
      <c r="M30" s="20">
        <v>4.1753549256950748</v>
      </c>
      <c r="N30" s="20">
        <v>96.965434961824883</v>
      </c>
      <c r="O30" s="57">
        <v>0.2593855468054323</v>
      </c>
      <c r="P30" s="20">
        <v>101.45849467166217</v>
      </c>
      <c r="Q30" s="20">
        <v>0.25273015076600008</v>
      </c>
      <c r="R30" s="20">
        <v>5.5350661387310005</v>
      </c>
      <c r="S30" s="20">
        <v>0</v>
      </c>
      <c r="T30" s="20">
        <v>5.7877962894970008</v>
      </c>
      <c r="U30" s="21"/>
      <c r="V30" s="58"/>
      <c r="W30" s="20"/>
      <c r="X30" s="20"/>
      <c r="Y30" s="20">
        <v>506.47481216687635</v>
      </c>
      <c r="Z30" s="58">
        <f t="shared" si="0"/>
        <v>506.47481216687635</v>
      </c>
      <c r="AA30" s="59"/>
      <c r="AB30" s="59"/>
      <c r="AC30" s="59"/>
      <c r="AD30" s="59"/>
      <c r="AE30" s="60">
        <f t="shared" si="1"/>
        <v>508.04275310510906</v>
      </c>
      <c r="AF30" s="88">
        <v>209600</v>
      </c>
      <c r="AG30">
        <f t="shared" si="2"/>
        <v>2.4238680968755202</v>
      </c>
    </row>
    <row r="31" spans="1:33" ht="15.6" x14ac:dyDescent="0.3">
      <c r="A31" s="18"/>
      <c r="B31" s="56" t="s">
        <v>40</v>
      </c>
      <c r="C31" s="19">
        <v>462.98986897196227</v>
      </c>
      <c r="D31" s="3">
        <v>444.21706257268738</v>
      </c>
      <c r="E31" s="3">
        <v>153.37774291243787</v>
      </c>
      <c r="F31" s="3">
        <v>0.15980352176261164</v>
      </c>
      <c r="G31" s="3">
        <v>25.673247164484497</v>
      </c>
      <c r="H31" s="57">
        <v>4.5807927756458513</v>
      </c>
      <c r="I31" s="4">
        <v>628.00864894701806</v>
      </c>
      <c r="J31" s="3">
        <v>1.3000079326239862</v>
      </c>
      <c r="K31" s="3">
        <v>5.7944423299120338</v>
      </c>
      <c r="L31" s="3">
        <v>2.2958238239681961E-2</v>
      </c>
      <c r="M31" s="20">
        <v>17.991617941230885</v>
      </c>
      <c r="N31" s="20">
        <v>137.61056051795879</v>
      </c>
      <c r="O31" s="57">
        <v>0.78118845804399184</v>
      </c>
      <c r="P31" s="20">
        <v>163.50077541800937</v>
      </c>
      <c r="Q31" s="20">
        <v>0.88554037525099993</v>
      </c>
      <c r="R31" s="20">
        <v>21.562895699260999</v>
      </c>
      <c r="S31" s="20">
        <v>0</v>
      </c>
      <c r="T31" s="20">
        <v>22.448436074511999</v>
      </c>
      <c r="U31" s="21"/>
      <c r="V31" s="58"/>
      <c r="W31" s="20"/>
      <c r="X31" s="20"/>
      <c r="Y31" s="20">
        <v>1040.9138197676807</v>
      </c>
      <c r="Z31" s="58">
        <f t="shared" si="0"/>
        <v>1040.9138197676807</v>
      </c>
      <c r="AA31" s="59"/>
      <c r="AB31" s="59"/>
      <c r="AC31" s="59"/>
      <c r="AD31" s="59"/>
      <c r="AE31" s="60">
        <f t="shared" si="1"/>
        <v>1046.2758010013706</v>
      </c>
      <c r="AF31" s="88">
        <v>310300</v>
      </c>
      <c r="AG31">
        <f t="shared" si="2"/>
        <v>3.3718201772522418</v>
      </c>
    </row>
    <row r="32" spans="1:33" ht="15.6" x14ac:dyDescent="0.3">
      <c r="A32" s="18"/>
      <c r="B32" s="56" t="s">
        <v>41</v>
      </c>
      <c r="C32" s="19">
        <v>67.609019817952174</v>
      </c>
      <c r="D32" s="3">
        <v>60.713585957078479</v>
      </c>
      <c r="E32" s="3">
        <v>54.214086702348375</v>
      </c>
      <c r="F32" s="3">
        <v>2.5931984208117511E-2</v>
      </c>
      <c r="G32" s="3">
        <v>14.927043482604585</v>
      </c>
      <c r="H32" s="57">
        <v>2.0593421257856446</v>
      </c>
      <c r="I32" s="4">
        <v>131.93999025202518</v>
      </c>
      <c r="J32" s="3">
        <v>6.4433492006299137E-2</v>
      </c>
      <c r="K32" s="3">
        <v>0</v>
      </c>
      <c r="L32" s="3">
        <v>0.93692535072487126</v>
      </c>
      <c r="M32" s="20">
        <v>6.299952630091842</v>
      </c>
      <c r="N32" s="20">
        <v>145.16382180853429</v>
      </c>
      <c r="O32" s="57">
        <v>0.59548123078184945</v>
      </c>
      <c r="P32" s="20">
        <v>153.06061451213915</v>
      </c>
      <c r="Q32" s="20">
        <v>0.58728927218500004</v>
      </c>
      <c r="R32" s="20">
        <v>7.1824598345519988</v>
      </c>
      <c r="S32" s="20">
        <v>0</v>
      </c>
      <c r="T32" s="20">
        <v>7.7697491067369988</v>
      </c>
      <c r="U32" s="21"/>
      <c r="V32" s="58"/>
      <c r="W32" s="20"/>
      <c r="X32" s="20"/>
      <c r="Y32" s="20">
        <v>587.12794136834339</v>
      </c>
      <c r="Z32" s="58">
        <f t="shared" si="0"/>
        <v>587.12794136834339</v>
      </c>
      <c r="AA32" s="59"/>
      <c r="AB32" s="59"/>
      <c r="AC32" s="59"/>
      <c r="AD32" s="59"/>
      <c r="AE32" s="60">
        <f t="shared" si="1"/>
        <v>589.78276472491086</v>
      </c>
      <c r="AF32" s="88">
        <v>278400</v>
      </c>
      <c r="AG32">
        <f t="shared" si="2"/>
        <v>2.1184725744429267</v>
      </c>
    </row>
    <row r="33" spans="1:33" ht="15.6" x14ac:dyDescent="0.3">
      <c r="A33" s="18"/>
      <c r="B33" s="56" t="s">
        <v>42</v>
      </c>
      <c r="C33" s="19">
        <v>102.34850009938408</v>
      </c>
      <c r="D33" s="3">
        <v>70.966675090793004</v>
      </c>
      <c r="E33" s="3">
        <v>123.56626777684978</v>
      </c>
      <c r="F33" s="3">
        <v>1.7177621780630221E-2</v>
      </c>
      <c r="G33" s="3">
        <v>13.701720405191528</v>
      </c>
      <c r="H33" s="57">
        <v>1.0791373052463238</v>
      </c>
      <c r="I33" s="4">
        <v>209.33097819986128</v>
      </c>
      <c r="J33" s="3">
        <v>2.5986322261275543</v>
      </c>
      <c r="K33" s="3">
        <v>3.8126034105476626E-3</v>
      </c>
      <c r="L33" s="3">
        <v>2.1420565581226043</v>
      </c>
      <c r="M33" s="20">
        <v>30.874454398566783</v>
      </c>
      <c r="N33" s="20">
        <v>144.09960865957248</v>
      </c>
      <c r="O33" s="57">
        <v>0.50737061002429662</v>
      </c>
      <c r="P33" s="20">
        <v>180.22593505582429</v>
      </c>
      <c r="Q33" s="20">
        <v>0.29129991083800005</v>
      </c>
      <c r="R33" s="20">
        <v>24.377071120743999</v>
      </c>
      <c r="S33" s="20">
        <v>0</v>
      </c>
      <c r="T33" s="20">
        <v>24.668371031581998</v>
      </c>
      <c r="U33" s="21"/>
      <c r="V33" s="58"/>
      <c r="W33" s="20"/>
      <c r="X33" s="20"/>
      <c r="Y33" s="20">
        <v>803.76715413073441</v>
      </c>
      <c r="Z33" s="58">
        <f t="shared" si="0"/>
        <v>803.76715413073441</v>
      </c>
      <c r="AA33" s="59"/>
      <c r="AB33" s="59"/>
      <c r="AC33" s="59"/>
      <c r="AD33" s="59"/>
      <c r="AE33" s="60">
        <f t="shared" si="1"/>
        <v>805.35366204600507</v>
      </c>
      <c r="AF33" s="88">
        <v>327500</v>
      </c>
      <c r="AG33">
        <f t="shared" si="2"/>
        <v>2.4590951512855117</v>
      </c>
    </row>
    <row r="34" spans="1:33" ht="15.6" x14ac:dyDescent="0.3">
      <c r="A34" s="18"/>
      <c r="B34" s="56" t="s">
        <v>43</v>
      </c>
      <c r="C34" s="19">
        <v>575.55878925922229</v>
      </c>
      <c r="D34" s="3">
        <v>547.55458045956595</v>
      </c>
      <c r="E34" s="3">
        <v>442.26238789832547</v>
      </c>
      <c r="F34" s="3">
        <v>0</v>
      </c>
      <c r="G34" s="3">
        <v>70.302241647019429</v>
      </c>
      <c r="H34" s="57">
        <v>2.8021851955918544</v>
      </c>
      <c r="I34" s="4">
        <v>1062.9213952005027</v>
      </c>
      <c r="J34" s="3">
        <v>0</v>
      </c>
      <c r="K34" s="3">
        <v>2.2893926966942635</v>
      </c>
      <c r="L34" s="3">
        <v>1.7133099825805229</v>
      </c>
      <c r="M34" s="20">
        <v>26.089319983363847</v>
      </c>
      <c r="N34" s="20">
        <v>172.76003184275433</v>
      </c>
      <c r="O34" s="57">
        <v>1.9148888162926023</v>
      </c>
      <c r="P34" s="20">
        <v>204.76694332168557</v>
      </c>
      <c r="Q34" s="20">
        <v>1.4003659406269997</v>
      </c>
      <c r="R34" s="20">
        <v>45.164468687869999</v>
      </c>
      <c r="S34" s="20">
        <v>0</v>
      </c>
      <c r="T34" s="20">
        <v>46.564834628496996</v>
      </c>
      <c r="U34" s="21"/>
      <c r="V34" s="58"/>
      <c r="W34" s="20"/>
      <c r="X34" s="20"/>
      <c r="Y34" s="20">
        <v>1595.9281050250772</v>
      </c>
      <c r="Z34" s="58">
        <f t="shared" si="0"/>
        <v>1595.9281050250772</v>
      </c>
      <c r="AA34" s="59"/>
      <c r="AB34" s="59"/>
      <c r="AC34" s="59"/>
      <c r="AD34" s="59"/>
      <c r="AE34" s="60">
        <f t="shared" si="1"/>
        <v>1600.6451790369617</v>
      </c>
      <c r="AF34" s="88">
        <v>204300</v>
      </c>
      <c r="AG34">
        <f t="shared" si="2"/>
        <v>7.8347781646449421</v>
      </c>
    </row>
  </sheetData>
  <conditionalFormatting sqref="AF2:AF34">
    <cfRule type="cellIs" dxfId="1" priority="1" operator="greater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5A2B-131C-4182-BBA9-595C7960835F}">
  <dimension ref="A1:BS81"/>
  <sheetViews>
    <sheetView topLeftCell="Q1" workbookViewId="0">
      <selection activeCell="Z4" sqref="Z4"/>
    </sheetView>
  </sheetViews>
  <sheetFormatPr defaultRowHeight="14.4" x14ac:dyDescent="0.3"/>
  <cols>
    <col min="2" max="2" width="18.5546875" customWidth="1"/>
    <col min="3" max="3" width="13.77734375" customWidth="1"/>
    <col min="4" max="4" width="12" customWidth="1"/>
    <col min="5" max="5" width="10.44140625" customWidth="1"/>
    <col min="6" max="6" width="11.109375" customWidth="1"/>
    <col min="7" max="7" width="13.21875" customWidth="1"/>
    <col min="8" max="8" width="11" customWidth="1"/>
    <col min="9" max="9" width="15" customWidth="1"/>
    <col min="10" max="10" width="11.77734375" customWidth="1"/>
    <col min="11" max="11" width="13.109375" customWidth="1"/>
    <col min="12" max="13" width="12.77734375" customWidth="1"/>
    <col min="14" max="14" width="13.77734375" customWidth="1"/>
    <col min="15" max="15" width="14.5546875" customWidth="1"/>
    <col min="16" max="16" width="11.44140625" customWidth="1"/>
    <col min="17" max="17" width="13.21875" customWidth="1"/>
    <col min="18" max="18" width="11.33203125" customWidth="1"/>
    <col min="19" max="19" width="11.6640625" customWidth="1"/>
    <col min="20" max="20" width="14.33203125" customWidth="1"/>
    <col min="21" max="21" width="11.44140625" customWidth="1"/>
    <col min="22" max="22" width="13.44140625" customWidth="1"/>
    <col min="23" max="23" width="13.6640625" customWidth="1"/>
    <col min="24" max="24" width="24.109375" customWidth="1"/>
    <col min="25" max="25" width="9.88671875" customWidth="1"/>
    <col min="26" max="26" width="12.5546875" customWidth="1"/>
    <col min="27" max="27" width="11.21875" customWidth="1"/>
    <col min="29" max="29" width="11.33203125" customWidth="1"/>
  </cols>
  <sheetData>
    <row r="1" spans="1:71" ht="28.8" thickBot="1" x14ac:dyDescent="0.4">
      <c r="A1" s="18"/>
      <c r="B1" s="87" t="s">
        <v>97</v>
      </c>
      <c r="C1" s="25"/>
      <c r="D1" s="26" t="s">
        <v>90</v>
      </c>
      <c r="E1" s="27" t="s">
        <v>91</v>
      </c>
      <c r="F1" s="27" t="s">
        <v>92</v>
      </c>
      <c r="G1" s="27" t="s">
        <v>93</v>
      </c>
      <c r="H1" s="27" t="s">
        <v>93</v>
      </c>
      <c r="I1" s="26"/>
      <c r="J1" s="27" t="s">
        <v>52</v>
      </c>
      <c r="K1" s="27" t="s">
        <v>53</v>
      </c>
      <c r="L1" s="55"/>
      <c r="M1" s="42"/>
      <c r="N1" s="86"/>
      <c r="O1" s="26" t="s">
        <v>54</v>
      </c>
      <c r="P1" s="28" t="s">
        <v>55</v>
      </c>
      <c r="Q1" s="29" t="s">
        <v>54</v>
      </c>
      <c r="R1" s="28" t="s">
        <v>55</v>
      </c>
      <c r="S1" s="29" t="s">
        <v>54</v>
      </c>
      <c r="T1" s="27" t="s">
        <v>55</v>
      </c>
      <c r="U1" s="29" t="s">
        <v>54</v>
      </c>
      <c r="V1" s="27" t="s">
        <v>55</v>
      </c>
      <c r="W1" s="91" t="s">
        <v>94</v>
      </c>
      <c r="X1" s="91" t="s">
        <v>96</v>
      </c>
      <c r="Y1" s="39"/>
      <c r="Z1" s="30"/>
      <c r="AA1" s="23"/>
      <c r="AB1" s="23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</row>
    <row r="2" spans="1:71" ht="15.6" x14ac:dyDescent="0.3">
      <c r="A2" s="18"/>
      <c r="B2" s="31" t="s">
        <v>13</v>
      </c>
      <c r="C2" s="61" t="s">
        <v>56</v>
      </c>
      <c r="D2" s="32">
        <v>122583.62484359565</v>
      </c>
      <c r="E2" s="62">
        <v>2240.9274505575841</v>
      </c>
      <c r="F2" s="62">
        <v>10097.397146991299</v>
      </c>
      <c r="G2" s="62">
        <v>0</v>
      </c>
      <c r="H2" s="33">
        <v>2508.4107741452731</v>
      </c>
      <c r="I2" s="32">
        <v>489476034.2727477</v>
      </c>
      <c r="J2" s="63">
        <v>8736708.1250549089</v>
      </c>
      <c r="K2" s="63">
        <v>44879434.973342299</v>
      </c>
      <c r="L2" s="34">
        <v>0</v>
      </c>
      <c r="M2" s="35">
        <v>1461229.5448377077</v>
      </c>
      <c r="N2" s="54">
        <v>544553406.9159826</v>
      </c>
      <c r="O2" s="36">
        <v>284.85611568500013</v>
      </c>
      <c r="P2" s="34">
        <v>2933.605037060001</v>
      </c>
      <c r="Q2" s="37">
        <v>0.16693344700000001</v>
      </c>
      <c r="R2" s="37">
        <v>2.0172027999999998E-2</v>
      </c>
      <c r="S2" s="37">
        <v>4.1481509399999991E-2</v>
      </c>
      <c r="T2" s="37">
        <v>0.16693344700000001</v>
      </c>
      <c r="U2" s="63">
        <v>301.39094166120009</v>
      </c>
      <c r="V2" s="38">
        <v>2983.8555049660008</v>
      </c>
      <c r="W2" s="88">
        <v>218900</v>
      </c>
      <c r="X2" s="89">
        <v>2487.6811645316702</v>
      </c>
      <c r="Y2" s="39"/>
      <c r="Z2" s="30"/>
      <c r="AA2" s="23"/>
      <c r="AB2" s="23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</row>
    <row r="3" spans="1:71" ht="15.6" x14ac:dyDescent="0.3">
      <c r="A3" s="18"/>
      <c r="B3" s="31" t="s">
        <v>14</v>
      </c>
      <c r="C3" s="61" t="s">
        <v>57</v>
      </c>
      <c r="D3" s="32">
        <v>339303.38485945703</v>
      </c>
      <c r="E3" s="62">
        <v>9724.2235143347534</v>
      </c>
      <c r="F3" s="62">
        <v>22367.217458502389</v>
      </c>
      <c r="G3" s="62">
        <v>119.86327986658399</v>
      </c>
      <c r="H3" s="33">
        <v>0</v>
      </c>
      <c r="I3" s="32">
        <v>1367122004.7237887</v>
      </c>
      <c r="J3" s="63">
        <v>37911848.759940624</v>
      </c>
      <c r="K3" s="63">
        <v>99414538.900509953</v>
      </c>
      <c r="L3" s="62">
        <v>488250.53321199515</v>
      </c>
      <c r="M3" s="35">
        <v>0</v>
      </c>
      <c r="N3" s="54">
        <v>1504936642.9174511</v>
      </c>
      <c r="O3" s="40">
        <v>517.61175640900001</v>
      </c>
      <c r="P3" s="62">
        <v>15653.912241787997</v>
      </c>
      <c r="Q3" s="64">
        <v>0.30333438899999987</v>
      </c>
      <c r="R3" s="64">
        <v>0.10208335999999997</v>
      </c>
      <c r="S3" s="64">
        <v>7.5375928000000009E-2</v>
      </c>
      <c r="T3" s="64">
        <v>0.30333438899999987</v>
      </c>
      <c r="U3" s="63">
        <v>547.65714267800001</v>
      </c>
      <c r="V3" s="33">
        <v>15746.857973709997</v>
      </c>
      <c r="W3" s="88">
        <v>389300</v>
      </c>
      <c r="X3" s="89">
        <v>3865.7504313317522</v>
      </c>
      <c r="Y3" s="39"/>
      <c r="Z3" s="30"/>
      <c r="AA3" s="23"/>
      <c r="AB3" s="23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</row>
    <row r="4" spans="1:71" ht="15.6" x14ac:dyDescent="0.3">
      <c r="A4" s="18"/>
      <c r="B4" s="31" t="s">
        <v>15</v>
      </c>
      <c r="C4" s="61" t="s">
        <v>58</v>
      </c>
      <c r="D4" s="32">
        <v>191174.88009987125</v>
      </c>
      <c r="E4" s="62">
        <v>1221.4425205698853</v>
      </c>
      <c r="F4" s="62">
        <v>8472.1289373383916</v>
      </c>
      <c r="G4" s="62">
        <v>1038.6132951625432</v>
      </c>
      <c r="H4" s="33">
        <v>1289.7431319952655</v>
      </c>
      <c r="I4" s="32">
        <v>755484362.26798272</v>
      </c>
      <c r="J4" s="63">
        <v>4762040.2843006942</v>
      </c>
      <c r="K4" s="63">
        <v>37655680.389113411</v>
      </c>
      <c r="L4" s="62">
        <v>4232351.4523433018</v>
      </c>
      <c r="M4" s="35">
        <v>751306.52280917089</v>
      </c>
      <c r="N4" s="54">
        <v>802885740.91654932</v>
      </c>
      <c r="O4" s="40">
        <v>426.286978412</v>
      </c>
      <c r="P4" s="62">
        <v>6824.7246998630017</v>
      </c>
      <c r="Q4" s="64">
        <v>0.24981561600000002</v>
      </c>
      <c r="R4" s="64">
        <v>4.5217060000000003E-2</v>
      </c>
      <c r="S4" s="64">
        <v>6.2077246999999988E-2</v>
      </c>
      <c r="T4" s="64">
        <v>0.24981561600000002</v>
      </c>
      <c r="U4" s="63">
        <v>451.03138841800001</v>
      </c>
      <c r="V4" s="33">
        <v>6900.3001799310014</v>
      </c>
      <c r="W4" s="88">
        <v>246500</v>
      </c>
      <c r="X4" s="89">
        <v>3257.1429651786989</v>
      </c>
      <c r="Y4" s="39"/>
      <c r="Z4" s="30"/>
      <c r="AA4" s="23"/>
      <c r="AB4" s="23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</row>
    <row r="5" spans="1:71" ht="15.6" x14ac:dyDescent="0.3">
      <c r="A5" s="18"/>
      <c r="B5" s="31" t="s">
        <v>16</v>
      </c>
      <c r="C5" s="61" t="s">
        <v>59</v>
      </c>
      <c r="D5" s="32">
        <v>173766.47571045189</v>
      </c>
      <c r="E5" s="62">
        <v>13318.285764644927</v>
      </c>
      <c r="F5" s="62">
        <v>24024.343166376781</v>
      </c>
      <c r="G5" s="62">
        <v>194.03794800720095</v>
      </c>
      <c r="H5" s="33">
        <v>0</v>
      </c>
      <c r="I5" s="32">
        <v>701306670.26513898</v>
      </c>
      <c r="J5" s="63">
        <v>51924026.109289922</v>
      </c>
      <c r="K5" s="63">
        <v>106779889.03644696</v>
      </c>
      <c r="L5" s="62">
        <v>790761.39173379296</v>
      </c>
      <c r="M5" s="35">
        <v>0</v>
      </c>
      <c r="N5" s="54">
        <v>860801346.80260956</v>
      </c>
      <c r="O5" s="40">
        <v>868.42646517000003</v>
      </c>
      <c r="P5" s="62">
        <v>13376.53756148</v>
      </c>
      <c r="Q5" s="64">
        <v>0.50892127099999995</v>
      </c>
      <c r="R5" s="64">
        <v>8.966491800000001E-2</v>
      </c>
      <c r="S5" s="64">
        <v>0.12646270900000003</v>
      </c>
      <c r="T5" s="64">
        <v>0.50892127099999995</v>
      </c>
      <c r="U5" s="63">
        <v>918.83538422700008</v>
      </c>
      <c r="V5" s="33">
        <v>13530.437723187999</v>
      </c>
      <c r="W5" s="88">
        <v>339800</v>
      </c>
      <c r="X5" s="89">
        <v>2533.2588193131537</v>
      </c>
      <c r="Y5" s="39"/>
      <c r="Z5" s="30"/>
      <c r="AA5" s="23"/>
      <c r="AB5" s="23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</row>
    <row r="6" spans="1:71" ht="15.6" x14ac:dyDescent="0.3">
      <c r="A6" s="18"/>
      <c r="B6" s="31" t="s">
        <v>17</v>
      </c>
      <c r="C6" s="61" t="s">
        <v>60</v>
      </c>
      <c r="D6" s="32">
        <v>234311.87809569074</v>
      </c>
      <c r="E6" s="62">
        <v>1357.5025845975531</v>
      </c>
      <c r="F6" s="62">
        <v>17477.038910828505</v>
      </c>
      <c r="G6" s="62">
        <v>2503.2752555278339</v>
      </c>
      <c r="H6" s="33">
        <v>0</v>
      </c>
      <c r="I6" s="32">
        <v>932697914.30496407</v>
      </c>
      <c r="J6" s="63">
        <v>5292497.9153990326</v>
      </c>
      <c r="K6" s="63">
        <v>77679388.054852828</v>
      </c>
      <c r="L6" s="62">
        <v>10133509.319386</v>
      </c>
      <c r="M6" s="35">
        <v>0</v>
      </c>
      <c r="N6" s="54">
        <v>1025803309.594602</v>
      </c>
      <c r="O6" s="40">
        <v>363.76163604900006</v>
      </c>
      <c r="P6" s="62">
        <v>8590.0006309679975</v>
      </c>
      <c r="Q6" s="64">
        <v>0.21317389830000003</v>
      </c>
      <c r="R6" s="64">
        <v>5.5314283000000006E-2</v>
      </c>
      <c r="S6" s="64">
        <v>5.2971818179999984E-2</v>
      </c>
      <c r="T6" s="64">
        <v>0.21317389830000003</v>
      </c>
      <c r="U6" s="63">
        <v>384.87658532414002</v>
      </c>
      <c r="V6" s="33">
        <v>8654.9093097363966</v>
      </c>
      <c r="W6" s="88">
        <v>330000</v>
      </c>
      <c r="X6" s="89">
        <v>3108.4948775593998</v>
      </c>
      <c r="Y6" s="39"/>
      <c r="Z6" s="30"/>
      <c r="AA6" s="23"/>
      <c r="AB6" s="23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</row>
    <row r="7" spans="1:71" ht="15.6" x14ac:dyDescent="0.3">
      <c r="A7" s="18"/>
      <c r="B7" s="31" t="s">
        <v>18</v>
      </c>
      <c r="C7" s="61" t="s">
        <v>61</v>
      </c>
      <c r="D7" s="32">
        <v>112163.50215835757</v>
      </c>
      <c r="E7" s="62">
        <v>11823.222861390841</v>
      </c>
      <c r="F7" s="62">
        <v>24478.844943680087</v>
      </c>
      <c r="G7" s="62">
        <v>0</v>
      </c>
      <c r="H7" s="33">
        <v>0</v>
      </c>
      <c r="I7" s="32">
        <v>469942336.97805333</v>
      </c>
      <c r="J7" s="63">
        <v>46095221.517209932</v>
      </c>
      <c r="K7" s="63">
        <v>108799992.1048729</v>
      </c>
      <c r="L7" s="62">
        <v>0</v>
      </c>
      <c r="M7" s="35">
        <v>0</v>
      </c>
      <c r="N7" s="54">
        <v>624837550.60013616</v>
      </c>
      <c r="O7" s="40">
        <v>848.10098745199991</v>
      </c>
      <c r="P7" s="62">
        <v>34339.480170260002</v>
      </c>
      <c r="Q7" s="64">
        <v>0.49700996200000003</v>
      </c>
      <c r="R7" s="64">
        <v>0.21525319899999998</v>
      </c>
      <c r="S7" s="64">
        <v>0.12350283299999999</v>
      </c>
      <c r="T7" s="64">
        <v>0.49700996200000003</v>
      </c>
      <c r="U7" s="63">
        <v>897.3300807359999</v>
      </c>
      <c r="V7" s="33">
        <v>34492.970468911008</v>
      </c>
      <c r="W7" s="88">
        <v>210100</v>
      </c>
      <c r="X7" s="89">
        <v>2974.0007168021712</v>
      </c>
      <c r="Y7" s="39"/>
      <c r="Z7" s="30"/>
      <c r="AA7" s="23"/>
      <c r="AB7" s="23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</row>
    <row r="8" spans="1:71" ht="15.6" x14ac:dyDescent="0.3">
      <c r="A8" s="18"/>
      <c r="B8" s="31" t="s">
        <v>19</v>
      </c>
      <c r="C8" s="61" t="s">
        <v>62</v>
      </c>
      <c r="D8" s="32">
        <v>29078.449127973327</v>
      </c>
      <c r="E8" s="62">
        <v>3.3877124686749895</v>
      </c>
      <c r="F8" s="62">
        <v>7076.8050779880614</v>
      </c>
      <c r="G8" s="62">
        <v>49.655202801356097</v>
      </c>
      <c r="H8" s="33">
        <v>3040.107436527368</v>
      </c>
      <c r="I8" s="32">
        <v>123830462.16687538</v>
      </c>
      <c r="J8" s="63">
        <v>13207.681062168353</v>
      </c>
      <c r="K8" s="63">
        <v>31453948.843759138</v>
      </c>
      <c r="L8" s="62">
        <v>202324.91082162879</v>
      </c>
      <c r="M8" s="35">
        <v>1748388.6126001289</v>
      </c>
      <c r="N8" s="54">
        <v>157248332.21511841</v>
      </c>
      <c r="O8" s="40">
        <v>393.89249679099999</v>
      </c>
      <c r="P8" s="62">
        <v>5647.0788100999998</v>
      </c>
      <c r="Q8" s="64">
        <v>0.23083161699999999</v>
      </c>
      <c r="R8" s="64">
        <v>3.2531058000000002E-2</v>
      </c>
      <c r="S8" s="64">
        <v>5.7359679999999996E-2</v>
      </c>
      <c r="T8" s="64">
        <v>0.24602245199999997</v>
      </c>
      <c r="U8" s="63">
        <v>416.75647185599996</v>
      </c>
      <c r="V8" s="33">
        <v>5721.2067772459995</v>
      </c>
      <c r="W8" s="88">
        <v>8600</v>
      </c>
      <c r="X8" s="89">
        <v>18284.689792455629</v>
      </c>
      <c r="Y8" s="39"/>
      <c r="Z8" s="30"/>
      <c r="AA8" s="23"/>
      <c r="AB8" s="23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</row>
    <row r="9" spans="1:71" ht="15.6" x14ac:dyDescent="0.3">
      <c r="A9" s="18"/>
      <c r="B9" s="31" t="s">
        <v>20</v>
      </c>
      <c r="C9" s="61" t="s">
        <v>63</v>
      </c>
      <c r="D9" s="32">
        <v>212445.31498294009</v>
      </c>
      <c r="E9" s="62">
        <v>3081.3438182997747</v>
      </c>
      <c r="F9" s="62">
        <v>25205.485104496129</v>
      </c>
      <c r="G9" s="62">
        <v>95.148785932266279</v>
      </c>
      <c r="H9" s="33">
        <v>0</v>
      </c>
      <c r="I9" s="32">
        <v>846727827.48221183</v>
      </c>
      <c r="J9" s="63">
        <v>12013241.020689435</v>
      </c>
      <c r="K9" s="63">
        <v>112029656.08378053</v>
      </c>
      <c r="L9" s="62">
        <v>387609.15133421915</v>
      </c>
      <c r="M9" s="35">
        <v>0</v>
      </c>
      <c r="N9" s="54">
        <v>971158333.73801601</v>
      </c>
      <c r="O9" s="40">
        <v>221.00977825899997</v>
      </c>
      <c r="P9" s="62">
        <v>21939.66293477601</v>
      </c>
      <c r="Q9" s="64">
        <v>0.12951780499999999</v>
      </c>
      <c r="R9" s="64">
        <v>0.14391316100000001</v>
      </c>
      <c r="S9" s="64">
        <v>3.218394799999999E-2</v>
      </c>
      <c r="T9" s="64">
        <v>0.95016854300000031</v>
      </c>
      <c r="U9" s="63">
        <v>233.83853988799999</v>
      </c>
      <c r="V9" s="33">
        <v>22226.410989615008</v>
      </c>
      <c r="W9" s="88">
        <v>390800</v>
      </c>
      <c r="X9" s="89">
        <v>2485.0520310594065</v>
      </c>
      <c r="Y9" s="39"/>
      <c r="Z9" s="30"/>
      <c r="AA9" s="23"/>
      <c r="AB9" s="23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</row>
    <row r="10" spans="1:71" ht="15.6" x14ac:dyDescent="0.3">
      <c r="A10" s="18"/>
      <c r="B10" s="31" t="s">
        <v>21</v>
      </c>
      <c r="C10" s="61" t="s">
        <v>64</v>
      </c>
      <c r="D10" s="32">
        <v>242780.34347871062</v>
      </c>
      <c r="E10" s="62">
        <v>5509.091980971155</v>
      </c>
      <c r="F10" s="62">
        <v>21131.570663887771</v>
      </c>
      <c r="G10" s="62">
        <v>0</v>
      </c>
      <c r="H10" s="33">
        <v>0</v>
      </c>
      <c r="I10" s="32">
        <v>975759399.50303745</v>
      </c>
      <c r="J10" s="63">
        <v>21478307.412339285</v>
      </c>
      <c r="K10" s="63">
        <v>93922516.633618176</v>
      </c>
      <c r="L10" s="62">
        <v>311.48993579442055</v>
      </c>
      <c r="M10" s="35">
        <v>0</v>
      </c>
      <c r="N10" s="54">
        <v>1091160535.0389309</v>
      </c>
      <c r="O10" s="40">
        <v>958.43967419299997</v>
      </c>
      <c r="P10" s="62">
        <v>20787.133952548007</v>
      </c>
      <c r="Q10" s="64">
        <v>0.56167141299999979</v>
      </c>
      <c r="R10" s="64">
        <v>0.13659921899999999</v>
      </c>
      <c r="S10" s="64">
        <v>0.139570685</v>
      </c>
      <c r="T10" s="64">
        <v>0.90179312</v>
      </c>
      <c r="U10" s="63">
        <v>1014.073523648</v>
      </c>
      <c r="V10" s="33">
        <v>21059.28328278301</v>
      </c>
      <c r="W10" s="88">
        <v>367100</v>
      </c>
      <c r="X10" s="89">
        <v>2972.3795560853468</v>
      </c>
      <c r="Y10" s="39"/>
      <c r="Z10" s="30"/>
      <c r="AA10" s="23"/>
      <c r="AB10" s="23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</row>
    <row r="11" spans="1:71" ht="15.6" x14ac:dyDescent="0.3">
      <c r="A11" s="18"/>
      <c r="B11" s="31" t="s">
        <v>22</v>
      </c>
      <c r="C11" s="61" t="s">
        <v>65</v>
      </c>
      <c r="D11" s="32">
        <v>377332.19301162951</v>
      </c>
      <c r="E11" s="62">
        <v>1232.6778649872206</v>
      </c>
      <c r="F11" s="62">
        <v>9297.0478161552292</v>
      </c>
      <c r="G11" s="62">
        <v>84.83399938802971</v>
      </c>
      <c r="H11" s="33">
        <v>0</v>
      </c>
      <c r="I11" s="32">
        <v>1446546098.0683289</v>
      </c>
      <c r="J11" s="63">
        <v>4805843.5430069491</v>
      </c>
      <c r="K11" s="63">
        <v>41322159.249081194</v>
      </c>
      <c r="L11" s="62">
        <v>343809.8037087277</v>
      </c>
      <c r="M11" s="35">
        <v>0</v>
      </c>
      <c r="N11" s="54">
        <v>1493017910.6641257</v>
      </c>
      <c r="O11" s="40">
        <v>773.87996451999993</v>
      </c>
      <c r="P11" s="62">
        <v>3774.0660199530003</v>
      </c>
      <c r="Q11" s="64">
        <v>0.45351445499999976</v>
      </c>
      <c r="R11" s="64">
        <v>2.4787616999999994E-2</v>
      </c>
      <c r="S11" s="64">
        <v>0.11269446999999999</v>
      </c>
      <c r="T11" s="64">
        <v>0.16333277099999993</v>
      </c>
      <c r="U11" s="63">
        <v>818.80077795499994</v>
      </c>
      <c r="V11" s="33">
        <v>3823.3588761360002</v>
      </c>
      <c r="W11" s="88">
        <v>330000</v>
      </c>
      <c r="X11" s="89">
        <v>4524.2966989821989</v>
      </c>
      <c r="Y11" s="39"/>
      <c r="Z11" s="30"/>
      <c r="AA11" s="23"/>
      <c r="AB11" s="23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</row>
    <row r="12" spans="1:71" ht="15.6" x14ac:dyDescent="0.3">
      <c r="A12" s="18"/>
      <c r="B12" s="31" t="s">
        <v>23</v>
      </c>
      <c r="C12" s="61" t="s">
        <v>66</v>
      </c>
      <c r="D12" s="32">
        <v>208115.01075332711</v>
      </c>
      <c r="E12" s="62">
        <v>732.66469294282558</v>
      </c>
      <c r="F12" s="62">
        <v>8427.4417333126366</v>
      </c>
      <c r="G12" s="62">
        <v>771.90708395636659</v>
      </c>
      <c r="H12" s="33">
        <v>2089.1516259311034</v>
      </c>
      <c r="I12" s="32">
        <v>809362824.95500791</v>
      </c>
      <c r="J12" s="63">
        <v>2856441.2356061498</v>
      </c>
      <c r="K12" s="63">
        <v>37457061.236274406</v>
      </c>
      <c r="L12" s="62">
        <v>3146009.5655800109</v>
      </c>
      <c r="M12" s="35">
        <v>1212610.3270940185</v>
      </c>
      <c r="N12" s="54">
        <v>854034947.31956244</v>
      </c>
      <c r="O12" s="40">
        <v>518.5159498910001</v>
      </c>
      <c r="P12" s="62">
        <v>7810.649008976</v>
      </c>
      <c r="Q12" s="64">
        <v>0.30386434699999998</v>
      </c>
      <c r="R12" s="64">
        <v>5.2291533999999994E-2</v>
      </c>
      <c r="S12" s="64">
        <v>7.5507749999999957E-2</v>
      </c>
      <c r="T12" s="64">
        <v>0.33903781900000007</v>
      </c>
      <c r="U12" s="63">
        <v>548.61386806600001</v>
      </c>
      <c r="V12" s="33">
        <v>7912.9895673880001</v>
      </c>
      <c r="W12" s="88">
        <v>289100</v>
      </c>
      <c r="X12" s="89">
        <v>2954.116040538092</v>
      </c>
      <c r="Y12" s="39"/>
      <c r="Z12" s="30"/>
      <c r="AA12" s="23"/>
      <c r="AB12" s="23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</row>
    <row r="13" spans="1:71" ht="15.6" x14ac:dyDescent="0.3">
      <c r="A13" s="18"/>
      <c r="B13" s="31" t="s">
        <v>24</v>
      </c>
      <c r="C13" s="61" t="s">
        <v>67</v>
      </c>
      <c r="D13" s="32">
        <v>97030.022931660002</v>
      </c>
      <c r="E13" s="62">
        <v>1012.97359047205</v>
      </c>
      <c r="F13" s="62">
        <v>8368.6328877843025</v>
      </c>
      <c r="G13" s="62">
        <v>0</v>
      </c>
      <c r="H13" s="33">
        <v>0</v>
      </c>
      <c r="I13" s="32">
        <v>398384198.68488812</v>
      </c>
      <c r="J13" s="63">
        <v>3949282.0689670909</v>
      </c>
      <c r="K13" s="63">
        <v>37195676.275345877</v>
      </c>
      <c r="L13" s="62">
        <v>0</v>
      </c>
      <c r="M13" s="35">
        <v>0</v>
      </c>
      <c r="N13" s="54">
        <v>439529157.02920109</v>
      </c>
      <c r="O13" s="40">
        <v>384.715017149</v>
      </c>
      <c r="P13" s="62">
        <v>14776.380406049997</v>
      </c>
      <c r="Q13" s="64">
        <v>0.22545331210000003</v>
      </c>
      <c r="R13" s="64">
        <v>9.5043555999999987E-2</v>
      </c>
      <c r="S13" s="64">
        <v>5.6023310400000012E-2</v>
      </c>
      <c r="T13" s="64">
        <v>0.64073116699999999</v>
      </c>
      <c r="U13" s="63">
        <v>407.04629645070003</v>
      </c>
      <c r="V13" s="33">
        <v>14969.694382715998</v>
      </c>
      <c r="W13" s="88">
        <v>259200</v>
      </c>
      <c r="X13" s="89">
        <v>1695.7143403904363</v>
      </c>
      <c r="Y13" s="39"/>
      <c r="Z13" s="30"/>
      <c r="AA13" s="23"/>
      <c r="AB13" s="23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</row>
    <row r="14" spans="1:71" ht="15.6" x14ac:dyDescent="0.3">
      <c r="A14" s="18"/>
      <c r="B14" s="31" t="s">
        <v>25</v>
      </c>
      <c r="C14" s="61" t="s">
        <v>68</v>
      </c>
      <c r="D14" s="32">
        <v>95497.885469886649</v>
      </c>
      <c r="E14" s="62">
        <v>1939.0146472330935</v>
      </c>
      <c r="F14" s="62">
        <v>10245.767985580915</v>
      </c>
      <c r="G14" s="62">
        <v>3734.5324042146908</v>
      </c>
      <c r="H14" s="33">
        <v>3.5535441934149747</v>
      </c>
      <c r="I14" s="32">
        <v>384631327.21101385</v>
      </c>
      <c r="J14" s="63">
        <v>7559640.1029701838</v>
      </c>
      <c r="K14" s="63">
        <v>45538891.990382284</v>
      </c>
      <c r="L14" s="62">
        <v>15223659.67267496</v>
      </c>
      <c r="M14" s="35">
        <v>2059.3800768758056</v>
      </c>
      <c r="N14" s="54">
        <v>452955578.35711819</v>
      </c>
      <c r="O14" s="40">
        <v>241.71940645299998</v>
      </c>
      <c r="P14" s="62">
        <v>11781.802983015999</v>
      </c>
      <c r="Q14" s="64">
        <v>0.14165402054800003</v>
      </c>
      <c r="R14" s="64">
        <v>7.2632479E-2</v>
      </c>
      <c r="S14" s="64">
        <v>3.5199840236E-2</v>
      </c>
      <c r="T14" s="64">
        <v>0.512052269</v>
      </c>
      <c r="U14" s="63">
        <v>255.75030935702796</v>
      </c>
      <c r="V14" s="33">
        <v>11936.210371153</v>
      </c>
      <c r="W14" s="88">
        <v>183200</v>
      </c>
      <c r="X14" s="89">
        <v>2472.4649473641821</v>
      </c>
      <c r="Y14" s="39"/>
      <c r="Z14" s="30"/>
      <c r="AA14" s="23"/>
      <c r="AB14" s="23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</row>
    <row r="15" spans="1:71" ht="15.6" x14ac:dyDescent="0.3">
      <c r="A15" s="18"/>
      <c r="B15" s="31" t="s">
        <v>26</v>
      </c>
      <c r="C15" s="61" t="s">
        <v>69</v>
      </c>
      <c r="D15" s="32">
        <v>107125.58780253676</v>
      </c>
      <c r="E15" s="62">
        <v>3015.7107847222683</v>
      </c>
      <c r="F15" s="62">
        <v>15690.614857303193</v>
      </c>
      <c r="G15" s="62">
        <v>0</v>
      </c>
      <c r="H15" s="33">
        <v>0</v>
      </c>
      <c r="I15" s="32">
        <v>443132170.81128854</v>
      </c>
      <c r="J15" s="63">
        <v>11757357.387515176</v>
      </c>
      <c r="K15" s="63">
        <v>69739351.530797437</v>
      </c>
      <c r="L15" s="62">
        <v>0</v>
      </c>
      <c r="M15" s="35">
        <v>0</v>
      </c>
      <c r="N15" s="54">
        <v>524628879.72960114</v>
      </c>
      <c r="O15" s="40">
        <v>463.11398539599998</v>
      </c>
      <c r="P15" s="62">
        <v>7668.7877997769992</v>
      </c>
      <c r="Q15" s="64">
        <v>0.2713972870000001</v>
      </c>
      <c r="R15" s="64">
        <v>4.9709957999999992E-2</v>
      </c>
      <c r="S15" s="64">
        <v>6.7439937999999991E-2</v>
      </c>
      <c r="T15" s="64">
        <v>0.33158474599999999</v>
      </c>
      <c r="U15" s="63">
        <v>489.99601909499995</v>
      </c>
      <c r="V15" s="33">
        <v>7768.8428030349987</v>
      </c>
      <c r="W15" s="88">
        <v>264200</v>
      </c>
      <c r="X15" s="89">
        <v>1985.7262669553411</v>
      </c>
      <c r="Y15" s="39"/>
      <c r="Z15" s="30"/>
      <c r="AA15" s="23"/>
      <c r="AB15" s="23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</row>
    <row r="16" spans="1:71" ht="15.6" x14ac:dyDescent="0.3">
      <c r="A16" s="18"/>
      <c r="B16" s="31" t="s">
        <v>27</v>
      </c>
      <c r="C16" s="61" t="s">
        <v>70</v>
      </c>
      <c r="D16" s="32">
        <v>128317.19211464832</v>
      </c>
      <c r="E16" s="62">
        <v>4861.4900694184762</v>
      </c>
      <c r="F16" s="62">
        <v>11416.120953666974</v>
      </c>
      <c r="G16" s="62">
        <v>190.36938443663172</v>
      </c>
      <c r="H16" s="33">
        <v>0</v>
      </c>
      <c r="I16" s="32">
        <v>502531805.68561727</v>
      </c>
      <c r="J16" s="63">
        <v>18953500.604758084</v>
      </c>
      <c r="K16" s="63">
        <v>50740705.800659828</v>
      </c>
      <c r="L16" s="62">
        <v>775855.28329800488</v>
      </c>
      <c r="M16" s="35">
        <v>0</v>
      </c>
      <c r="N16" s="54">
        <v>573001867.37433314</v>
      </c>
      <c r="O16" s="40">
        <v>190.10750217599997</v>
      </c>
      <c r="P16" s="62">
        <v>8541.7699844920044</v>
      </c>
      <c r="Q16" s="64">
        <v>0.11140818499999999</v>
      </c>
      <c r="R16" s="64">
        <v>5.570915500000001E-2</v>
      </c>
      <c r="S16" s="64">
        <v>2.7683987499999996E-2</v>
      </c>
      <c r="T16" s="64">
        <v>0.36957228099999989</v>
      </c>
      <c r="U16" s="63">
        <v>201.14253507599997</v>
      </c>
      <c r="V16" s="33">
        <v>8653.295253105005</v>
      </c>
      <c r="W16" s="88">
        <v>261300</v>
      </c>
      <c r="X16" s="89">
        <v>2192.888891597142</v>
      </c>
      <c r="Y16" s="39"/>
      <c r="Z16" s="30"/>
      <c r="AA16" s="23"/>
      <c r="AB16" s="23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</row>
    <row r="17" spans="1:71" ht="15.6" x14ac:dyDescent="0.3">
      <c r="A17" s="18"/>
      <c r="B17" s="31" t="s">
        <v>28</v>
      </c>
      <c r="C17" s="61" t="s">
        <v>71</v>
      </c>
      <c r="D17" s="32">
        <v>400137.1129079581</v>
      </c>
      <c r="E17" s="62">
        <v>1820.5851405802246</v>
      </c>
      <c r="F17" s="62">
        <v>12343.535258666756</v>
      </c>
      <c r="G17" s="62">
        <v>182.61741978046896</v>
      </c>
      <c r="H17" s="33">
        <v>607.00384895263585</v>
      </c>
      <c r="I17" s="32">
        <v>1455931471.0499017</v>
      </c>
      <c r="J17" s="63">
        <v>7097918.7595313704</v>
      </c>
      <c r="K17" s="63">
        <v>54862741.349889182</v>
      </c>
      <c r="L17" s="62">
        <v>744483.16509351437</v>
      </c>
      <c r="M17" s="35">
        <v>353584.65923418984</v>
      </c>
      <c r="N17" s="54">
        <v>1518990198.98365</v>
      </c>
      <c r="O17" s="40">
        <v>378.64808244199992</v>
      </c>
      <c r="P17" s="62">
        <v>5855.742894361003</v>
      </c>
      <c r="Q17" s="64">
        <v>0.22189805769999996</v>
      </c>
      <c r="R17" s="64">
        <v>3.7946053000000014E-2</v>
      </c>
      <c r="S17" s="64">
        <v>5.5140246230000009E-2</v>
      </c>
      <c r="T17" s="64">
        <v>0.25327791799999994</v>
      </c>
      <c r="U17" s="63">
        <v>400.62732726103991</v>
      </c>
      <c r="V17" s="33">
        <v>5932.1683652500033</v>
      </c>
      <c r="W17" s="88">
        <v>262000</v>
      </c>
      <c r="X17" s="89">
        <v>5797.6725152047711</v>
      </c>
      <c r="Y17" s="39"/>
      <c r="Z17" s="30"/>
      <c r="AA17" s="23"/>
      <c r="AB17" s="23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</row>
    <row r="18" spans="1:71" ht="15.6" x14ac:dyDescent="0.3">
      <c r="A18" s="18"/>
      <c r="B18" s="31" t="s">
        <v>29</v>
      </c>
      <c r="C18" s="61" t="s">
        <v>72</v>
      </c>
      <c r="D18" s="32">
        <v>364467.13653124508</v>
      </c>
      <c r="E18" s="62">
        <v>6960.9823138907832</v>
      </c>
      <c r="F18" s="62">
        <v>19598.010341178015</v>
      </c>
      <c r="G18" s="62">
        <v>300595.579921811</v>
      </c>
      <c r="H18" s="33">
        <v>0</v>
      </c>
      <c r="I18" s="32">
        <v>1440927431.128742</v>
      </c>
      <c r="J18" s="63">
        <v>27138795.02212397</v>
      </c>
      <c r="K18" s="63">
        <v>87106371.860976636</v>
      </c>
      <c r="L18" s="62">
        <v>1224764095.4675598</v>
      </c>
      <c r="M18" s="35">
        <v>0</v>
      </c>
      <c r="N18" s="54">
        <v>2779936693.4794025</v>
      </c>
      <c r="O18" s="40">
        <v>764.30115921000015</v>
      </c>
      <c r="P18" s="62">
        <v>16358.572264085997</v>
      </c>
      <c r="Q18" s="64">
        <v>0.44790101214799993</v>
      </c>
      <c r="R18" s="64">
        <v>0.10739502599999998</v>
      </c>
      <c r="S18" s="64">
        <v>0.11129947703679997</v>
      </c>
      <c r="T18" s="64">
        <v>0.70851615800000023</v>
      </c>
      <c r="U18" s="63">
        <v>808.66592867066652</v>
      </c>
      <c r="V18" s="33">
        <v>16572.394954819996</v>
      </c>
      <c r="W18" s="88">
        <v>305900</v>
      </c>
      <c r="X18" s="89">
        <v>9087.7302827048134</v>
      </c>
      <c r="Y18" s="39"/>
      <c r="Z18" s="30"/>
      <c r="AA18" s="23"/>
      <c r="AB18" s="23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</row>
    <row r="19" spans="1:71" ht="15.6" x14ac:dyDescent="0.3">
      <c r="A19" s="18"/>
      <c r="B19" s="31" t="s">
        <v>30</v>
      </c>
      <c r="C19" s="61" t="s">
        <v>73</v>
      </c>
      <c r="D19" s="32">
        <v>254861.87269917969</v>
      </c>
      <c r="E19" s="62">
        <v>534.03095800139204</v>
      </c>
      <c r="F19" s="62">
        <v>8837.8538169795611</v>
      </c>
      <c r="G19" s="62">
        <v>46281.587266045855</v>
      </c>
      <c r="H19" s="33">
        <v>0</v>
      </c>
      <c r="I19" s="32">
        <v>1045469998.4670676</v>
      </c>
      <c r="J19" s="63">
        <v>2082027.5143850432</v>
      </c>
      <c r="K19" s="63">
        <v>39281200.87870612</v>
      </c>
      <c r="L19" s="62">
        <v>188686532.72670758</v>
      </c>
      <c r="M19" s="35">
        <v>0</v>
      </c>
      <c r="N19" s="54">
        <v>1275519759.5868664</v>
      </c>
      <c r="O19" s="40">
        <v>608.99618240699965</v>
      </c>
      <c r="P19" s="62">
        <v>10929.851915446001</v>
      </c>
      <c r="Q19" s="64">
        <v>0.35688820957999989</v>
      </c>
      <c r="R19" s="64">
        <v>7.4347838999999985E-2</v>
      </c>
      <c r="S19" s="64">
        <v>8.8683804379999981E-2</v>
      </c>
      <c r="T19" s="64">
        <v>0.47369821500000009</v>
      </c>
      <c r="U19" s="63">
        <v>644.34616135173974</v>
      </c>
      <c r="V19" s="33">
        <v>11072.872679491</v>
      </c>
      <c r="W19" s="88">
        <v>288200</v>
      </c>
      <c r="X19" s="89">
        <v>4425.8145717795505</v>
      </c>
      <c r="Y19" s="65"/>
      <c r="Z19" s="30"/>
      <c r="AA19" s="23"/>
      <c r="AB19" s="23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</row>
    <row r="20" spans="1:71" ht="15.6" x14ac:dyDescent="0.3">
      <c r="A20" s="18"/>
      <c r="B20" s="31" t="s">
        <v>31</v>
      </c>
      <c r="C20" s="61" t="s">
        <v>74</v>
      </c>
      <c r="D20" s="32">
        <v>73862.027174841758</v>
      </c>
      <c r="E20" s="62">
        <v>2346.8653717689076</v>
      </c>
      <c r="F20" s="62">
        <v>16262.050433481558</v>
      </c>
      <c r="G20" s="62">
        <v>0</v>
      </c>
      <c r="H20" s="33">
        <v>0</v>
      </c>
      <c r="I20" s="32">
        <v>313192899.29945922</v>
      </c>
      <c r="J20" s="63">
        <v>9149728.5005106628</v>
      </c>
      <c r="K20" s="63">
        <v>72279184.85707131</v>
      </c>
      <c r="L20" s="62">
        <v>0</v>
      </c>
      <c r="M20" s="35">
        <v>0</v>
      </c>
      <c r="N20" s="54">
        <v>394621812.65704119</v>
      </c>
      <c r="O20" s="40">
        <v>376.20064343199999</v>
      </c>
      <c r="P20" s="62">
        <v>9658.100273873999</v>
      </c>
      <c r="Q20" s="64">
        <v>0.22046379799999999</v>
      </c>
      <c r="R20" s="64">
        <v>5.9943286999999998E-2</v>
      </c>
      <c r="S20" s="64">
        <v>5.4783458E-2</v>
      </c>
      <c r="T20" s="64">
        <v>0.41949605199999995</v>
      </c>
      <c r="U20" s="63">
        <v>398.037708866</v>
      </c>
      <c r="V20" s="33">
        <v>9784.6086795449992</v>
      </c>
      <c r="W20" s="88">
        <v>216600</v>
      </c>
      <c r="X20" s="89">
        <v>1821.892025194096</v>
      </c>
      <c r="Y20" s="39"/>
      <c r="Z20" s="30"/>
      <c r="AA20" s="23"/>
      <c r="AB20" s="23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</row>
    <row r="21" spans="1:71" ht="15.6" x14ac:dyDescent="0.3">
      <c r="A21" s="18"/>
      <c r="B21" s="31" t="s">
        <v>32</v>
      </c>
      <c r="C21" s="61" t="s">
        <v>75</v>
      </c>
      <c r="D21" s="32">
        <v>96063.056602289304</v>
      </c>
      <c r="E21" s="62">
        <v>488.49622428276734</v>
      </c>
      <c r="F21" s="62">
        <v>8790.9510421996074</v>
      </c>
      <c r="G21" s="62">
        <v>0</v>
      </c>
      <c r="H21" s="33">
        <v>8.1656454450868825</v>
      </c>
      <c r="I21" s="32">
        <v>398576167.1530683</v>
      </c>
      <c r="J21" s="63">
        <v>1904501.1611991185</v>
      </c>
      <c r="K21" s="63">
        <v>39072734.280813262</v>
      </c>
      <c r="L21" s="62">
        <v>0</v>
      </c>
      <c r="M21" s="35">
        <v>4730.0766485476688</v>
      </c>
      <c r="N21" s="54">
        <v>439558132.67172921</v>
      </c>
      <c r="O21" s="40">
        <v>281.82585011600003</v>
      </c>
      <c r="P21" s="62">
        <v>9545.4862593100006</v>
      </c>
      <c r="Q21" s="64">
        <v>0.16515755400000001</v>
      </c>
      <c r="R21" s="64">
        <v>6.2931437000000007E-2</v>
      </c>
      <c r="S21" s="64">
        <v>4.1040250000000007E-2</v>
      </c>
      <c r="T21" s="64">
        <v>0.41380240299999993</v>
      </c>
      <c r="U21" s="63">
        <v>298.184783466</v>
      </c>
      <c r="V21" s="33">
        <v>9670.372661329</v>
      </c>
      <c r="W21" s="88">
        <v>143400</v>
      </c>
      <c r="X21" s="89">
        <v>3065.2589447121982</v>
      </c>
      <c r="Y21" s="39"/>
      <c r="Z21" s="30"/>
      <c r="AA21" s="23"/>
      <c r="AB21" s="23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</row>
    <row r="22" spans="1:71" ht="15.6" x14ac:dyDescent="0.3">
      <c r="A22" s="18"/>
      <c r="B22" s="31" t="s">
        <v>76</v>
      </c>
      <c r="C22" s="61" t="s">
        <v>77</v>
      </c>
      <c r="D22" s="32">
        <v>126844.4398202973</v>
      </c>
      <c r="E22" s="62">
        <v>524.00591567747506</v>
      </c>
      <c r="F22" s="62">
        <v>6384.4555889074072</v>
      </c>
      <c r="G22" s="62">
        <v>0</v>
      </c>
      <c r="H22" s="33">
        <v>0</v>
      </c>
      <c r="I22" s="32">
        <v>503066263.72220647</v>
      </c>
      <c r="J22" s="63">
        <v>2042942.8627585073</v>
      </c>
      <c r="K22" s="63">
        <v>28376695.030554362</v>
      </c>
      <c r="L22" s="62">
        <v>0</v>
      </c>
      <c r="M22" s="35">
        <v>0</v>
      </c>
      <c r="N22" s="54">
        <v>533485901.61551934</v>
      </c>
      <c r="O22" s="40">
        <v>211.828460506</v>
      </c>
      <c r="P22" s="62">
        <v>6489.3461269360014</v>
      </c>
      <c r="Q22" s="64">
        <v>0.12413728200000002</v>
      </c>
      <c r="R22" s="64">
        <v>4.3124836999999999E-2</v>
      </c>
      <c r="S22" s="64">
        <v>3.0846855999999995E-2</v>
      </c>
      <c r="T22" s="64">
        <v>0.2808952520000001</v>
      </c>
      <c r="U22" s="63">
        <v>224.12425564400002</v>
      </c>
      <c r="V22" s="33">
        <v>6574.1310329570015</v>
      </c>
      <c r="W22" s="88">
        <v>168000</v>
      </c>
      <c r="X22" s="89">
        <v>3175.511319139996</v>
      </c>
      <c r="Y22" s="39"/>
      <c r="Z22" s="30"/>
      <c r="AA22" s="23"/>
      <c r="AB22" s="23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</row>
    <row r="23" spans="1:71" ht="15.6" x14ac:dyDescent="0.3">
      <c r="A23" s="18"/>
      <c r="B23" s="31" t="s">
        <v>33</v>
      </c>
      <c r="C23" s="61" t="s">
        <v>78</v>
      </c>
      <c r="D23" s="32">
        <v>133568.05646683948</v>
      </c>
      <c r="E23" s="62">
        <v>1416.383322640321</v>
      </c>
      <c r="F23" s="62">
        <v>23916.946013844514</v>
      </c>
      <c r="G23" s="62">
        <v>0</v>
      </c>
      <c r="H23" s="33">
        <v>11.151029733931162</v>
      </c>
      <c r="I23" s="32">
        <v>540231650.32403672</v>
      </c>
      <c r="J23" s="63">
        <v>5522056.3610950233</v>
      </c>
      <c r="K23" s="63">
        <v>106302545.87035885</v>
      </c>
      <c r="L23" s="62">
        <v>0</v>
      </c>
      <c r="M23" s="35">
        <v>6427.0184483616031</v>
      </c>
      <c r="N23" s="54">
        <v>652062679.57393897</v>
      </c>
      <c r="O23" s="40">
        <v>183.45564964900004</v>
      </c>
      <c r="P23" s="62">
        <v>16199.866629606002</v>
      </c>
      <c r="Q23" s="64">
        <v>0.10751000199999999</v>
      </c>
      <c r="R23" s="64">
        <v>0.102022479</v>
      </c>
      <c r="S23" s="64">
        <v>2.6715551100000002E-2</v>
      </c>
      <c r="T23" s="64">
        <v>0.70331611000000005</v>
      </c>
      <c r="U23" s="63">
        <v>194.10463392680003</v>
      </c>
      <c r="V23" s="33">
        <v>16412.005392361003</v>
      </c>
      <c r="W23" s="88">
        <v>317600</v>
      </c>
      <c r="X23" s="89">
        <v>2053.0940792630322</v>
      </c>
      <c r="Y23" s="39"/>
      <c r="Z23" s="30"/>
      <c r="AA23" s="23"/>
      <c r="AB23" s="23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</row>
    <row r="24" spans="1:71" ht="15.6" x14ac:dyDescent="0.3">
      <c r="A24" s="18"/>
      <c r="B24" s="31" t="s">
        <v>34</v>
      </c>
      <c r="C24" s="61" t="s">
        <v>79</v>
      </c>
      <c r="D24" s="32">
        <v>124498.1419419368</v>
      </c>
      <c r="E24" s="62">
        <v>2329.4176583180915</v>
      </c>
      <c r="F24" s="62">
        <v>22068.619975212176</v>
      </c>
      <c r="G24" s="62">
        <v>0</v>
      </c>
      <c r="H24" s="33">
        <v>377.25481133612402</v>
      </c>
      <c r="I24" s="32">
        <v>494940269.67152178</v>
      </c>
      <c r="J24" s="63">
        <v>9081705.0668062624</v>
      </c>
      <c r="K24" s="63">
        <v>98087376.450678021</v>
      </c>
      <c r="L24" s="62">
        <v>0</v>
      </c>
      <c r="M24" s="35">
        <v>217470.23295547802</v>
      </c>
      <c r="N24" s="54">
        <v>602326821.42196155</v>
      </c>
      <c r="O24" s="40">
        <v>128.05853595200003</v>
      </c>
      <c r="P24" s="62">
        <v>7702.2485251619983</v>
      </c>
      <c r="Q24" s="64">
        <v>7.5045334000000019E-2</v>
      </c>
      <c r="R24" s="64">
        <v>5.085259000000001E-2</v>
      </c>
      <c r="S24" s="64">
        <v>1.8647991000000003E-2</v>
      </c>
      <c r="T24" s="64">
        <v>0.333828336</v>
      </c>
      <c r="U24" s="63">
        <v>135.49177062000004</v>
      </c>
      <c r="V24" s="33">
        <v>7803.0006840399983</v>
      </c>
      <c r="W24" s="88">
        <v>300600</v>
      </c>
      <c r="X24" s="89">
        <v>2003.7485742580225</v>
      </c>
      <c r="Y24" s="39"/>
      <c r="Z24" s="30"/>
      <c r="AA24" s="23"/>
      <c r="AB24" s="23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</row>
    <row r="25" spans="1:71" ht="15.6" x14ac:dyDescent="0.3">
      <c r="A25" s="18"/>
      <c r="B25" s="31" t="s">
        <v>35</v>
      </c>
      <c r="C25" s="61" t="s">
        <v>80</v>
      </c>
      <c r="D25" s="32">
        <v>122058.15174402889</v>
      </c>
      <c r="E25" s="62">
        <v>651.27602945469494</v>
      </c>
      <c r="F25" s="62">
        <v>13815.658101551004</v>
      </c>
      <c r="G25" s="62">
        <v>0</v>
      </c>
      <c r="H25" s="33">
        <v>0</v>
      </c>
      <c r="I25" s="32">
        <v>488356538.51377547</v>
      </c>
      <c r="J25" s="63">
        <v>2539131.0980525296</v>
      </c>
      <c r="K25" s="63">
        <v>61405817.792087123</v>
      </c>
      <c r="L25" s="62">
        <v>131.94903284465607</v>
      </c>
      <c r="M25" s="35">
        <v>0</v>
      </c>
      <c r="N25" s="54">
        <v>552301619.35294795</v>
      </c>
      <c r="O25" s="40">
        <v>356.96300808399997</v>
      </c>
      <c r="P25" s="62">
        <v>9250.149766667002</v>
      </c>
      <c r="Q25" s="64">
        <v>0.209189969</v>
      </c>
      <c r="R25" s="64">
        <v>6.0158151999999993E-2</v>
      </c>
      <c r="S25" s="64">
        <v>5.1982081999999992E-2</v>
      </c>
      <c r="T25" s="64">
        <v>0.40017388199999993</v>
      </c>
      <c r="U25" s="63">
        <v>377.68341774499993</v>
      </c>
      <c r="V25" s="33">
        <v>9370.9055373030023</v>
      </c>
      <c r="W25" s="88">
        <v>215200</v>
      </c>
      <c r="X25" s="89">
        <v>2566.4573390006876</v>
      </c>
      <c r="Y25" s="39"/>
      <c r="Z25" s="30"/>
      <c r="AA25" s="23"/>
      <c r="AB25" s="23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</row>
    <row r="26" spans="1:71" ht="15.6" x14ac:dyDescent="0.3">
      <c r="A26" s="18"/>
      <c r="B26" s="31" t="s">
        <v>36</v>
      </c>
      <c r="C26" s="61" t="s">
        <v>81</v>
      </c>
      <c r="D26" s="32">
        <v>159515.82232155677</v>
      </c>
      <c r="E26" s="62">
        <v>1781.2043920781309</v>
      </c>
      <c r="F26" s="62">
        <v>22032.537586629063</v>
      </c>
      <c r="G26" s="62">
        <v>5695.7535343069685</v>
      </c>
      <c r="H26" s="33">
        <v>1734.9971861889885</v>
      </c>
      <c r="I26" s="32">
        <v>644482425.07207656</v>
      </c>
      <c r="J26" s="63">
        <v>6944384.9602451073</v>
      </c>
      <c r="K26" s="63">
        <v>97927002.723813072</v>
      </c>
      <c r="L26" s="62">
        <v>23185813.703898706</v>
      </c>
      <c r="M26" s="35">
        <v>1461229.5448377077</v>
      </c>
      <c r="N26" s="54">
        <v>774000856.00487113</v>
      </c>
      <c r="O26" s="40">
        <v>480.15636606100003</v>
      </c>
      <c r="P26" s="62">
        <v>10772.884396179999</v>
      </c>
      <c r="Q26" s="64">
        <v>0.28138457148000001</v>
      </c>
      <c r="R26" s="64">
        <v>7.2403185999999994E-2</v>
      </c>
      <c r="S26" s="64">
        <v>6.9921538864999994E-2</v>
      </c>
      <c r="T26" s="64">
        <v>0.46719417699999993</v>
      </c>
      <c r="U26" s="63">
        <v>508.02759892977002</v>
      </c>
      <c r="V26" s="33">
        <v>10913.918340576</v>
      </c>
      <c r="W26" s="88">
        <v>351100</v>
      </c>
      <c r="X26" s="89">
        <v>2204.5025804752809</v>
      </c>
      <c r="Y26" s="39"/>
      <c r="Z26" s="30"/>
      <c r="AA26" s="23"/>
      <c r="AB26" s="23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</row>
    <row r="27" spans="1:71" ht="15.6" x14ac:dyDescent="0.3">
      <c r="A27" s="18"/>
      <c r="B27" s="31" t="s">
        <v>37</v>
      </c>
      <c r="C27" s="61" t="s">
        <v>82</v>
      </c>
      <c r="D27" s="32">
        <v>220465.62629305481</v>
      </c>
      <c r="E27" s="62">
        <v>690.22545833504819</v>
      </c>
      <c r="F27" s="62">
        <v>9746.8884258917296</v>
      </c>
      <c r="G27" s="62">
        <v>87.793889119898239</v>
      </c>
      <c r="H27" s="33">
        <v>0</v>
      </c>
      <c r="I27" s="32">
        <v>863698941.39987862</v>
      </c>
      <c r="J27" s="63">
        <v>2690983.3107069647</v>
      </c>
      <c r="K27" s="63">
        <v>43321545.041196302</v>
      </c>
      <c r="L27" s="62">
        <v>356741.42368831788</v>
      </c>
      <c r="M27" s="35">
        <v>0</v>
      </c>
      <c r="N27" s="54">
        <v>910068211.17547023</v>
      </c>
      <c r="O27" s="40">
        <v>277.77971550299992</v>
      </c>
      <c r="P27" s="62">
        <v>6290.5154441460008</v>
      </c>
      <c r="Q27" s="64">
        <v>0.16278644440000006</v>
      </c>
      <c r="R27" s="64">
        <v>4.2318473999999995E-2</v>
      </c>
      <c r="S27" s="64">
        <v>4.0450991000000019E-2</v>
      </c>
      <c r="T27" s="64">
        <v>0.27246800499999996</v>
      </c>
      <c r="U27" s="63">
        <v>293.90377193099994</v>
      </c>
      <c r="V27" s="33">
        <v>6372.7688714860005</v>
      </c>
      <c r="W27" s="88">
        <v>310300</v>
      </c>
      <c r="X27" s="89">
        <v>2932.8656499370618</v>
      </c>
      <c r="Y27" s="39"/>
      <c r="Z27" s="30"/>
      <c r="AA27" s="23"/>
      <c r="AB27" s="23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</row>
    <row r="28" spans="1:71" ht="15.6" x14ac:dyDescent="0.3">
      <c r="A28" s="18"/>
      <c r="B28" s="31" t="s">
        <v>98</v>
      </c>
      <c r="C28" s="61" t="s">
        <v>83</v>
      </c>
      <c r="D28" s="32">
        <v>122679.96316049862</v>
      </c>
      <c r="E28" s="62">
        <v>266.75721736752752</v>
      </c>
      <c r="F28" s="62">
        <v>7791.7900620586206</v>
      </c>
      <c r="G28" s="62">
        <v>16706.770870192981</v>
      </c>
      <c r="H28" s="33">
        <v>0</v>
      </c>
      <c r="I28" s="32">
        <v>494445182.2900424</v>
      </c>
      <c r="J28" s="63">
        <v>1040006.8720707695</v>
      </c>
      <c r="K28" s="63">
        <v>34631809.596623756</v>
      </c>
      <c r="L28" s="62">
        <v>68107205.051471382</v>
      </c>
      <c r="M28" s="35">
        <v>0</v>
      </c>
      <c r="N28" s="54">
        <v>598224203.81020832</v>
      </c>
      <c r="O28" s="40">
        <v>208.623778827</v>
      </c>
      <c r="P28" s="62">
        <v>6920.6664609150002</v>
      </c>
      <c r="Q28" s="64">
        <v>0.122259084</v>
      </c>
      <c r="R28" s="64">
        <v>4.4882851999999987E-2</v>
      </c>
      <c r="S28" s="64">
        <v>3.0380514000000001E-2</v>
      </c>
      <c r="T28" s="64">
        <v>0.29923111799999996</v>
      </c>
      <c r="U28" s="63">
        <v>220.73364909899999</v>
      </c>
      <c r="V28" s="33">
        <v>7010.9594053790006</v>
      </c>
      <c r="W28" s="88">
        <v>195200</v>
      </c>
      <c r="X28" s="89">
        <v>3064.6731752572146</v>
      </c>
      <c r="Y28" s="39"/>
      <c r="Z28" s="30"/>
      <c r="AA28" s="23"/>
      <c r="AB28" s="23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</row>
    <row r="29" spans="1:71" ht="15.6" x14ac:dyDescent="0.3">
      <c r="A29" s="18"/>
      <c r="B29" s="31" t="s">
        <v>38</v>
      </c>
      <c r="C29" s="61" t="s">
        <v>84</v>
      </c>
      <c r="D29" s="32">
        <v>121385.6000071748</v>
      </c>
      <c r="E29" s="62">
        <v>1149.0878023736259</v>
      </c>
      <c r="F29" s="62">
        <v>23437.517034818749</v>
      </c>
      <c r="G29" s="62">
        <v>179.24009956747787</v>
      </c>
      <c r="H29" s="33">
        <v>2615.6337365526192</v>
      </c>
      <c r="I29" s="32">
        <v>501814826.76461619</v>
      </c>
      <c r="J29" s="63">
        <v>4479950.8064846992</v>
      </c>
      <c r="K29" s="63">
        <v>104171650.0191509</v>
      </c>
      <c r="L29" s="62">
        <v>730372.19800691307</v>
      </c>
      <c r="M29" s="35">
        <v>1508514.798690181</v>
      </c>
      <c r="N29" s="54">
        <v>612705314.58694887</v>
      </c>
      <c r="O29" s="40">
        <v>378.69475183899999</v>
      </c>
      <c r="P29" s="62">
        <v>16221.037528668001</v>
      </c>
      <c r="Q29" s="64">
        <v>0.22192524929999999</v>
      </c>
      <c r="R29" s="64">
        <v>0.10025099299999998</v>
      </c>
      <c r="S29" s="64">
        <v>5.5146728270000001E-2</v>
      </c>
      <c r="T29" s="64">
        <v>0.70428582900000003</v>
      </c>
      <c r="U29" s="63">
        <v>400.67660809595998</v>
      </c>
      <c r="V29" s="33">
        <v>16433.420980535</v>
      </c>
      <c r="W29" s="88">
        <v>307700</v>
      </c>
      <c r="X29" s="89">
        <v>1991.2424913453001</v>
      </c>
      <c r="Y29" s="39"/>
      <c r="Z29" s="30"/>
      <c r="AA29" s="23"/>
      <c r="AB29" s="23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</row>
    <row r="30" spans="1:71" ht="15.6" x14ac:dyDescent="0.3">
      <c r="A30" s="18"/>
      <c r="B30" s="31" t="s">
        <v>39</v>
      </c>
      <c r="C30" s="61" t="s">
        <v>85</v>
      </c>
      <c r="D30" s="32">
        <v>97224.820508630321</v>
      </c>
      <c r="E30" s="62">
        <v>36.507105079575304</v>
      </c>
      <c r="F30" s="62">
        <v>4175.3549256950746</v>
      </c>
      <c r="G30" s="62">
        <v>21.812132257200506</v>
      </c>
      <c r="H30" s="33">
        <v>0</v>
      </c>
      <c r="I30" s="32">
        <v>387180351.33089215</v>
      </c>
      <c r="J30" s="63">
        <v>142330.32019470233</v>
      </c>
      <c r="K30" s="63">
        <v>18558007.291432731</v>
      </c>
      <c r="L30" s="62">
        <v>88690.085444860815</v>
      </c>
      <c r="M30" s="35">
        <v>0</v>
      </c>
      <c r="N30" s="54">
        <v>405969379.02796447</v>
      </c>
      <c r="O30" s="40">
        <v>238.86495957200009</v>
      </c>
      <c r="P30" s="62">
        <v>5463.6694741809997</v>
      </c>
      <c r="Q30" s="64">
        <v>0.13998143800000004</v>
      </c>
      <c r="R30" s="64">
        <v>3.5977213999999993E-2</v>
      </c>
      <c r="S30" s="64">
        <v>3.4784078000000003E-2</v>
      </c>
      <c r="T30" s="64">
        <v>0.2365679</v>
      </c>
      <c r="U30" s="63">
        <v>252.73015076600009</v>
      </c>
      <c r="V30" s="33">
        <v>5535.0661387310001</v>
      </c>
      <c r="W30" s="88">
        <v>209600</v>
      </c>
      <c r="X30" s="89">
        <v>1936.8768083395253</v>
      </c>
      <c r="Y30" s="39"/>
      <c r="Z30" s="30"/>
      <c r="AA30" s="23"/>
      <c r="AB30" s="23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</row>
    <row r="31" spans="1:71" ht="15.6" x14ac:dyDescent="0.3">
      <c r="A31" s="18"/>
      <c r="B31" s="31" t="s">
        <v>40</v>
      </c>
      <c r="C31" s="61" t="s">
        <v>86</v>
      </c>
      <c r="D31" s="32">
        <v>138391.7489760028</v>
      </c>
      <c r="E31" s="62">
        <v>22.958238239681961</v>
      </c>
      <c r="F31" s="62">
        <v>17991.617941230885</v>
      </c>
      <c r="G31" s="62">
        <v>1300.0079326239861</v>
      </c>
      <c r="H31" s="33">
        <v>5794.4423299120335</v>
      </c>
      <c r="I31" s="32">
        <v>560223006.46657419</v>
      </c>
      <c r="J31" s="63">
        <v>89507.327207611248</v>
      </c>
      <c r="K31" s="63">
        <v>79966513.716783494</v>
      </c>
      <c r="L31" s="62">
        <v>5301208.1939595081</v>
      </c>
      <c r="M31" s="35">
        <v>3340191.5185990529</v>
      </c>
      <c r="N31" s="54">
        <v>648920427.22312379</v>
      </c>
      <c r="O31" s="40">
        <v>836.95807359599996</v>
      </c>
      <c r="P31" s="62">
        <v>21283.698330930001</v>
      </c>
      <c r="Q31" s="64">
        <v>0.49047996299999996</v>
      </c>
      <c r="R31" s="64">
        <v>0.13168111699999999</v>
      </c>
      <c r="S31" s="64">
        <v>0.12188021000000003</v>
      </c>
      <c r="T31" s="64">
        <v>0.92585684700000004</v>
      </c>
      <c r="U31" s="63">
        <v>885.54037525099989</v>
      </c>
      <c r="V31" s="33">
        <v>21562.895699261</v>
      </c>
      <c r="W31" s="88">
        <v>310300</v>
      </c>
      <c r="X31" s="89">
        <v>2091.2678930812885</v>
      </c>
      <c r="Y31" s="39"/>
      <c r="Z31" s="30"/>
      <c r="AA31" s="23"/>
      <c r="AB31" s="23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</row>
    <row r="32" spans="1:71" ht="15.6" x14ac:dyDescent="0.3">
      <c r="A32" s="18"/>
      <c r="B32" s="31" t="s">
        <v>41</v>
      </c>
      <c r="C32" s="61" t="s">
        <v>87</v>
      </c>
      <c r="D32" s="32">
        <v>145759.30303931615</v>
      </c>
      <c r="E32" s="62">
        <v>936.92535072487124</v>
      </c>
      <c r="F32" s="62">
        <v>6299.9526300918424</v>
      </c>
      <c r="G32" s="62">
        <v>64.433492006299133</v>
      </c>
      <c r="H32" s="33">
        <v>0</v>
      </c>
      <c r="I32" s="32">
        <v>579018053.38302076</v>
      </c>
      <c r="J32" s="63">
        <v>3652792.6516367872</v>
      </c>
      <c r="K32" s="63">
        <v>28001108.630414777</v>
      </c>
      <c r="L32" s="62">
        <v>261721.83225533416</v>
      </c>
      <c r="M32" s="35">
        <v>0</v>
      </c>
      <c r="N32" s="54">
        <v>610933676.49732769</v>
      </c>
      <c r="O32" s="40">
        <v>555.06956268400006</v>
      </c>
      <c r="P32" s="62">
        <v>7089.8022379899994</v>
      </c>
      <c r="Q32" s="64">
        <v>0.32528569699999998</v>
      </c>
      <c r="R32" s="64">
        <v>4.6309654000000006E-2</v>
      </c>
      <c r="S32" s="64">
        <v>8.0830762E-2</v>
      </c>
      <c r="T32" s="64">
        <v>0.30704649399999995</v>
      </c>
      <c r="U32" s="63">
        <v>587.28927218500007</v>
      </c>
      <c r="V32" s="33">
        <v>7182.4598345519989</v>
      </c>
      <c r="W32" s="88">
        <v>278400</v>
      </c>
      <c r="X32" s="89">
        <v>2194.4456770737347</v>
      </c>
      <c r="Y32" s="39"/>
      <c r="Z32" s="30"/>
      <c r="AA32" s="23"/>
      <c r="AB32" s="23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</row>
    <row r="33" spans="1:71" ht="15.6" x14ac:dyDescent="0.3">
      <c r="A33" s="18"/>
      <c r="B33" s="31" t="s">
        <v>42</v>
      </c>
      <c r="C33" s="61" t="s">
        <v>88</v>
      </c>
      <c r="D33" s="32">
        <v>144606.97926959678</v>
      </c>
      <c r="E33" s="62">
        <v>2142.0565581226042</v>
      </c>
      <c r="F33" s="62">
        <v>30874.454398566784</v>
      </c>
      <c r="G33" s="62">
        <v>2598.6322261275541</v>
      </c>
      <c r="H33" s="33">
        <v>3.8126034105476627</v>
      </c>
      <c r="I33" s="32">
        <v>570881057.25844884</v>
      </c>
      <c r="J33" s="63">
        <v>8351239.9881666824</v>
      </c>
      <c r="K33" s="63">
        <v>137226262.20864975</v>
      </c>
      <c r="L33" s="62">
        <v>10555552.22656613</v>
      </c>
      <c r="M33" s="35">
        <v>2218.6099702077254</v>
      </c>
      <c r="N33" s="54">
        <v>727016330.29180157</v>
      </c>
      <c r="O33" s="40">
        <v>275.31868670800003</v>
      </c>
      <c r="P33" s="62">
        <v>24062.130086699999</v>
      </c>
      <c r="Q33" s="64">
        <v>0.16134415999999999</v>
      </c>
      <c r="R33" s="64">
        <v>0.15051836399999999</v>
      </c>
      <c r="S33" s="64">
        <v>4.009268500000001E-2</v>
      </c>
      <c r="T33" s="64">
        <v>1.0442217279999999</v>
      </c>
      <c r="U33" s="63">
        <v>291.29991083800007</v>
      </c>
      <c r="V33" s="33">
        <v>24377.071120744</v>
      </c>
      <c r="W33" s="88">
        <v>327500</v>
      </c>
      <c r="X33" s="89">
        <v>2219.8971917306917</v>
      </c>
      <c r="Y33" s="39"/>
      <c r="Z33" s="30"/>
      <c r="AA33" s="23"/>
      <c r="AB33" s="23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</row>
    <row r="34" spans="1:71" ht="15.6" x14ac:dyDescent="0.3">
      <c r="A34" s="18"/>
      <c r="B34" s="31" t="s">
        <v>43</v>
      </c>
      <c r="C34" s="61" t="s">
        <v>89</v>
      </c>
      <c r="D34" s="32">
        <v>174674.92065904694</v>
      </c>
      <c r="E34" s="62">
        <v>1713.309982580523</v>
      </c>
      <c r="F34" s="62">
        <v>26089.319983363846</v>
      </c>
      <c r="G34" s="62">
        <v>0</v>
      </c>
      <c r="H34" s="33">
        <v>2289.3926966942636</v>
      </c>
      <c r="I34" s="32">
        <v>714553004.92143905</v>
      </c>
      <c r="J34" s="63">
        <v>6679684.8964585867</v>
      </c>
      <c r="K34" s="63">
        <v>115957996.16943663</v>
      </c>
      <c r="L34" s="62">
        <v>0</v>
      </c>
      <c r="M34" s="35">
        <v>1318933.0962096886</v>
      </c>
      <c r="N34" s="54">
        <v>838509619.0835439</v>
      </c>
      <c r="O34" s="40">
        <v>1323.5394375329997</v>
      </c>
      <c r="P34" s="62">
        <v>44580.085877789999</v>
      </c>
      <c r="Q34" s="64">
        <v>0.7756296840000001</v>
      </c>
      <c r="R34" s="64">
        <v>0.25000359799999999</v>
      </c>
      <c r="S34" s="64">
        <v>0.19273745299999998</v>
      </c>
      <c r="T34" s="64">
        <v>1.9400426849999999</v>
      </c>
      <c r="U34" s="63">
        <v>1400.3659406269996</v>
      </c>
      <c r="V34" s="33">
        <v>45164.468687870001</v>
      </c>
      <c r="W34" s="88">
        <v>204300</v>
      </c>
      <c r="X34" s="89">
        <v>4104.3055265959074</v>
      </c>
      <c r="Y34" s="39"/>
      <c r="Z34" s="30"/>
      <c r="AA34" s="23"/>
      <c r="AB34" s="23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</row>
    <row r="35" spans="1:71" x14ac:dyDescent="0.3">
      <c r="A35" s="18"/>
      <c r="B35" s="24"/>
      <c r="C35" s="46"/>
      <c r="D35" s="66"/>
      <c r="E35" s="66"/>
      <c r="F35" s="66"/>
      <c r="G35" s="67"/>
      <c r="H35" s="66"/>
      <c r="I35" s="24"/>
      <c r="J35" s="24"/>
      <c r="K35" s="43"/>
      <c r="L35" s="24"/>
      <c r="M35" s="24"/>
      <c r="N35" s="24"/>
      <c r="O35" s="41"/>
      <c r="P35" s="41"/>
      <c r="Q35" s="41"/>
      <c r="R35" s="41"/>
      <c r="S35" s="41"/>
      <c r="T35" s="41"/>
      <c r="U35" s="24"/>
      <c r="V35" s="24"/>
      <c r="W35" s="44"/>
      <c r="X35" s="23"/>
      <c r="Y35" s="23"/>
      <c r="Z35" s="23"/>
      <c r="AA35" s="23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</row>
    <row r="36" spans="1:71" x14ac:dyDescent="0.3">
      <c r="A36" s="18"/>
      <c r="B36" s="45"/>
      <c r="C36" s="39"/>
      <c r="D36" s="39"/>
      <c r="E36" s="39"/>
      <c r="F36" s="39"/>
      <c r="G36" s="68"/>
      <c r="H36" s="39"/>
      <c r="I36" s="24"/>
      <c r="J36" s="24"/>
      <c r="K36" s="43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3"/>
      <c r="X36" s="23"/>
      <c r="Y36" s="23"/>
      <c r="Z36" s="23"/>
      <c r="AA36" s="23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</row>
    <row r="37" spans="1:71" x14ac:dyDescent="0.3">
      <c r="A37" s="18"/>
      <c r="B37" s="45"/>
      <c r="C37" s="46"/>
      <c r="D37" s="93"/>
      <c r="E37" s="94"/>
      <c r="F37" s="94"/>
      <c r="G37" s="94"/>
      <c r="H37" s="94"/>
      <c r="I37" s="24"/>
      <c r="J37" s="24"/>
      <c r="K37" s="43"/>
      <c r="L37" s="24"/>
      <c r="M37" s="24"/>
      <c r="N37" s="24"/>
      <c r="O37" s="47"/>
      <c r="P37" s="47"/>
      <c r="Q37" s="47"/>
      <c r="R37" s="47"/>
      <c r="S37" s="47"/>
      <c r="T37" s="47"/>
      <c r="U37" s="24"/>
      <c r="V37" s="24"/>
      <c r="W37" s="23"/>
      <c r="X37" s="23"/>
      <c r="Y37" s="23"/>
      <c r="Z37" s="23"/>
      <c r="AA37" s="23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</row>
    <row r="38" spans="1:71" x14ac:dyDescent="0.3">
      <c r="A38" s="18"/>
      <c r="B38" s="45"/>
      <c r="C38" s="46"/>
      <c r="D38" s="94"/>
      <c r="E38" s="94"/>
      <c r="F38" s="94"/>
      <c r="G38" s="94"/>
      <c r="H38" s="94"/>
      <c r="I38" s="24"/>
      <c r="J38" s="24"/>
      <c r="K38" s="48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3"/>
      <c r="X38" s="23"/>
      <c r="Y38" s="23"/>
      <c r="Z38" s="23"/>
      <c r="AA38" s="23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</row>
    <row r="39" spans="1:71" x14ac:dyDescent="0.3">
      <c r="A39" s="18"/>
      <c r="B39" s="45"/>
      <c r="C39" s="46"/>
      <c r="D39" s="49"/>
      <c r="E39" s="49"/>
      <c r="F39" s="49"/>
      <c r="G39" s="49"/>
      <c r="H39" s="49"/>
      <c r="I39" s="24"/>
      <c r="J39" s="24"/>
      <c r="K39" s="43"/>
      <c r="L39" s="24"/>
      <c r="M39" s="24"/>
      <c r="N39" s="24"/>
      <c r="O39" s="24"/>
      <c r="P39" s="24"/>
      <c r="Q39" s="24"/>
      <c r="R39" s="24"/>
      <c r="S39" s="24"/>
      <c r="T39" s="50"/>
      <c r="U39" s="24"/>
      <c r="V39" s="24"/>
      <c r="W39" s="51"/>
      <c r="X39" s="23"/>
      <c r="Y39" s="23"/>
      <c r="Z39" s="23"/>
      <c r="AA39" s="23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</row>
    <row r="40" spans="1:71" x14ac:dyDescent="0.3">
      <c r="A40" s="18"/>
      <c r="B40" s="45"/>
      <c r="C40" s="46"/>
      <c r="D40" s="24"/>
      <c r="E40" s="24"/>
      <c r="F40" s="52"/>
      <c r="G40" s="52"/>
      <c r="H40" s="24"/>
      <c r="I40" s="24"/>
      <c r="J40" s="24"/>
      <c r="K40" s="43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3"/>
      <c r="X40" s="23"/>
      <c r="Y40" s="23"/>
      <c r="Z40" s="23"/>
      <c r="AA40" s="23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</row>
    <row r="41" spans="1:71" x14ac:dyDescent="0.3">
      <c r="A41" s="18"/>
      <c r="B41" s="24"/>
      <c r="C41" s="46"/>
      <c r="D41" s="24"/>
      <c r="E41" s="24"/>
      <c r="F41" s="24"/>
      <c r="G41" s="24"/>
      <c r="H41" s="24"/>
      <c r="I41" s="24"/>
      <c r="J41" s="24"/>
      <c r="K41" s="43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3"/>
      <c r="X41" s="23"/>
      <c r="Y41" s="23"/>
      <c r="Z41" s="23"/>
      <c r="AA41" s="23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</row>
    <row r="42" spans="1:71" x14ac:dyDescent="0.3">
      <c r="A42" s="18"/>
      <c r="B42" s="18"/>
      <c r="C42" s="53"/>
      <c r="D42" s="53"/>
      <c r="E42" s="53"/>
      <c r="F42" s="53"/>
      <c r="G42" s="53"/>
      <c r="H42" s="53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</row>
    <row r="43" spans="1:71" x14ac:dyDescent="0.3">
      <c r="A43" s="18"/>
      <c r="B43" s="18"/>
      <c r="C43" s="53"/>
      <c r="D43" s="53"/>
      <c r="E43" s="53"/>
      <c r="F43" s="53"/>
      <c r="G43" s="53"/>
      <c r="H43" s="53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</row>
    <row r="44" spans="1:7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</row>
    <row r="45" spans="1:71" ht="15.6" x14ac:dyDescent="0.3">
      <c r="A45" s="18"/>
      <c r="B45" s="22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</row>
    <row r="46" spans="1:71" ht="15.6" x14ac:dyDescent="0.3">
      <c r="A46" s="1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</row>
    <row r="47" spans="1:71" ht="15.6" x14ac:dyDescent="0.3">
      <c r="A47" s="1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69"/>
      <c r="AI47" s="69"/>
      <c r="AJ47" s="69"/>
      <c r="AK47" s="69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</row>
    <row r="48" spans="1:71" x14ac:dyDescent="0.3">
      <c r="A48" s="18"/>
      <c r="B48" s="71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</row>
    <row r="49" spans="1:71" x14ac:dyDescent="0.3">
      <c r="A49" s="18"/>
      <c r="B49" s="71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70"/>
      <c r="AI49" s="70"/>
      <c r="AJ49" s="70"/>
      <c r="AK49" s="70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</row>
    <row r="50" spans="1:7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</row>
    <row r="51" spans="1:7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</row>
    <row r="52" spans="1:71" ht="15.6" x14ac:dyDescent="0.3">
      <c r="A52" s="69"/>
      <c r="B52" s="70"/>
      <c r="C52" s="70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</row>
    <row r="53" spans="1:71" ht="15.6" x14ac:dyDescent="0.3">
      <c r="A53" s="69"/>
      <c r="B53" s="70"/>
      <c r="C53" s="70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</row>
    <row r="54" spans="1:71" ht="15.6" x14ac:dyDescent="0.3">
      <c r="A54" s="69"/>
      <c r="B54" s="70"/>
      <c r="C54" s="70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</row>
    <row r="55" spans="1:71" ht="15.6" x14ac:dyDescent="0.3">
      <c r="A55" s="69"/>
      <c r="B55" s="70"/>
      <c r="C55" s="70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</row>
    <row r="56" spans="1:71" ht="15.6" x14ac:dyDescent="0.3">
      <c r="A56" s="69"/>
      <c r="B56" s="70"/>
      <c r="C56" s="70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</row>
    <row r="57" spans="1:71" ht="15.6" x14ac:dyDescent="0.3">
      <c r="A57" s="69"/>
      <c r="B57" s="70"/>
      <c r="C57" s="70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</row>
    <row r="58" spans="1:71" ht="15.6" x14ac:dyDescent="0.3">
      <c r="A58" s="69"/>
      <c r="B58" s="70"/>
      <c r="C58" s="70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</row>
    <row r="59" spans="1:71" ht="15.6" x14ac:dyDescent="0.3">
      <c r="A59" s="69"/>
      <c r="B59" s="70"/>
      <c r="C59" s="70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</row>
    <row r="60" spans="1:71" ht="15.6" x14ac:dyDescent="0.3">
      <c r="A60" s="69"/>
      <c r="B60" s="70"/>
      <c r="C60" s="70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</row>
    <row r="61" spans="1:71" ht="15.6" x14ac:dyDescent="0.3">
      <c r="A61" s="69"/>
      <c r="B61" s="70"/>
      <c r="C61" s="70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</row>
    <row r="62" spans="1:71" ht="15.6" x14ac:dyDescent="0.3">
      <c r="A62" s="69"/>
      <c r="B62" s="70"/>
      <c r="C62" s="70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</row>
    <row r="63" spans="1:71" ht="15.6" x14ac:dyDescent="0.3">
      <c r="A63" s="69"/>
      <c r="B63" s="70"/>
      <c r="C63" s="70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</row>
    <row r="64" spans="1:71" ht="15.6" x14ac:dyDescent="0.3">
      <c r="A64" s="69"/>
      <c r="B64" s="70"/>
      <c r="C64" s="70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</row>
    <row r="65" spans="1:71" ht="15.6" x14ac:dyDescent="0.3">
      <c r="A65" s="69"/>
      <c r="B65" s="70"/>
      <c r="C65" s="70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</row>
    <row r="66" spans="1:71" ht="15.6" x14ac:dyDescent="0.3">
      <c r="A66" s="69"/>
      <c r="B66" s="70"/>
      <c r="C66" s="70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</row>
    <row r="67" spans="1:71" ht="15.6" x14ac:dyDescent="0.3">
      <c r="A67" s="69"/>
      <c r="B67" s="70"/>
      <c r="C67" s="70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 ht="15.6" x14ac:dyDescent="0.3">
      <c r="A68" s="69"/>
      <c r="B68" s="70"/>
      <c r="C68" s="70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</row>
    <row r="69" spans="1:71" ht="15.6" x14ac:dyDescent="0.3">
      <c r="A69" s="69"/>
      <c r="B69" s="70"/>
      <c r="C69" s="70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</row>
    <row r="70" spans="1:71" ht="15.6" x14ac:dyDescent="0.3">
      <c r="A70" s="69"/>
      <c r="B70" s="70"/>
      <c r="C70" s="70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</row>
    <row r="71" spans="1:71" ht="15.6" x14ac:dyDescent="0.3">
      <c r="A71" s="69"/>
      <c r="B71" s="70"/>
      <c r="C71" s="70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</row>
    <row r="72" spans="1:71" ht="15.6" x14ac:dyDescent="0.3">
      <c r="A72" s="69"/>
      <c r="B72" s="70"/>
      <c r="C72" s="70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</row>
    <row r="73" spans="1:71" ht="15.6" x14ac:dyDescent="0.3">
      <c r="A73" s="69"/>
      <c r="B73" s="70"/>
      <c r="C73" s="70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</row>
    <row r="74" spans="1:71" ht="15.6" x14ac:dyDescent="0.3">
      <c r="A74" s="69"/>
      <c r="B74" s="70"/>
      <c r="C74" s="70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</row>
    <row r="75" spans="1:71" ht="15.6" x14ac:dyDescent="0.3">
      <c r="A75" s="69"/>
      <c r="B75" s="70"/>
      <c r="C75" s="70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</row>
    <row r="76" spans="1:71" ht="15.6" x14ac:dyDescent="0.3">
      <c r="A76" s="69"/>
      <c r="B76" s="70"/>
      <c r="C76" s="70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</row>
    <row r="77" spans="1:71" ht="15.6" x14ac:dyDescent="0.3">
      <c r="A77" s="69"/>
      <c r="B77" s="70"/>
      <c r="C77" s="70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</row>
    <row r="78" spans="1:71" ht="15.6" x14ac:dyDescent="0.3">
      <c r="A78" s="69"/>
      <c r="B78" s="70"/>
      <c r="C78" s="70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</row>
    <row r="79" spans="1:71" ht="15.6" x14ac:dyDescent="0.3">
      <c r="A79" s="69"/>
      <c r="B79" s="70"/>
      <c r="C79" s="70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</row>
    <row r="80" spans="1:71" ht="15.6" x14ac:dyDescent="0.3">
      <c r="A80" s="69"/>
      <c r="B80" s="70"/>
      <c r="C80" s="70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</row>
    <row r="81" spans="1:71" ht="15.6" x14ac:dyDescent="0.3">
      <c r="A81" s="69"/>
      <c r="B81" s="70"/>
      <c r="C81" s="70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</row>
  </sheetData>
  <mergeCells count="1">
    <mergeCell ref="D37:H38"/>
  </mergeCells>
  <conditionalFormatting sqref="W2:X34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Borough KWH</vt:lpstr>
      <vt:lpstr>Borough GHG</vt:lpstr>
      <vt:lpstr>Borough 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Turab Hossain</dc:creator>
  <cp:lastModifiedBy>Md. Turab Hossain</cp:lastModifiedBy>
  <dcterms:created xsi:type="dcterms:W3CDTF">2015-06-05T18:17:20Z</dcterms:created>
  <dcterms:modified xsi:type="dcterms:W3CDTF">2026-04-16T03:35:58Z</dcterms:modified>
</cp:coreProperties>
</file>