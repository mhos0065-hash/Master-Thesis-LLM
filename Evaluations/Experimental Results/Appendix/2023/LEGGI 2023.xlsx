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InkAnnotation="0" codeName="ThisWorkbook" hidePivotFieldList="1"/>
  <mc:AlternateContent xmlns:mc="http://schemas.openxmlformats.org/markup-compatibility/2006">
    <mc:Choice Requires="x15">
      <x15ac:absPath xmlns:x15ac="http://schemas.microsoft.com/office/spreadsheetml/2010/11/ac" url="D:\Australia\Monash\Semester_3\FIT 5147 Data Exploration and Data Visualisation\London\2023\"/>
    </mc:Choice>
  </mc:AlternateContent>
  <xr:revisionPtr revIDLastSave="0" documentId="13_ncr:1_{A35EAFC7-ED4D-46E8-863E-7E59275A80A5}" xr6:coauthVersionLast="47" xr6:coauthVersionMax="47" xr10:uidLastSave="{00000000-0000-0000-0000-000000000000}"/>
  <workbookProtection workbookAlgorithmName="SHA-512" workbookHashValue="iauUmGQ2xp95x/5YpRv8hY7eBhEJN8mJMoLewJ1oQP31tFTtm4Zt0Szs/DKIHS2r5moxfeSA1iCPQMnrtgMisw==" workbookSaltValue="8NytKv3TgUmGbMgHEGlQSg==" workbookSpinCount="100000" lockStructure="1"/>
  <bookViews>
    <workbookView xWindow="-108" yWindow="-108" windowWidth="23256" windowHeight="12456" tabRatio="896" activeTab="6" xr2:uid="{DC3A5BF6-3B31-4D8C-934F-E791A024FB46}"/>
  </bookViews>
  <sheets>
    <sheet name="About LEGGI" sheetId="16" r:id="rId1"/>
    <sheet name="Summary" sheetId="18" r:id="rId2"/>
    <sheet name="Borough kWh" sheetId="19" r:id="rId3"/>
    <sheet name="Borough GHG" sheetId="20" r:id="rId4"/>
    <sheet name="Charts" sheetId="21" r:id="rId5"/>
    <sheet name="I. Energy - Stationary" sheetId="6" r:id="rId6"/>
    <sheet name="II. Transport " sheetId="7" r:id="rId7"/>
    <sheet name="III. Waste" sheetId="9" r:id="rId8"/>
    <sheet name="IV. IPPU" sheetId="24" r:id="rId9"/>
    <sheet name="V. AFOLU" sheetId="10" r:id="rId10"/>
    <sheet name="Emission &amp; Conversion Factors" sheetId="1" r:id="rId11"/>
    <sheet name="Data sources and methods" sheetId="25" r:id="rId12"/>
  </sheets>
  <definedNames>
    <definedName name="Base_year">#REF!</definedName>
    <definedName name="Borough">#REF!</definedName>
    <definedName name="Boundary">#REF!</definedName>
    <definedName name="ConFact_0.001">'Emission &amp; Conversion Factors'!$E$178</definedName>
    <definedName name="ConFact_g_to_tonnes">'Emission &amp; Conversion Factors'!$E$177</definedName>
    <definedName name="ConvFact_ttoe_to_kWh">'Emission &amp; Conversion Factors'!#REF!</definedName>
    <definedName name="EF_AD_CH4">#REF!</definedName>
    <definedName name="EF_ATF">#REF!</definedName>
    <definedName name="EF_CH4_AD">'Emission &amp; Conversion Factors'!#REF!</definedName>
    <definedName name="EF_CH4_ATF_Transport">'Emission &amp; Conversion Factors'!$G$37</definedName>
    <definedName name="EF_CH4_Coal_DCI">'Emission &amp; Conversion Factors'!$G$109</definedName>
    <definedName name="EF_CH4_Composting">'Emission &amp; Conversion Factors'!#REF!</definedName>
    <definedName name="EF_CH4_DieselAvBio_Trans_kg_l">'Emission &amp; Conversion Factors'!$G$46</definedName>
    <definedName name="EF_CH4_DieselAvBio_Transport">'Emission &amp; Conversion Factors'!$G$45</definedName>
    <definedName name="EF_CH4_ElectGen_DCI">'Emission &amp; Conversion Factors'!$G$123</definedName>
    <definedName name="EF_CH4_ElectTDL_DCI">'Emission &amp; Conversion Factors'!$G$124</definedName>
    <definedName name="EF_CH4_FuelOil_IC">'Emission &amp; Conversion Factors'!$G$56</definedName>
    <definedName name="EF_CH4_GasOil">'Emission &amp; Conversion Factors'!$G$60</definedName>
    <definedName name="EF_CH4_GasOil_RailDiesel">'Emission &amp; Conversion Factors'!$G$60</definedName>
    <definedName name="EF_CH4_Incinaration">'Emission &amp; Conversion Factors'!#REF!</definedName>
    <definedName name="EF_CH4_LPG_Transport">'Emission &amp; Conversion Factors'!$G$17</definedName>
    <definedName name="EF_CH4_NatGas_DCI">'Emission &amp; Conversion Factors'!$G$24</definedName>
    <definedName name="EF_CH4_NG_Fugitive">'Emission &amp; Conversion Factors'!#REF!</definedName>
    <definedName name="EF_CH4_PetrolAvBio_Trans_kg_l">'Emission &amp; Conversion Factors'!$G$70</definedName>
    <definedName name="EF_CH4_PetrolAvBio_Transport">'Emission &amp; Conversion Factors'!$G$69</definedName>
    <definedName name="EF_CH4_W_R_IC">'Emission &amp; Conversion Factors'!$E$144</definedName>
    <definedName name="EF_CO2_ATF_Transport">'Emission &amp; Conversion Factors'!$F$37</definedName>
    <definedName name="EF_CO2_Coal_DCI">'Emission &amp; Conversion Factors'!$F$109</definedName>
    <definedName name="EF_CO2_DieselAvBio_Trans_kg_l">'Emission &amp; Conversion Factors'!$F$46</definedName>
    <definedName name="EF_CO2_DieselAvBio_Transport">'Emission &amp; Conversion Factors'!$F$45</definedName>
    <definedName name="EF_CO2_ElectGen_DCI">'Emission &amp; Conversion Factors'!$F$123</definedName>
    <definedName name="EF_CO2_ElectTDL_DCI">'Emission &amp; Conversion Factors'!$F$124</definedName>
    <definedName name="EF_CO2_FuelOil_IC">'Emission &amp; Conversion Factors'!$F$56</definedName>
    <definedName name="EF_CO2_GasOil">'Emission &amp; Conversion Factors'!$F$60</definedName>
    <definedName name="EF_CO2_GasOil_RailDiesel">'Emission &amp; Conversion Factors'!$F$60</definedName>
    <definedName name="EF_CO2_LPG_Transport">'Emission &amp; Conversion Factors'!$F$17</definedName>
    <definedName name="EF_CO2_NatGas_DCI">'Emission &amp; Conversion Factors'!$F$24</definedName>
    <definedName name="EF_CO2_NG_Fugitive">'Emission &amp; Conversion Factors'!#REF!</definedName>
    <definedName name="EF_CO2_PetrolAvBio_Trans_kg_l">'Emission &amp; Conversion Factors'!$F$70</definedName>
    <definedName name="EF_CO2_PetrolAvBio_Transport">'Emission &amp; Conversion Factors'!$F$69</definedName>
    <definedName name="EF_CO2_Shipping">'Emission &amp; Conversion Factors'!#REF!</definedName>
    <definedName name="EF_CO2_W_R_IC">'Emission &amp; Conversion Factors'!$D$144</definedName>
    <definedName name="EF_CO2b_Incineration">'Emission &amp; Conversion Factors'!#REF!</definedName>
    <definedName name="EF_COAL_DOM">#REF!</definedName>
    <definedName name="EF_COAL_WORK">#REF!</definedName>
    <definedName name="EF_COAL_WP">#REF!</definedName>
    <definedName name="EF_Composting_CH4">#REF!</definedName>
    <definedName name="EF_Composting_N2O">#REF!</definedName>
    <definedName name="EF_DIESEL_LITRE">#REF!</definedName>
    <definedName name="EF_DIESEL_TONNE">#REF!</definedName>
    <definedName name="EF_ELEC">#REF!</definedName>
    <definedName name="EF_ELEC_GEN">#REF!</definedName>
    <definedName name="EF_GAS">#REF!</definedName>
    <definedName name="EF_GASOIL_TONNE">#REF!</definedName>
    <definedName name="EF_GHG_AFT">'Emission &amp; Conversion Factors'!$E$37</definedName>
    <definedName name="EF_GHG_Biomass_WoodChips">'Emission &amp; Conversion Factors'!$D$132</definedName>
    <definedName name="EF_GHG_Coal_DCI">'Emission &amp; Conversion Factors'!$E$109</definedName>
    <definedName name="EF_GHG_DieselAvBio_Trans_kg_l">'Emission &amp; Conversion Factors'!$E$46</definedName>
    <definedName name="EF_GHG_DieselAvBio_Transport">'Emission &amp; Conversion Factors'!$E$45</definedName>
    <definedName name="EF_GHG_ElectGen">'Emission &amp; Conversion Factors'!$E$123</definedName>
    <definedName name="EF_GHG_ElectTD">'Emission &amp; Conversion Factors'!$E$124</definedName>
    <definedName name="EF_GHG_GasOil">'Emission &amp; Conversion Factors'!$E$60</definedName>
    <definedName name="EF_GHG_LPG_Transport">'Emission &amp; Conversion Factors'!$E$17</definedName>
    <definedName name="EF_GHG_NatGas_DCI">'Emission &amp; Conversion Factors'!$E$24</definedName>
    <definedName name="EF_GHG_PetrolAvBio_Trans_kg_l">'Emission &amp; Conversion Factors'!$E$70</definedName>
    <definedName name="EF_GHG_PetrolAvBio_Transport">'Emission &amp; Conversion Factors'!$E$69</definedName>
    <definedName name="EF_GHG_W_R_IC">'Emission &amp; Conversion Factors'!$G$144</definedName>
    <definedName name="EF_IncInd_CH4">#REF!</definedName>
    <definedName name="EF_IncInd_N2O">#REF!</definedName>
    <definedName name="EF_IncMSW_CH4">#REF!</definedName>
    <definedName name="EF_IncMSW_N2O">#REF!</definedName>
    <definedName name="EF_Landfill_CH4">#REF!</definedName>
    <definedName name="EF_LPG_TONNE">#REF!</definedName>
    <definedName name="EF_N2O_ATF_Transport">'Emission &amp; Conversion Factors'!$H$37</definedName>
    <definedName name="EF_N2O_Coal_DCI">'Emission &amp; Conversion Factors'!$H$109</definedName>
    <definedName name="EF_N2O_Composting">'Emission &amp; Conversion Factors'!#REF!</definedName>
    <definedName name="EF_N2O_DieselAvBio_Trans_kg_l">'Emission &amp; Conversion Factors'!$H$46</definedName>
    <definedName name="EF_N2O_DieselAvBio_Transport">'Emission &amp; Conversion Factors'!$H$45</definedName>
    <definedName name="EF_N2O_ElectGen_DCI">'Emission &amp; Conversion Factors'!$H$123</definedName>
    <definedName name="EF_N2O_ElectTDL_DCI">'Emission &amp; Conversion Factors'!$H$124</definedName>
    <definedName name="EF_N2O_FuelOil_IC">'Emission &amp; Conversion Factors'!$H$56</definedName>
    <definedName name="EF_N2O_GasOil">'Emission &amp; Conversion Factors'!$H$60</definedName>
    <definedName name="EF_N2O_GasOil_RailDiesel">'Emission &amp; Conversion Factors'!$H$60</definedName>
    <definedName name="EF_N2O_Incineration">'Emission &amp; Conversion Factors'!#REF!</definedName>
    <definedName name="EF_N2O_LPG_Transport">'Emission &amp; Conversion Factors'!$H$17</definedName>
    <definedName name="EF_N2O_NatGas_DCI">'Emission &amp; Conversion Factors'!$H$24</definedName>
    <definedName name="EF_N2O_PetrolAvBio_Trans_kg_l">'Emission &amp; Conversion Factors'!$H$70</definedName>
    <definedName name="EF_N2O_PetrolAvBio_Transport">'Emission &amp; Conversion Factors'!$H$69</definedName>
    <definedName name="EF_N2O_W_R_IC">'Emission &amp; Conversion Factors'!$F$144</definedName>
    <definedName name="EF_OIL_DOM">#REF!</definedName>
    <definedName name="EF_OIL_LITRE">#REF!</definedName>
    <definedName name="EF_OIL_WORK">#REF!</definedName>
    <definedName name="EF_OIL_WP">#REF!</definedName>
    <definedName name="EF_PETROL_LITRE">#REF!</definedName>
    <definedName name="EF_PETROL_TONNE">#REF!</definedName>
    <definedName name="EF_WASTE">#REF!</definedName>
    <definedName name="GWP_CH4" localSheetId="3">#REF!</definedName>
    <definedName name="GWP_CH4" localSheetId="2">#REF!</definedName>
    <definedName name="GWP_CH4" localSheetId="4">#REF!</definedName>
    <definedName name="GWP_CH4" localSheetId="1">#REF!</definedName>
    <definedName name="GWP_CH4">'Emission &amp; Conversion Factors'!$F$153</definedName>
    <definedName name="GWP_CO2" localSheetId="3">#REF!</definedName>
    <definedName name="GWP_CO2" localSheetId="2">#REF!</definedName>
    <definedName name="GWP_CO2" localSheetId="4">#REF!</definedName>
    <definedName name="GWP_CO2" localSheetId="1">#REF!</definedName>
    <definedName name="GWP_CO2">'Emission &amp; Conversion Factors'!$F$152</definedName>
    <definedName name="GWP_N2O" localSheetId="3">#REF!</definedName>
    <definedName name="GWP_N2O" localSheetId="2">#REF!</definedName>
    <definedName name="GWP_N2O" localSheetId="4">#REF!</definedName>
    <definedName name="GWP_N2O" localSheetId="1">#REF!</definedName>
    <definedName name="GWP_N2O">'Emission &amp; Conversion Factors'!$F$154</definedName>
    <definedName name="kWh_per_mtoe">'Emission &amp; Conversion Factors'!$C$202</definedName>
    <definedName name="NK">#REF!</definedName>
    <definedName name="_xlnm.Print_Area" localSheetId="3">'Borough GHG'!$A$3:$AD$87</definedName>
    <definedName name="_xlnm.Print_Area" localSheetId="2">'Borough kWh'!$A$3:$V$46</definedName>
    <definedName name="_xlnm.Print_Area" localSheetId="4">Charts!$M$1:$AM$227</definedName>
    <definedName name="_xlnm.Print_Area" localSheetId="1">Summary!$A$1:$AF$107</definedName>
    <definedName name="Region_1">#REF!</definedName>
    <definedName name="Sector">#REF!</definedName>
    <definedName name="UpdateYear">#REF!</definedName>
  </definedNames>
  <calcPr calcId="191028" iterate="1" iterateCount="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3" i="1" l="1"/>
  <c r="G183" i="1"/>
  <c r="F183" i="1"/>
  <c r="E183" i="1"/>
  <c r="D183" i="1"/>
  <c r="C183" i="1"/>
  <c r="F182" i="1"/>
  <c r="C182" i="1"/>
  <c r="F181" i="1"/>
  <c r="C181" i="1"/>
  <c r="F179" i="1"/>
  <c r="C179" i="1"/>
  <c r="F178" i="1"/>
  <c r="C178" i="1"/>
  <c r="I177" i="1"/>
  <c r="H177" i="1"/>
  <c r="G177" i="1"/>
  <c r="F177" i="1"/>
  <c r="E177" i="1"/>
  <c r="D177" i="1"/>
  <c r="C177" i="1"/>
  <c r="E123" i="1"/>
  <c r="H65" i="10"/>
  <c r="H63" i="10"/>
  <c r="H62" i="10"/>
  <c r="H61" i="10"/>
  <c r="H60" i="10"/>
  <c r="H59" i="10"/>
  <c r="H58" i="10"/>
  <c r="H57" i="10"/>
  <c r="H56" i="10"/>
  <c r="H49" i="10"/>
  <c r="H44" i="10"/>
  <c r="H43" i="10"/>
  <c r="H42" i="10"/>
  <c r="H41" i="10"/>
  <c r="H40" i="10"/>
  <c r="H39" i="10"/>
  <c r="H38" i="10"/>
  <c r="H37" i="10"/>
  <c r="H36" i="10"/>
  <c r="H35" i="10"/>
  <c r="H34" i="10"/>
  <c r="H33" i="10"/>
  <c r="H32" i="10"/>
  <c r="H31" i="10"/>
  <c r="H30" i="10"/>
  <c r="H29" i="10"/>
  <c r="H28" i="10"/>
  <c r="H27" i="10"/>
  <c r="H26" i="10"/>
  <c r="H25" i="10"/>
  <c r="H20" i="10"/>
  <c r="H19" i="10"/>
  <c r="H18" i="10"/>
  <c r="H17" i="10"/>
  <c r="H16" i="10"/>
  <c r="H15" i="10"/>
  <c r="H14" i="10"/>
  <c r="H13" i="10"/>
  <c r="H12" i="10"/>
  <c r="H11" i="10"/>
  <c r="H10" i="10"/>
  <c r="H9" i="10"/>
  <c r="R65" i="24"/>
  <c r="L35" i="9"/>
  <c r="L27" i="9"/>
  <c r="L26" i="9"/>
  <c r="L24" i="9"/>
  <c r="L23" i="9"/>
  <c r="L21" i="9"/>
  <c r="L20" i="9"/>
  <c r="L12" i="9"/>
  <c r="L10" i="9"/>
  <c r="J10" i="9"/>
  <c r="H10" i="9"/>
  <c r="Q299" i="7"/>
  <c r="AA298" i="7"/>
  <c r="V298" i="7"/>
  <c r="P298" i="7"/>
  <c r="P297" i="7"/>
  <c r="X296" i="7"/>
  <c r="T296" i="7"/>
  <c r="Q296" i="7"/>
  <c r="R296" i="7"/>
  <c r="Y295" i="7"/>
  <c r="T295" i="7"/>
  <c r="Q295" i="7"/>
  <c r="V294" i="7"/>
  <c r="T294" i="7"/>
  <c r="P294" i="7"/>
  <c r="V293" i="7"/>
  <c r="T293" i="7"/>
  <c r="R293" i="7"/>
  <c r="X292" i="7"/>
  <c r="V292" i="7"/>
  <c r="P292" i="7"/>
  <c r="Y291" i="7"/>
  <c r="X291" i="7"/>
  <c r="V291" i="7"/>
  <c r="Q291" i="7"/>
  <c r="S291" i="7" s="1"/>
  <c r="P291" i="7"/>
  <c r="Y290" i="7"/>
  <c r="X290" i="7"/>
  <c r="W290" i="7"/>
  <c r="T290" i="7"/>
  <c r="R290" i="7"/>
  <c r="Y289" i="7"/>
  <c r="X289" i="7"/>
  <c r="Q289" i="7"/>
  <c r="Z288" i="7"/>
  <c r="Y288" i="7"/>
  <c r="V288" i="7"/>
  <c r="T288" i="7"/>
  <c r="P288" i="7"/>
  <c r="P287" i="7"/>
  <c r="X286" i="7"/>
  <c r="V286" i="7"/>
  <c r="P286" i="7"/>
  <c r="Q286" i="7"/>
  <c r="S286" i="7" s="1"/>
  <c r="T29" i="19" s="1"/>
  <c r="R286" i="7"/>
  <c r="Y285" i="7"/>
  <c r="Q285" i="7"/>
  <c r="T284" i="7"/>
  <c r="P284" i="7"/>
  <c r="Q284" i="7"/>
  <c r="R284" i="7"/>
  <c r="T283" i="7"/>
  <c r="Q283" i="7"/>
  <c r="V282" i="7"/>
  <c r="T282" i="7"/>
  <c r="P282" i="7"/>
  <c r="W281" i="7"/>
  <c r="V281" i="7"/>
  <c r="U281" i="7"/>
  <c r="T281" i="7"/>
  <c r="Q281" i="7"/>
  <c r="V280" i="7"/>
  <c r="R280" i="7"/>
  <c r="P280" i="7"/>
  <c r="W279" i="7"/>
  <c r="Q279" i="7"/>
  <c r="R278" i="7"/>
  <c r="Q277" i="7"/>
  <c r="P276" i="7"/>
  <c r="Q275" i="7"/>
  <c r="P275" i="7"/>
  <c r="Q274" i="7"/>
  <c r="P273" i="7"/>
  <c r="R273" i="7"/>
  <c r="Q272" i="7"/>
  <c r="R272" i="7"/>
  <c r="R271" i="7"/>
  <c r="Q271" i="7"/>
  <c r="U270" i="7"/>
  <c r="P270" i="7"/>
  <c r="Q269" i="7"/>
  <c r="H300" i="7"/>
  <c r="R269" i="7"/>
  <c r="W268" i="7"/>
  <c r="P268" i="7"/>
  <c r="D300" i="7"/>
  <c r="Q267" i="7"/>
  <c r="M300" i="7"/>
  <c r="R267" i="7"/>
  <c r="X259" i="7"/>
  <c r="AA299" i="7"/>
  <c r="Z299" i="7"/>
  <c r="Y299" i="7"/>
  <c r="X299" i="7"/>
  <c r="W299" i="7"/>
  <c r="V299" i="7"/>
  <c r="U299" i="7"/>
  <c r="T299" i="7"/>
  <c r="L259" i="7"/>
  <c r="Z298" i="7"/>
  <c r="Y298" i="7"/>
  <c r="X298" i="7"/>
  <c r="W298" i="7"/>
  <c r="U298" i="7"/>
  <c r="T298" i="7"/>
  <c r="L258" i="7"/>
  <c r="AA297" i="7"/>
  <c r="Z297" i="7"/>
  <c r="Y297" i="7"/>
  <c r="X297" i="7"/>
  <c r="W297" i="7"/>
  <c r="V297" i="7"/>
  <c r="U297" i="7"/>
  <c r="T297" i="7"/>
  <c r="L257" i="7"/>
  <c r="X256" i="7"/>
  <c r="AA296" i="7"/>
  <c r="Z296" i="7"/>
  <c r="Y296" i="7"/>
  <c r="W296" i="7"/>
  <c r="V296" i="7"/>
  <c r="U296" i="7"/>
  <c r="L256" i="7"/>
  <c r="AA295" i="7"/>
  <c r="Z295" i="7"/>
  <c r="X295" i="7"/>
  <c r="W295" i="7"/>
  <c r="V295" i="7"/>
  <c r="X255" i="7"/>
  <c r="L255" i="7"/>
  <c r="AA294" i="7"/>
  <c r="Z294" i="7"/>
  <c r="Y294" i="7"/>
  <c r="X294" i="7"/>
  <c r="U294" i="7"/>
  <c r="L254" i="7"/>
  <c r="AA293" i="7"/>
  <c r="Z293" i="7"/>
  <c r="Y293" i="7"/>
  <c r="X293" i="7"/>
  <c r="W293" i="7"/>
  <c r="L253" i="7"/>
  <c r="AA292" i="7"/>
  <c r="Z292" i="7"/>
  <c r="Y292" i="7"/>
  <c r="W292" i="7"/>
  <c r="U292" i="7"/>
  <c r="T292" i="7"/>
  <c r="L252" i="7"/>
  <c r="AA291" i="7"/>
  <c r="Z291" i="7"/>
  <c r="W291" i="7"/>
  <c r="U291" i="7"/>
  <c r="T291" i="7"/>
  <c r="L251" i="7"/>
  <c r="Z290" i="7"/>
  <c r="V290" i="7"/>
  <c r="U290" i="7"/>
  <c r="L250" i="7"/>
  <c r="AA289" i="7"/>
  <c r="Z289" i="7"/>
  <c r="W289" i="7"/>
  <c r="V289" i="7"/>
  <c r="U289" i="7"/>
  <c r="T289" i="7"/>
  <c r="L249" i="7"/>
  <c r="AA288" i="7"/>
  <c r="X288" i="7"/>
  <c r="U288" i="7"/>
  <c r="L248" i="7"/>
  <c r="AA287" i="7"/>
  <c r="Z287" i="7"/>
  <c r="Y287" i="7"/>
  <c r="X287" i="7"/>
  <c r="W287" i="7"/>
  <c r="V287" i="7"/>
  <c r="T287" i="7"/>
  <c r="L247" i="7"/>
  <c r="AA286" i="7"/>
  <c r="Z286" i="7"/>
  <c r="Y286" i="7"/>
  <c r="W286" i="7"/>
  <c r="U286" i="7"/>
  <c r="T286" i="7"/>
  <c r="L246" i="7"/>
  <c r="AA285" i="7"/>
  <c r="Z285" i="7"/>
  <c r="X285" i="7"/>
  <c r="W285" i="7"/>
  <c r="V285" i="7"/>
  <c r="U285" i="7"/>
  <c r="T285" i="7"/>
  <c r="L245" i="7"/>
  <c r="Z284" i="7"/>
  <c r="Y284" i="7"/>
  <c r="X284" i="7"/>
  <c r="W284" i="7"/>
  <c r="V284" i="7"/>
  <c r="U284" i="7"/>
  <c r="L244" i="7"/>
  <c r="AA283" i="7"/>
  <c r="Z283" i="7"/>
  <c r="Y283" i="7"/>
  <c r="X283" i="7"/>
  <c r="W283" i="7"/>
  <c r="V283" i="7"/>
  <c r="X243" i="7"/>
  <c r="AA282" i="7"/>
  <c r="Z282" i="7"/>
  <c r="Y282" i="7"/>
  <c r="X282" i="7"/>
  <c r="W282" i="7"/>
  <c r="U282" i="7"/>
  <c r="L242" i="7"/>
  <c r="AA281" i="7"/>
  <c r="Z281" i="7"/>
  <c r="Y281" i="7"/>
  <c r="X281" i="7"/>
  <c r="L241" i="7"/>
  <c r="AA280" i="7"/>
  <c r="Z280" i="7"/>
  <c r="Y280" i="7"/>
  <c r="X280" i="7"/>
  <c r="W280" i="7"/>
  <c r="U280" i="7"/>
  <c r="T280" i="7"/>
  <c r="AA279" i="7"/>
  <c r="Z279" i="7"/>
  <c r="Y279" i="7"/>
  <c r="X279" i="7"/>
  <c r="V279" i="7"/>
  <c r="U279" i="7"/>
  <c r="T279" i="7"/>
  <c r="AA278" i="7"/>
  <c r="Z278" i="7"/>
  <c r="Y278" i="7"/>
  <c r="X278" i="7"/>
  <c r="W278" i="7"/>
  <c r="V278" i="7"/>
  <c r="U278" i="7"/>
  <c r="T278" i="7"/>
  <c r="L238" i="7"/>
  <c r="AA277" i="7"/>
  <c r="Z277" i="7"/>
  <c r="Y277" i="7"/>
  <c r="X277" i="7"/>
  <c r="W277" i="7"/>
  <c r="V277" i="7"/>
  <c r="U277" i="7"/>
  <c r="T277" i="7"/>
  <c r="AA276" i="7"/>
  <c r="Z276" i="7"/>
  <c r="Y276" i="7"/>
  <c r="X276" i="7"/>
  <c r="W276" i="7"/>
  <c r="V276" i="7"/>
  <c r="U276" i="7"/>
  <c r="X236" i="7"/>
  <c r="AA275" i="7"/>
  <c r="Z275" i="7"/>
  <c r="Y275" i="7"/>
  <c r="X275" i="7"/>
  <c r="W275" i="7"/>
  <c r="V275" i="7"/>
  <c r="U275" i="7"/>
  <c r="T275" i="7"/>
  <c r="L235" i="7"/>
  <c r="AA274" i="7"/>
  <c r="Z274" i="7"/>
  <c r="Y274" i="7"/>
  <c r="X274" i="7"/>
  <c r="W274" i="7"/>
  <c r="V274" i="7"/>
  <c r="U274" i="7"/>
  <c r="T274" i="7"/>
  <c r="AA273" i="7"/>
  <c r="Z273" i="7"/>
  <c r="Y273" i="7"/>
  <c r="X273" i="7"/>
  <c r="W273" i="7"/>
  <c r="V273" i="7"/>
  <c r="U273" i="7"/>
  <c r="T273" i="7"/>
  <c r="AA272" i="7"/>
  <c r="Z272" i="7"/>
  <c r="Y272" i="7"/>
  <c r="X272" i="7"/>
  <c r="W272" i="7"/>
  <c r="V272" i="7"/>
  <c r="U272" i="7"/>
  <c r="L232" i="7"/>
  <c r="AA271" i="7"/>
  <c r="Z271" i="7"/>
  <c r="Y271" i="7"/>
  <c r="X271" i="7"/>
  <c r="W271" i="7"/>
  <c r="V271" i="7"/>
  <c r="U271" i="7"/>
  <c r="T271" i="7"/>
  <c r="AA270" i="7"/>
  <c r="Z270" i="7"/>
  <c r="Y270" i="7"/>
  <c r="X270" i="7"/>
  <c r="W270" i="7"/>
  <c r="V270" i="7"/>
  <c r="T270" i="7"/>
  <c r="AA269" i="7"/>
  <c r="Z269" i="7"/>
  <c r="Y269" i="7"/>
  <c r="X269" i="7"/>
  <c r="W269" i="7"/>
  <c r="V269" i="7"/>
  <c r="U269" i="7"/>
  <c r="T269" i="7"/>
  <c r="L229" i="7"/>
  <c r="AA268" i="7"/>
  <c r="Z268" i="7"/>
  <c r="Y268" i="7"/>
  <c r="X268" i="7"/>
  <c r="V268" i="7"/>
  <c r="U268" i="7"/>
  <c r="T268" i="7"/>
  <c r="AA267" i="7"/>
  <c r="Z267" i="7"/>
  <c r="T260" i="7"/>
  <c r="S260" i="7"/>
  <c r="R260" i="7"/>
  <c r="U267" i="7"/>
  <c r="X227" i="7"/>
  <c r="K260" i="7"/>
  <c r="H260" i="7"/>
  <c r="G260" i="7"/>
  <c r="F260" i="7"/>
  <c r="E260" i="7"/>
  <c r="D260" i="7"/>
  <c r="AE216" i="7"/>
  <c r="AD216" i="7"/>
  <c r="AC216" i="7"/>
  <c r="AB216" i="7"/>
  <c r="AA216" i="7"/>
  <c r="Z216" i="7"/>
  <c r="Y216" i="7"/>
  <c r="X216" i="7"/>
  <c r="T217" i="7"/>
  <c r="V217" i="7"/>
  <c r="AD217" i="7"/>
  <c r="AB217" i="7"/>
  <c r="P217" i="7"/>
  <c r="N217" i="7"/>
  <c r="F172" i="7"/>
  <c r="M171" i="7"/>
  <c r="L170" i="7"/>
  <c r="M40" i="7" s="1"/>
  <c r="M170" i="7"/>
  <c r="M169" i="7"/>
  <c r="L169" i="7"/>
  <c r="L168" i="7"/>
  <c r="L167" i="7"/>
  <c r="M167" i="7"/>
  <c r="L166" i="7"/>
  <c r="M166" i="7"/>
  <c r="H36" i="7" s="1"/>
  <c r="M165" i="7"/>
  <c r="L164" i="7"/>
  <c r="M164" i="7"/>
  <c r="M163" i="7"/>
  <c r="L163" i="7"/>
  <c r="L162" i="7"/>
  <c r="L161" i="7"/>
  <c r="M160" i="7"/>
  <c r="L160" i="7"/>
  <c r="L159" i="7"/>
  <c r="L158" i="7"/>
  <c r="M157" i="7"/>
  <c r="H27" i="7" s="1"/>
  <c r="L157" i="7"/>
  <c r="L156" i="7"/>
  <c r="L155" i="7"/>
  <c r="M155" i="7"/>
  <c r="M154" i="7"/>
  <c r="L154" i="7"/>
  <c r="L152" i="7"/>
  <c r="L151" i="7"/>
  <c r="M151" i="7"/>
  <c r="H21" i="7" s="1"/>
  <c r="L150" i="7"/>
  <c r="L149" i="7"/>
  <c r="M149" i="7"/>
  <c r="L148" i="7"/>
  <c r="M148" i="7"/>
  <c r="H18" i="7" s="1"/>
  <c r="M147" i="7"/>
  <c r="M146" i="7"/>
  <c r="L146" i="7"/>
  <c r="L145" i="7"/>
  <c r="M145" i="7"/>
  <c r="H15" i="7" s="1"/>
  <c r="L144" i="7"/>
  <c r="L143" i="7"/>
  <c r="M142" i="7"/>
  <c r="L142" i="7"/>
  <c r="L141" i="7"/>
  <c r="M11" i="7" s="1"/>
  <c r="M141" i="7"/>
  <c r="H11" i="7" s="1"/>
  <c r="M140" i="7"/>
  <c r="L140" i="7"/>
  <c r="L139" i="7"/>
  <c r="M139" i="7"/>
  <c r="AD127" i="7"/>
  <c r="G41" i="7" s="1"/>
  <c r="AD126" i="7"/>
  <c r="AD125" i="7"/>
  <c r="AD124" i="7"/>
  <c r="G38" i="7" s="1"/>
  <c r="AD123" i="7"/>
  <c r="AD122" i="7"/>
  <c r="G36" i="7" s="1"/>
  <c r="AD120" i="7"/>
  <c r="AD119" i="7"/>
  <c r="G33" i="7" s="1"/>
  <c r="AD118" i="7"/>
  <c r="AD115" i="7"/>
  <c r="G29" i="7" s="1"/>
  <c r="AD114" i="7"/>
  <c r="G28" i="7" s="1"/>
  <c r="AD113" i="7"/>
  <c r="AB128" i="7"/>
  <c r="AD111" i="7"/>
  <c r="G25" i="7" s="1"/>
  <c r="AD110" i="7"/>
  <c r="G24" i="7" s="1"/>
  <c r="AD108" i="7"/>
  <c r="G22" i="7" s="1"/>
  <c r="P23" i="20" s="1"/>
  <c r="AD107" i="7"/>
  <c r="G21" i="7" s="1"/>
  <c r="AD106" i="7"/>
  <c r="G20" i="7" s="1"/>
  <c r="AD105" i="7"/>
  <c r="AD103" i="7"/>
  <c r="G17" i="7" s="1"/>
  <c r="AD102" i="7"/>
  <c r="AD101" i="7"/>
  <c r="G15" i="7" s="1"/>
  <c r="AD99" i="7"/>
  <c r="G13" i="7" s="1"/>
  <c r="AD98" i="7"/>
  <c r="AD97" i="7"/>
  <c r="G11" i="7" s="1"/>
  <c r="AD96" i="7"/>
  <c r="L128" i="7"/>
  <c r="AD95" i="7"/>
  <c r="Z128" i="7"/>
  <c r="X128" i="7"/>
  <c r="V128" i="7"/>
  <c r="P128" i="7"/>
  <c r="O128" i="7"/>
  <c r="N128" i="7"/>
  <c r="J128" i="7"/>
  <c r="D128" i="7"/>
  <c r="AJ83" i="7"/>
  <c r="AJ82" i="7"/>
  <c r="L40" i="7" s="1"/>
  <c r="AJ81" i="7"/>
  <c r="L39" i="7" s="1"/>
  <c r="AJ80" i="7"/>
  <c r="L38" i="7" s="1"/>
  <c r="P39" i="19" s="1"/>
  <c r="AJ79" i="7"/>
  <c r="L37" i="7" s="1"/>
  <c r="AJ78" i="7"/>
  <c r="L36" i="7" s="1"/>
  <c r="AJ77" i="7"/>
  <c r="L35" i="7" s="1"/>
  <c r="AJ76" i="7"/>
  <c r="L34" i="7" s="1"/>
  <c r="AJ75" i="7"/>
  <c r="L33" i="7" s="1"/>
  <c r="AJ74" i="7"/>
  <c r="L32" i="7" s="1"/>
  <c r="AJ73" i="7"/>
  <c r="L31" i="7" s="1"/>
  <c r="AJ72" i="7"/>
  <c r="L30" i="7" s="1"/>
  <c r="AJ71" i="7"/>
  <c r="L29" i="7" s="1"/>
  <c r="AJ70" i="7"/>
  <c r="L28" i="7" s="1"/>
  <c r="AJ69" i="7"/>
  <c r="L27" i="7" s="1"/>
  <c r="AJ68" i="7"/>
  <c r="L26" i="7" s="1"/>
  <c r="P27" i="19" s="1"/>
  <c r="AJ67" i="7"/>
  <c r="L25" i="7" s="1"/>
  <c r="AJ66" i="7"/>
  <c r="L24" i="7" s="1"/>
  <c r="AJ65" i="7"/>
  <c r="L23" i="7" s="1"/>
  <c r="AJ64" i="7"/>
  <c r="L22" i="7" s="1"/>
  <c r="AJ63" i="7"/>
  <c r="L21" i="7" s="1"/>
  <c r="AJ62" i="7"/>
  <c r="L20" i="7" s="1"/>
  <c r="AJ61" i="7"/>
  <c r="L19" i="7" s="1"/>
  <c r="AJ60" i="7"/>
  <c r="L18" i="7" s="1"/>
  <c r="AJ59" i="7"/>
  <c r="L17" i="7" s="1"/>
  <c r="AJ58" i="7"/>
  <c r="L16" i="7" s="1"/>
  <c r="AJ57" i="7"/>
  <c r="L15" i="7" s="1"/>
  <c r="AJ56" i="7"/>
  <c r="AJ55" i="7"/>
  <c r="L13" i="7" s="1"/>
  <c r="AJ54" i="7"/>
  <c r="L12" i="7" s="1"/>
  <c r="AJ53" i="7"/>
  <c r="L11" i="7" s="1"/>
  <c r="AI84" i="7"/>
  <c r="X84" i="7"/>
  <c r="W84" i="7"/>
  <c r="L84" i="7"/>
  <c r="AJ52" i="7"/>
  <c r="L10" i="7" s="1"/>
  <c r="AH84" i="7"/>
  <c r="AG84" i="7"/>
  <c r="AF84" i="7"/>
  <c r="AE84" i="7"/>
  <c r="AD84" i="7"/>
  <c r="AC84" i="7"/>
  <c r="AB84" i="7"/>
  <c r="AA84" i="7"/>
  <c r="Z84" i="7"/>
  <c r="Y84" i="7"/>
  <c r="V84" i="7"/>
  <c r="U84" i="7"/>
  <c r="T84" i="7"/>
  <c r="S84" i="7"/>
  <c r="R84" i="7"/>
  <c r="Q84" i="7"/>
  <c r="P84" i="7"/>
  <c r="O84" i="7"/>
  <c r="N84" i="7"/>
  <c r="M84" i="7"/>
  <c r="J84" i="7"/>
  <c r="I84" i="7"/>
  <c r="H84" i="7"/>
  <c r="G84" i="7"/>
  <c r="F84" i="7"/>
  <c r="E84" i="7"/>
  <c r="D84" i="7"/>
  <c r="K42" i="7"/>
  <c r="F42" i="7"/>
  <c r="U41" i="7"/>
  <c r="T41" i="7"/>
  <c r="K41" i="7"/>
  <c r="S42" i="19" s="1"/>
  <c r="J41" i="7"/>
  <c r="R42" i="19" s="1"/>
  <c r="H41" i="7"/>
  <c r="E41" i="7"/>
  <c r="U40" i="7"/>
  <c r="T40" i="7"/>
  <c r="K40" i="7"/>
  <c r="J40" i="7"/>
  <c r="H40" i="7"/>
  <c r="G40" i="7"/>
  <c r="E40" i="7"/>
  <c r="R41" i="20" s="1"/>
  <c r="T39" i="7"/>
  <c r="U39" i="7"/>
  <c r="M39" i="7"/>
  <c r="K39" i="7"/>
  <c r="J39" i="7"/>
  <c r="R40" i="19" s="1"/>
  <c r="H39" i="7"/>
  <c r="G39" i="7"/>
  <c r="E39" i="7"/>
  <c r="U38" i="7"/>
  <c r="T38" i="7"/>
  <c r="M38" i="7"/>
  <c r="K38" i="7"/>
  <c r="J38" i="7"/>
  <c r="E38" i="7"/>
  <c r="R39" i="20" s="1"/>
  <c r="U37" i="7"/>
  <c r="X38" i="20" s="1"/>
  <c r="Z38" i="20" s="1"/>
  <c r="T37" i="7"/>
  <c r="M37" i="7"/>
  <c r="K37" i="7"/>
  <c r="J37" i="7"/>
  <c r="H37" i="7"/>
  <c r="G37" i="7"/>
  <c r="E37" i="7"/>
  <c r="R38" i="20" s="1"/>
  <c r="U36" i="7"/>
  <c r="T36" i="7"/>
  <c r="M36" i="7"/>
  <c r="K36" i="7"/>
  <c r="J36" i="7"/>
  <c r="E36" i="7"/>
  <c r="U35" i="7"/>
  <c r="T35" i="7"/>
  <c r="K35" i="7"/>
  <c r="J35" i="7"/>
  <c r="H35" i="7"/>
  <c r="E35" i="7"/>
  <c r="U34" i="7"/>
  <c r="T34" i="7"/>
  <c r="M34" i="7"/>
  <c r="K34" i="7"/>
  <c r="J34" i="7"/>
  <c r="H34" i="7"/>
  <c r="G34" i="7"/>
  <c r="E34" i="7"/>
  <c r="U33" i="7"/>
  <c r="T33" i="7"/>
  <c r="M33" i="7"/>
  <c r="K33" i="7"/>
  <c r="J33" i="7"/>
  <c r="H33" i="7"/>
  <c r="E33" i="7"/>
  <c r="T32" i="7"/>
  <c r="U32" i="7"/>
  <c r="X33" i="20" s="1"/>
  <c r="M32" i="7"/>
  <c r="K32" i="7"/>
  <c r="J32" i="7"/>
  <c r="G32" i="7"/>
  <c r="E32" i="7"/>
  <c r="U31" i="7"/>
  <c r="T31" i="7"/>
  <c r="M31" i="7"/>
  <c r="K31" i="7"/>
  <c r="J31" i="7"/>
  <c r="F31" i="7"/>
  <c r="E31" i="7"/>
  <c r="T30" i="7"/>
  <c r="U30" i="7"/>
  <c r="M30" i="7"/>
  <c r="K30" i="7"/>
  <c r="J30" i="7"/>
  <c r="H30" i="7"/>
  <c r="E30" i="7"/>
  <c r="U29" i="7"/>
  <c r="T29" i="7"/>
  <c r="M29" i="7"/>
  <c r="K29" i="7"/>
  <c r="J29" i="7"/>
  <c r="E29" i="7"/>
  <c r="U28" i="7"/>
  <c r="T28" i="7"/>
  <c r="M28" i="7"/>
  <c r="K28" i="7"/>
  <c r="S29" i="19" s="1"/>
  <c r="J28" i="7"/>
  <c r="E28" i="7"/>
  <c r="T27" i="7"/>
  <c r="U27" i="7"/>
  <c r="M27" i="7"/>
  <c r="K27" i="7"/>
  <c r="S28" i="19" s="1"/>
  <c r="J27" i="7"/>
  <c r="G27" i="7"/>
  <c r="E27" i="7"/>
  <c r="T26" i="7"/>
  <c r="U26" i="7"/>
  <c r="M26" i="7"/>
  <c r="K26" i="7"/>
  <c r="J26" i="7"/>
  <c r="R27" i="19" s="1"/>
  <c r="E26" i="7"/>
  <c r="R27" i="20" s="1"/>
  <c r="U25" i="7"/>
  <c r="T25" i="7"/>
  <c r="M25" i="7"/>
  <c r="K25" i="7"/>
  <c r="J25" i="7"/>
  <c r="R26" i="19" s="1"/>
  <c r="H25" i="7"/>
  <c r="E25" i="7"/>
  <c r="U24" i="7"/>
  <c r="T24" i="7"/>
  <c r="M24" i="7"/>
  <c r="K24" i="7"/>
  <c r="J24" i="7"/>
  <c r="H24" i="7"/>
  <c r="E24" i="7"/>
  <c r="R25" i="20" s="1"/>
  <c r="T23" i="7"/>
  <c r="U23" i="7"/>
  <c r="X24" i="20" s="1"/>
  <c r="K23" i="7"/>
  <c r="J23" i="7"/>
  <c r="E23" i="7"/>
  <c r="T22" i="7"/>
  <c r="U22" i="7"/>
  <c r="M22" i="7"/>
  <c r="K22" i="7"/>
  <c r="J22" i="7"/>
  <c r="E22" i="7"/>
  <c r="U21" i="7"/>
  <c r="T21" i="7"/>
  <c r="M21" i="7"/>
  <c r="K21" i="7"/>
  <c r="J21" i="7"/>
  <c r="E21" i="7"/>
  <c r="U20" i="7"/>
  <c r="T20" i="7"/>
  <c r="M20" i="7"/>
  <c r="K20" i="7"/>
  <c r="J20" i="7"/>
  <c r="E20" i="7"/>
  <c r="U19" i="7"/>
  <c r="T19" i="7"/>
  <c r="M19" i="7"/>
  <c r="K19" i="7"/>
  <c r="S20" i="19" s="1"/>
  <c r="J19" i="7"/>
  <c r="H19" i="7"/>
  <c r="G19" i="7"/>
  <c r="F19" i="7"/>
  <c r="E19" i="7"/>
  <c r="U18" i="7"/>
  <c r="T18" i="7"/>
  <c r="M18" i="7"/>
  <c r="K18" i="7"/>
  <c r="J18" i="7"/>
  <c r="E18" i="7"/>
  <c r="U17" i="7"/>
  <c r="T17" i="7"/>
  <c r="K17" i="7"/>
  <c r="S18" i="19" s="1"/>
  <c r="J17" i="7"/>
  <c r="H17" i="7"/>
  <c r="E17" i="7"/>
  <c r="T16" i="7"/>
  <c r="U16" i="7"/>
  <c r="M16" i="7"/>
  <c r="K16" i="7"/>
  <c r="S17" i="19" s="1"/>
  <c r="J16" i="7"/>
  <c r="H16" i="7"/>
  <c r="G16" i="7"/>
  <c r="E16" i="7"/>
  <c r="U15" i="7"/>
  <c r="T15" i="7"/>
  <c r="M15" i="7"/>
  <c r="K15" i="7"/>
  <c r="S16" i="19" s="1"/>
  <c r="J15" i="7"/>
  <c r="E15" i="7"/>
  <c r="U14" i="7"/>
  <c r="T14" i="7"/>
  <c r="M14" i="7"/>
  <c r="K14" i="7"/>
  <c r="J14" i="7"/>
  <c r="R15" i="19" s="1"/>
  <c r="E14" i="7"/>
  <c r="R15" i="20" s="1"/>
  <c r="U13" i="7"/>
  <c r="T13" i="7"/>
  <c r="M13" i="7"/>
  <c r="K13" i="7"/>
  <c r="J13" i="7"/>
  <c r="E13" i="7"/>
  <c r="T12" i="7"/>
  <c r="U12" i="7"/>
  <c r="M12" i="7"/>
  <c r="K12" i="7"/>
  <c r="J12" i="7"/>
  <c r="H12" i="7"/>
  <c r="G12" i="7"/>
  <c r="E12" i="7"/>
  <c r="R13" i="20" s="1"/>
  <c r="U11" i="7"/>
  <c r="T11" i="7"/>
  <c r="O43" i="7"/>
  <c r="K11" i="7"/>
  <c r="J11" i="7"/>
  <c r="E11" i="7"/>
  <c r="U10" i="7"/>
  <c r="T10" i="7"/>
  <c r="W11" i="20" s="1"/>
  <c r="M10" i="7"/>
  <c r="K10" i="7"/>
  <c r="J10" i="7"/>
  <c r="H10" i="7"/>
  <c r="G10" i="7"/>
  <c r="E10" i="7"/>
  <c r="S43" i="7"/>
  <c r="R43" i="7"/>
  <c r="Q43" i="7"/>
  <c r="P43" i="7"/>
  <c r="U9" i="7"/>
  <c r="M9" i="7"/>
  <c r="K9" i="7"/>
  <c r="J9" i="7"/>
  <c r="E9" i="7"/>
  <c r="I145" i="6"/>
  <c r="I138" i="6"/>
  <c r="P125" i="6"/>
  <c r="G78" i="6"/>
  <c r="M78" i="6" s="1"/>
  <c r="P119" i="6"/>
  <c r="G74" i="6"/>
  <c r="M74" i="6" s="1"/>
  <c r="F70" i="6"/>
  <c r="L70" i="6" s="1"/>
  <c r="F69" i="6"/>
  <c r="L69" i="6" s="1"/>
  <c r="F68" i="6"/>
  <c r="L68" i="6" s="1"/>
  <c r="G68" i="6"/>
  <c r="M68" i="6" s="1"/>
  <c r="F67" i="6"/>
  <c r="L67" i="6" s="1"/>
  <c r="G67" i="6"/>
  <c r="M67" i="6" s="1"/>
  <c r="P108" i="6"/>
  <c r="G66" i="6"/>
  <c r="M66" i="6" s="1"/>
  <c r="E66" i="6"/>
  <c r="K66" i="6" s="1"/>
  <c r="P107" i="6"/>
  <c r="G65" i="6"/>
  <c r="M65" i="6" s="1"/>
  <c r="E65" i="6"/>
  <c r="K65" i="6" s="1"/>
  <c r="G64" i="6"/>
  <c r="M64" i="6" s="1"/>
  <c r="G62" i="6"/>
  <c r="M62" i="6" s="1"/>
  <c r="F60" i="6"/>
  <c r="L60" i="6" s="1"/>
  <c r="G60" i="6"/>
  <c r="M60" i="6" s="1"/>
  <c r="P101" i="6"/>
  <c r="F58" i="6"/>
  <c r="L58" i="6" s="1"/>
  <c r="G58" i="6"/>
  <c r="M58" i="6" s="1"/>
  <c r="E58" i="6"/>
  <c r="K58" i="6" s="1"/>
  <c r="F57" i="6"/>
  <c r="L57" i="6" s="1"/>
  <c r="P98" i="6"/>
  <c r="F56" i="6"/>
  <c r="L56" i="6" s="1"/>
  <c r="G56" i="6"/>
  <c r="M56" i="6" s="1"/>
  <c r="E56" i="6"/>
  <c r="K56" i="6" s="1"/>
  <c r="G55" i="6"/>
  <c r="M55" i="6" s="1"/>
  <c r="E55" i="6"/>
  <c r="K55" i="6" s="1"/>
  <c r="G54" i="6"/>
  <c r="M54" i="6" s="1"/>
  <c r="F53" i="6"/>
  <c r="L53" i="6" s="1"/>
  <c r="G53" i="6"/>
  <c r="M53" i="6" s="1"/>
  <c r="E53" i="6"/>
  <c r="K53" i="6" s="1"/>
  <c r="F52" i="6"/>
  <c r="N126" i="6"/>
  <c r="M126" i="6"/>
  <c r="L126" i="6"/>
  <c r="K126" i="6"/>
  <c r="G52" i="6"/>
  <c r="I126" i="6"/>
  <c r="H126" i="6"/>
  <c r="G126" i="6"/>
  <c r="F126" i="6"/>
  <c r="I84" i="6"/>
  <c r="O84" i="6" s="1"/>
  <c r="N42" i="19" s="1"/>
  <c r="N42" i="20" s="1"/>
  <c r="H84" i="6"/>
  <c r="N84" i="6" s="1"/>
  <c r="G84" i="6"/>
  <c r="M84" i="6" s="1"/>
  <c r="F84" i="6"/>
  <c r="L84" i="6" s="1"/>
  <c r="G42" i="19" s="1"/>
  <c r="G42" i="20" s="1"/>
  <c r="E84" i="6"/>
  <c r="K84" i="6" s="1"/>
  <c r="F42" i="19" s="1"/>
  <c r="F42" i="20" s="1"/>
  <c r="D84" i="6"/>
  <c r="J84" i="6" s="1"/>
  <c r="I83" i="6"/>
  <c r="O83" i="6" s="1"/>
  <c r="H83" i="6"/>
  <c r="N83" i="6" s="1"/>
  <c r="M41" i="19" s="1"/>
  <c r="M41" i="20" s="1"/>
  <c r="G83" i="6"/>
  <c r="M83" i="6" s="1"/>
  <c r="L41" i="19" s="1"/>
  <c r="L41" i="20" s="1"/>
  <c r="F83" i="6"/>
  <c r="L83" i="6" s="1"/>
  <c r="G41" i="19" s="1"/>
  <c r="G41" i="20" s="1"/>
  <c r="E83" i="6"/>
  <c r="K83" i="6" s="1"/>
  <c r="F41" i="19" s="1"/>
  <c r="F41" i="20" s="1"/>
  <c r="D83" i="6"/>
  <c r="J83" i="6" s="1"/>
  <c r="I82" i="6"/>
  <c r="O82" i="6" s="1"/>
  <c r="H82" i="6"/>
  <c r="N82" i="6" s="1"/>
  <c r="M40" i="19" s="1"/>
  <c r="M40" i="20" s="1"/>
  <c r="G82" i="6"/>
  <c r="M82" i="6" s="1"/>
  <c r="L40" i="19" s="1"/>
  <c r="L40" i="20" s="1"/>
  <c r="F82" i="6"/>
  <c r="L82" i="6" s="1"/>
  <c r="G40" i="19" s="1"/>
  <c r="G40" i="20" s="1"/>
  <c r="E82" i="6"/>
  <c r="K82" i="6" s="1"/>
  <c r="F40" i="19" s="1"/>
  <c r="F40" i="20" s="1"/>
  <c r="D82" i="6"/>
  <c r="J82" i="6" s="1"/>
  <c r="N81" i="6"/>
  <c r="M81" i="6"/>
  <c r="I81" i="6"/>
  <c r="O81" i="6" s="1"/>
  <c r="H81" i="6"/>
  <c r="G81" i="6"/>
  <c r="F81" i="6"/>
  <c r="L81" i="6" s="1"/>
  <c r="G39" i="19" s="1"/>
  <c r="G39" i="20" s="1"/>
  <c r="E81" i="6"/>
  <c r="K81" i="6" s="1"/>
  <c r="F39" i="19" s="1"/>
  <c r="F39" i="20" s="1"/>
  <c r="D81" i="6"/>
  <c r="J81" i="6" s="1"/>
  <c r="N80" i="6"/>
  <c r="M80" i="6"/>
  <c r="L80" i="6"/>
  <c r="K80" i="6"/>
  <c r="I80" i="6"/>
  <c r="O80" i="6" s="1"/>
  <c r="H80" i="6"/>
  <c r="G80" i="6"/>
  <c r="F80" i="6"/>
  <c r="E80" i="6"/>
  <c r="D80" i="6"/>
  <c r="J80" i="6" s="1"/>
  <c r="M79" i="6"/>
  <c r="L79" i="6"/>
  <c r="K79" i="6"/>
  <c r="I79" i="6"/>
  <c r="O79" i="6" s="1"/>
  <c r="H79" i="6"/>
  <c r="N79" i="6" s="1"/>
  <c r="M37" i="19" s="1"/>
  <c r="M37" i="20" s="1"/>
  <c r="G79" i="6"/>
  <c r="F79" i="6"/>
  <c r="E79" i="6"/>
  <c r="D79" i="6"/>
  <c r="J79" i="6" s="1"/>
  <c r="I78" i="6"/>
  <c r="O78" i="6" s="1"/>
  <c r="H78" i="6"/>
  <c r="N78" i="6" s="1"/>
  <c r="M36" i="19" s="1"/>
  <c r="M36" i="20" s="1"/>
  <c r="F78" i="6"/>
  <c r="L78" i="6" s="1"/>
  <c r="G36" i="19" s="1"/>
  <c r="G36" i="20" s="1"/>
  <c r="E78" i="6"/>
  <c r="K78" i="6" s="1"/>
  <c r="F36" i="19" s="1"/>
  <c r="D78" i="6"/>
  <c r="J78" i="6" s="1"/>
  <c r="I77" i="6"/>
  <c r="O77" i="6" s="1"/>
  <c r="H77" i="6"/>
  <c r="N77" i="6" s="1"/>
  <c r="M35" i="19" s="1"/>
  <c r="M35" i="20" s="1"/>
  <c r="G77" i="6"/>
  <c r="M77" i="6" s="1"/>
  <c r="L35" i="19" s="1"/>
  <c r="L35" i="20" s="1"/>
  <c r="F77" i="6"/>
  <c r="L77" i="6" s="1"/>
  <c r="G35" i="19" s="1"/>
  <c r="G35" i="20" s="1"/>
  <c r="E77" i="6"/>
  <c r="K77" i="6" s="1"/>
  <c r="F35" i="19" s="1"/>
  <c r="F35" i="20" s="1"/>
  <c r="D77" i="6"/>
  <c r="J77" i="6" s="1"/>
  <c r="N76" i="6"/>
  <c r="M76" i="6"/>
  <c r="I76" i="6"/>
  <c r="O76" i="6" s="1"/>
  <c r="H76" i="6"/>
  <c r="G76" i="6"/>
  <c r="F76" i="6"/>
  <c r="L76" i="6" s="1"/>
  <c r="G34" i="19" s="1"/>
  <c r="G34" i="20" s="1"/>
  <c r="E76" i="6"/>
  <c r="K76" i="6" s="1"/>
  <c r="F34" i="19" s="1"/>
  <c r="F34" i="20" s="1"/>
  <c r="D76" i="6"/>
  <c r="J76" i="6" s="1"/>
  <c r="N75" i="6"/>
  <c r="M75" i="6"/>
  <c r="L75" i="6"/>
  <c r="K75" i="6"/>
  <c r="I75" i="6"/>
  <c r="O75" i="6" s="1"/>
  <c r="H75" i="6"/>
  <c r="G75" i="6"/>
  <c r="F75" i="6"/>
  <c r="E75" i="6"/>
  <c r="D75" i="6"/>
  <c r="J75" i="6" s="1"/>
  <c r="K74" i="6"/>
  <c r="I74" i="6"/>
  <c r="O74" i="6" s="1"/>
  <c r="H74" i="6"/>
  <c r="N74" i="6" s="1"/>
  <c r="M32" i="19" s="1"/>
  <c r="M32" i="20" s="1"/>
  <c r="F74" i="6"/>
  <c r="L74" i="6" s="1"/>
  <c r="G32" i="19" s="1"/>
  <c r="G32" i="20" s="1"/>
  <c r="E74" i="6"/>
  <c r="D74" i="6"/>
  <c r="J74" i="6" s="1"/>
  <c r="I73" i="6"/>
  <c r="O73" i="6" s="1"/>
  <c r="H73" i="6"/>
  <c r="N73" i="6" s="1"/>
  <c r="M31" i="19" s="1"/>
  <c r="M31" i="20" s="1"/>
  <c r="G73" i="6"/>
  <c r="M73" i="6" s="1"/>
  <c r="L31" i="19" s="1"/>
  <c r="L31" i="20" s="1"/>
  <c r="F73" i="6"/>
  <c r="L73" i="6" s="1"/>
  <c r="G31" i="19" s="1"/>
  <c r="G31" i="20" s="1"/>
  <c r="E73" i="6"/>
  <c r="K73" i="6" s="1"/>
  <c r="F31" i="19" s="1"/>
  <c r="F31" i="20" s="1"/>
  <c r="D73" i="6"/>
  <c r="J73" i="6" s="1"/>
  <c r="N72" i="6"/>
  <c r="M72" i="6"/>
  <c r="I72" i="6"/>
  <c r="O72" i="6" s="1"/>
  <c r="H72" i="6"/>
  <c r="G72" i="6"/>
  <c r="F72" i="6"/>
  <c r="L72" i="6" s="1"/>
  <c r="G30" i="19" s="1"/>
  <c r="G30" i="20" s="1"/>
  <c r="E72" i="6"/>
  <c r="K72" i="6" s="1"/>
  <c r="F30" i="19" s="1"/>
  <c r="D72" i="6"/>
  <c r="J72" i="6" s="1"/>
  <c r="N71" i="6"/>
  <c r="M71" i="6"/>
  <c r="L71" i="6"/>
  <c r="K71" i="6"/>
  <c r="I71" i="6"/>
  <c r="O71" i="6" s="1"/>
  <c r="H71" i="6"/>
  <c r="G71" i="6"/>
  <c r="F71" i="6"/>
  <c r="E71" i="6"/>
  <c r="D71" i="6"/>
  <c r="J71" i="6" s="1"/>
  <c r="N70" i="6"/>
  <c r="M70" i="6"/>
  <c r="K70" i="6"/>
  <c r="I70" i="6"/>
  <c r="O70" i="6" s="1"/>
  <c r="H70" i="6"/>
  <c r="G70" i="6"/>
  <c r="E70" i="6"/>
  <c r="D70" i="6"/>
  <c r="J70" i="6" s="1"/>
  <c r="I69" i="6"/>
  <c r="O69" i="6" s="1"/>
  <c r="H69" i="6"/>
  <c r="N69" i="6" s="1"/>
  <c r="M27" i="19" s="1"/>
  <c r="M27" i="20" s="1"/>
  <c r="G69" i="6"/>
  <c r="M69" i="6" s="1"/>
  <c r="L27" i="19" s="1"/>
  <c r="L27" i="20" s="1"/>
  <c r="E69" i="6"/>
  <c r="K69" i="6" s="1"/>
  <c r="F27" i="19" s="1"/>
  <c r="F27" i="20" s="1"/>
  <c r="D69" i="6"/>
  <c r="J69" i="6" s="1"/>
  <c r="N68" i="6"/>
  <c r="K68" i="6"/>
  <c r="I68" i="6"/>
  <c r="O68" i="6" s="1"/>
  <c r="H68" i="6"/>
  <c r="E68" i="6"/>
  <c r="D68" i="6"/>
  <c r="J68" i="6" s="1"/>
  <c r="I67" i="6"/>
  <c r="O67" i="6" s="1"/>
  <c r="H67" i="6"/>
  <c r="N67" i="6" s="1"/>
  <c r="M25" i="19" s="1"/>
  <c r="M25" i="20" s="1"/>
  <c r="E67" i="6"/>
  <c r="K67" i="6" s="1"/>
  <c r="F25" i="19" s="1"/>
  <c r="F25" i="20" s="1"/>
  <c r="D67" i="6"/>
  <c r="J67" i="6" s="1"/>
  <c r="N66" i="6"/>
  <c r="L66" i="6"/>
  <c r="I66" i="6"/>
  <c r="O66" i="6" s="1"/>
  <c r="H66" i="6"/>
  <c r="F66" i="6"/>
  <c r="D66" i="6"/>
  <c r="J66" i="6" s="1"/>
  <c r="I65" i="6"/>
  <c r="O65" i="6" s="1"/>
  <c r="H65" i="6"/>
  <c r="N65" i="6" s="1"/>
  <c r="M23" i="19" s="1"/>
  <c r="M23" i="20" s="1"/>
  <c r="F65" i="6"/>
  <c r="L65" i="6" s="1"/>
  <c r="G23" i="19" s="1"/>
  <c r="G23" i="20" s="1"/>
  <c r="D65" i="6"/>
  <c r="J65" i="6" s="1"/>
  <c r="L64" i="6"/>
  <c r="K64" i="6"/>
  <c r="I64" i="6"/>
  <c r="O64" i="6" s="1"/>
  <c r="H64" i="6"/>
  <c r="N64" i="6" s="1"/>
  <c r="M22" i="19" s="1"/>
  <c r="M22" i="20" s="1"/>
  <c r="F64" i="6"/>
  <c r="E64" i="6"/>
  <c r="D64" i="6"/>
  <c r="J64" i="6" s="1"/>
  <c r="N63" i="6"/>
  <c r="M63" i="6"/>
  <c r="L63" i="6"/>
  <c r="K63" i="6"/>
  <c r="I63" i="6"/>
  <c r="O63" i="6" s="1"/>
  <c r="H63" i="6"/>
  <c r="G63" i="6"/>
  <c r="F63" i="6"/>
  <c r="E63" i="6"/>
  <c r="D63" i="6"/>
  <c r="J63" i="6" s="1"/>
  <c r="L62" i="6"/>
  <c r="K62" i="6"/>
  <c r="I62" i="6"/>
  <c r="O62" i="6" s="1"/>
  <c r="H62" i="6"/>
  <c r="N62" i="6" s="1"/>
  <c r="M20" i="19" s="1"/>
  <c r="M20" i="20" s="1"/>
  <c r="F62" i="6"/>
  <c r="E62" i="6"/>
  <c r="D62" i="6"/>
  <c r="J62" i="6" s="1"/>
  <c r="I61" i="6"/>
  <c r="O61" i="6" s="1"/>
  <c r="H61" i="6"/>
  <c r="N61" i="6" s="1"/>
  <c r="M19" i="19" s="1"/>
  <c r="M19" i="20" s="1"/>
  <c r="G61" i="6"/>
  <c r="M61" i="6" s="1"/>
  <c r="L19" i="19" s="1"/>
  <c r="L19" i="20" s="1"/>
  <c r="F61" i="6"/>
  <c r="L61" i="6" s="1"/>
  <c r="G19" i="19" s="1"/>
  <c r="G19" i="20" s="1"/>
  <c r="E61" i="6"/>
  <c r="K61" i="6" s="1"/>
  <c r="F19" i="19" s="1"/>
  <c r="F19" i="20" s="1"/>
  <c r="D61" i="6"/>
  <c r="J61" i="6" s="1"/>
  <c r="N60" i="6"/>
  <c r="K60" i="6"/>
  <c r="I60" i="6"/>
  <c r="O60" i="6" s="1"/>
  <c r="H60" i="6"/>
  <c r="E60" i="6"/>
  <c r="D60" i="6"/>
  <c r="J60" i="6" s="1"/>
  <c r="M59" i="6"/>
  <c r="L59" i="6"/>
  <c r="K59" i="6"/>
  <c r="I59" i="6"/>
  <c r="O59" i="6" s="1"/>
  <c r="H59" i="6"/>
  <c r="N59" i="6" s="1"/>
  <c r="M17" i="19" s="1"/>
  <c r="M17" i="20" s="1"/>
  <c r="G59" i="6"/>
  <c r="F59" i="6"/>
  <c r="E59" i="6"/>
  <c r="D59" i="6"/>
  <c r="J59" i="6" s="1"/>
  <c r="N58" i="6"/>
  <c r="I58" i="6"/>
  <c r="O58" i="6" s="1"/>
  <c r="H58" i="6"/>
  <c r="D58" i="6"/>
  <c r="J58" i="6" s="1"/>
  <c r="N57" i="6"/>
  <c r="K57" i="6"/>
  <c r="I57" i="6"/>
  <c r="O57" i="6" s="1"/>
  <c r="H57" i="6"/>
  <c r="G57" i="6"/>
  <c r="M57" i="6" s="1"/>
  <c r="L15" i="19" s="1"/>
  <c r="L15" i="20" s="1"/>
  <c r="E57" i="6"/>
  <c r="D57" i="6"/>
  <c r="J57" i="6" s="1"/>
  <c r="N56" i="6"/>
  <c r="I56" i="6"/>
  <c r="O56" i="6" s="1"/>
  <c r="H56" i="6"/>
  <c r="D56" i="6"/>
  <c r="J56" i="6" s="1"/>
  <c r="N55" i="6"/>
  <c r="L55" i="6"/>
  <c r="I55" i="6"/>
  <c r="O55" i="6" s="1"/>
  <c r="H55" i="6"/>
  <c r="F55" i="6"/>
  <c r="D55" i="6"/>
  <c r="J55" i="6" s="1"/>
  <c r="K54" i="6"/>
  <c r="I54" i="6"/>
  <c r="O54" i="6" s="1"/>
  <c r="F54" i="6"/>
  <c r="L54" i="6" s="1"/>
  <c r="G12" i="19" s="1"/>
  <c r="G12" i="20" s="1"/>
  <c r="E54" i="6"/>
  <c r="D54" i="6"/>
  <c r="J54" i="6" s="1"/>
  <c r="N53" i="6"/>
  <c r="I53" i="6"/>
  <c r="O53" i="6" s="1"/>
  <c r="H53" i="6"/>
  <c r="D53" i="6"/>
  <c r="J53" i="6" s="1"/>
  <c r="I52" i="6"/>
  <c r="O52" i="6" s="1"/>
  <c r="D52" i="6"/>
  <c r="K26" i="19"/>
  <c r="K20" i="19"/>
  <c r="K17" i="19"/>
  <c r="K14" i="19"/>
  <c r="F43" i="6"/>
  <c r="O138"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T135" i="21"/>
  <c r="S135" i="21"/>
  <c r="R135" i="21"/>
  <c r="Q135" i="21"/>
  <c r="P135" i="21"/>
  <c r="O135" i="21"/>
  <c r="AH134" i="21"/>
  <c r="AG134" i="21"/>
  <c r="AB134" i="21"/>
  <c r="Y134" i="21"/>
  <c r="X134" i="21"/>
  <c r="W134" i="21"/>
  <c r="V134" i="21"/>
  <c r="U134" i="21"/>
  <c r="T134" i="21"/>
  <c r="S134" i="21"/>
  <c r="R134" i="21"/>
  <c r="Q134" i="21"/>
  <c r="P134" i="21"/>
  <c r="O134"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T132" i="21"/>
  <c r="S132" i="21"/>
  <c r="R132" i="21"/>
  <c r="Q132" i="21"/>
  <c r="P132" i="21"/>
  <c r="O132" i="21"/>
  <c r="T131" i="21"/>
  <c r="T138" i="21" s="1"/>
  <c r="S131" i="21"/>
  <c r="S138" i="21" s="1"/>
  <c r="R131" i="21"/>
  <c r="Q131" i="21"/>
  <c r="Q138" i="21" s="1"/>
  <c r="P131" i="21"/>
  <c r="O131" i="21"/>
  <c r="AG130" i="21"/>
  <c r="AF130" i="21"/>
  <c r="AE130" i="21"/>
  <c r="AD130" i="21"/>
  <c r="AC130" i="21"/>
  <c r="AB130" i="21"/>
  <c r="AA130" i="21"/>
  <c r="Z130" i="21"/>
  <c r="Y130" i="21"/>
  <c r="X130" i="21"/>
  <c r="W130" i="21"/>
  <c r="V130" i="21"/>
  <c r="U130" i="21"/>
  <c r="T130" i="21"/>
  <c r="S130" i="21"/>
  <c r="R130" i="21"/>
  <c r="Q130" i="21"/>
  <c r="P130" i="21"/>
  <c r="O130" i="21"/>
  <c r="N119" i="21"/>
  <c r="N118" i="21"/>
  <c r="N117" i="21"/>
  <c r="N116" i="21"/>
  <c r="N115" i="21"/>
  <c r="O104" i="21"/>
  <c r="O103" i="21"/>
  <c r="O102" i="21"/>
  <c r="O101" i="21"/>
  <c r="P101" i="21" s="1"/>
  <c r="O100" i="21"/>
  <c r="O99" i="21"/>
  <c r="O98" i="21"/>
  <c r="O97" i="21"/>
  <c r="O96" i="21"/>
  <c r="O95" i="21"/>
  <c r="O94" i="21"/>
  <c r="N93" i="21"/>
  <c r="N75" i="21"/>
  <c r="N74" i="21"/>
  <c r="N72" i="21"/>
  <c r="N57" i="21"/>
  <c r="N55" i="21"/>
  <c r="N53" i="21"/>
  <c r="N52" i="21"/>
  <c r="N51" i="21"/>
  <c r="N34" i="21"/>
  <c r="N25" i="21"/>
  <c r="N23" i="21"/>
  <c r="N22" i="21"/>
  <c r="N21" i="21"/>
  <c r="N20" i="21"/>
  <c r="AC45" i="20"/>
  <c r="AB45" i="20"/>
  <c r="AB44" i="20"/>
  <c r="AD43" i="20"/>
  <c r="AD44" i="20" s="1"/>
  <c r="AD45" i="20" s="1"/>
  <c r="AC43" i="20"/>
  <c r="AC44" i="20" s="1"/>
  <c r="AB43" i="20"/>
  <c r="AA43" i="20"/>
  <c r="V43" i="20"/>
  <c r="S43" i="20"/>
  <c r="J43" i="20"/>
  <c r="Y42" i="20"/>
  <c r="X42" i="20"/>
  <c r="W42" i="20"/>
  <c r="R42" i="20"/>
  <c r="Q42" i="20"/>
  <c r="Y41" i="20"/>
  <c r="X41" i="20"/>
  <c r="W41" i="20"/>
  <c r="Q41" i="20"/>
  <c r="Y40" i="20"/>
  <c r="X40" i="20"/>
  <c r="W40" i="20"/>
  <c r="R40" i="20"/>
  <c r="Q40" i="20"/>
  <c r="Y39" i="20"/>
  <c r="X39" i="20"/>
  <c r="W39" i="20"/>
  <c r="Y38" i="20"/>
  <c r="P38" i="20" s="1"/>
  <c r="W38" i="20"/>
  <c r="Q38" i="20"/>
  <c r="Y37" i="20"/>
  <c r="X37" i="20"/>
  <c r="W37" i="20"/>
  <c r="R37" i="20"/>
  <c r="Q37" i="20"/>
  <c r="Z36" i="20"/>
  <c r="Y36" i="20"/>
  <c r="X36" i="20"/>
  <c r="W36" i="20"/>
  <c r="R36" i="20"/>
  <c r="Q36" i="20"/>
  <c r="Y35" i="20"/>
  <c r="Z35" i="20" s="1"/>
  <c r="X35" i="20"/>
  <c r="W35" i="20"/>
  <c r="R35" i="20"/>
  <c r="Q35" i="20"/>
  <c r="Z34" i="20"/>
  <c r="Y34" i="20"/>
  <c r="X34" i="20"/>
  <c r="W34" i="20"/>
  <c r="R34" i="20"/>
  <c r="Q34" i="20"/>
  <c r="P34" i="20"/>
  <c r="Y33" i="20"/>
  <c r="W33" i="20"/>
  <c r="R33" i="20"/>
  <c r="Y32" i="20"/>
  <c r="X32" i="20"/>
  <c r="Z32" i="20" s="1"/>
  <c r="W32" i="20"/>
  <c r="S32" i="20"/>
  <c r="R32" i="20"/>
  <c r="Z31" i="20"/>
  <c r="Y31" i="20"/>
  <c r="X31" i="20"/>
  <c r="W31" i="20"/>
  <c r="R31" i="20"/>
  <c r="Q31" i="20"/>
  <c r="Y30" i="20"/>
  <c r="X30" i="20"/>
  <c r="W30" i="20"/>
  <c r="R30" i="20"/>
  <c r="Y29" i="20"/>
  <c r="Z29" i="20" s="1"/>
  <c r="X29" i="20"/>
  <c r="W29" i="20"/>
  <c r="R29" i="20"/>
  <c r="Y28" i="20"/>
  <c r="X28" i="20"/>
  <c r="W28" i="20"/>
  <c r="R28" i="20"/>
  <c r="Q28" i="20"/>
  <c r="P28" i="20"/>
  <c r="I28" i="20"/>
  <c r="Y27" i="20"/>
  <c r="X27" i="20"/>
  <c r="W27" i="20"/>
  <c r="Z26" i="20"/>
  <c r="Y26" i="20"/>
  <c r="P26" i="20" s="1"/>
  <c r="X26" i="20"/>
  <c r="W26" i="20"/>
  <c r="R26" i="20"/>
  <c r="Q26" i="20"/>
  <c r="Y25" i="20"/>
  <c r="X25" i="20"/>
  <c r="W25" i="20"/>
  <c r="Q25" i="20"/>
  <c r="P25" i="20"/>
  <c r="Y24" i="20"/>
  <c r="W24" i="20"/>
  <c r="R24" i="20"/>
  <c r="Y23" i="20"/>
  <c r="X23" i="20"/>
  <c r="W23" i="20"/>
  <c r="R23" i="20"/>
  <c r="Y22" i="20"/>
  <c r="P22" i="20" s="1"/>
  <c r="X22" i="20"/>
  <c r="W22" i="20"/>
  <c r="R22" i="20"/>
  <c r="Q22" i="20"/>
  <c r="Y21" i="20"/>
  <c r="X21" i="20"/>
  <c r="W21" i="20"/>
  <c r="Z21" i="20" s="1"/>
  <c r="R21" i="20"/>
  <c r="Y20" i="20"/>
  <c r="X20" i="20"/>
  <c r="W20" i="20"/>
  <c r="S20" i="20"/>
  <c r="R20" i="20"/>
  <c r="Q20" i="20"/>
  <c r="P20" i="20"/>
  <c r="Z19" i="20"/>
  <c r="Y19" i="20"/>
  <c r="X19" i="20"/>
  <c r="W19" i="20"/>
  <c r="R19" i="20"/>
  <c r="Q19" i="20"/>
  <c r="Y18" i="20"/>
  <c r="X18" i="20"/>
  <c r="W18" i="20"/>
  <c r="R18" i="20"/>
  <c r="Q18" i="20"/>
  <c r="P18" i="20"/>
  <c r="Y17" i="20"/>
  <c r="X17" i="20"/>
  <c r="W17" i="20"/>
  <c r="R17" i="20"/>
  <c r="Q17" i="20"/>
  <c r="Y16" i="20"/>
  <c r="X16" i="20"/>
  <c r="W16" i="20"/>
  <c r="R16" i="20"/>
  <c r="Q16" i="20"/>
  <c r="P16" i="20"/>
  <c r="Y15" i="20"/>
  <c r="X15" i="20"/>
  <c r="W15" i="20"/>
  <c r="Y14" i="20"/>
  <c r="X14" i="20"/>
  <c r="W14" i="20"/>
  <c r="R14" i="20"/>
  <c r="Y13" i="20"/>
  <c r="X13" i="20"/>
  <c r="W13" i="20"/>
  <c r="Q13" i="20"/>
  <c r="Y12" i="20"/>
  <c r="X12" i="20"/>
  <c r="W12" i="20"/>
  <c r="R12" i="20"/>
  <c r="Q12" i="20"/>
  <c r="P12" i="20"/>
  <c r="Y11" i="20"/>
  <c r="X11" i="20"/>
  <c r="R11" i="20"/>
  <c r="Q11" i="20"/>
  <c r="Y10" i="20"/>
  <c r="X10" i="20"/>
  <c r="R10" i="20"/>
  <c r="AE9" i="20"/>
  <c r="V43" i="19"/>
  <c r="O43" i="19"/>
  <c r="W43" i="19" s="1"/>
  <c r="K43" i="19"/>
  <c r="J43" i="19"/>
  <c r="M42" i="19"/>
  <c r="M42" i="20" s="1"/>
  <c r="L42" i="19"/>
  <c r="L42" i="20" s="1"/>
  <c r="K42" i="19"/>
  <c r="I42" i="19"/>
  <c r="I42" i="20" s="1"/>
  <c r="E42" i="19"/>
  <c r="E42" i="20" s="1"/>
  <c r="D42" i="19"/>
  <c r="C42" i="19"/>
  <c r="S41" i="19"/>
  <c r="R41" i="19"/>
  <c r="Q41" i="19"/>
  <c r="P41" i="19"/>
  <c r="N41" i="19"/>
  <c r="N41" i="20" s="1"/>
  <c r="K41" i="19"/>
  <c r="I41" i="19"/>
  <c r="I41" i="20" s="1"/>
  <c r="E41" i="19"/>
  <c r="E41" i="20" s="1"/>
  <c r="D41" i="19"/>
  <c r="C41" i="19"/>
  <c r="S40" i="19"/>
  <c r="Q40" i="19"/>
  <c r="P40" i="19"/>
  <c r="N40" i="19"/>
  <c r="N40" i="20" s="1"/>
  <c r="K40" i="19"/>
  <c r="I40" i="19"/>
  <c r="I40" i="20" s="1"/>
  <c r="E40" i="19"/>
  <c r="E40" i="20" s="1"/>
  <c r="D40" i="19"/>
  <c r="C40" i="19"/>
  <c r="S39" i="19"/>
  <c r="R39" i="19"/>
  <c r="Q39" i="19"/>
  <c r="N39" i="19"/>
  <c r="N39" i="20" s="1"/>
  <c r="M39" i="19"/>
  <c r="M39" i="20" s="1"/>
  <c r="L39" i="19"/>
  <c r="L39" i="20" s="1"/>
  <c r="K39" i="19"/>
  <c r="I39" i="19"/>
  <c r="I39" i="20" s="1"/>
  <c r="E39" i="19"/>
  <c r="E39" i="20" s="1"/>
  <c r="D39" i="19"/>
  <c r="C39" i="19"/>
  <c r="S38" i="19"/>
  <c r="R38" i="19"/>
  <c r="Q38" i="19"/>
  <c r="P38" i="19"/>
  <c r="N38" i="19"/>
  <c r="N38" i="20" s="1"/>
  <c r="M38" i="19"/>
  <c r="M38" i="20" s="1"/>
  <c r="L38" i="19"/>
  <c r="L38" i="20" s="1"/>
  <c r="K38" i="19"/>
  <c r="I38" i="19"/>
  <c r="G38" i="19"/>
  <c r="G38" i="20" s="1"/>
  <c r="F38" i="19"/>
  <c r="F38" i="20" s="1"/>
  <c r="E38" i="19"/>
  <c r="E38" i="20" s="1"/>
  <c r="D38" i="19"/>
  <c r="C38" i="19"/>
  <c r="C38" i="20" s="1"/>
  <c r="S37" i="19"/>
  <c r="R37" i="19"/>
  <c r="Q37" i="19"/>
  <c r="P37" i="19"/>
  <c r="N37" i="19"/>
  <c r="N37" i="20" s="1"/>
  <c r="L37" i="19"/>
  <c r="L37" i="20" s="1"/>
  <c r="K37" i="19"/>
  <c r="I37" i="19"/>
  <c r="I37" i="20" s="1"/>
  <c r="G37" i="19"/>
  <c r="G37" i="20" s="1"/>
  <c r="F37" i="19"/>
  <c r="F37" i="20" s="1"/>
  <c r="E37" i="19"/>
  <c r="E37" i="20" s="1"/>
  <c r="D37" i="19"/>
  <c r="C37" i="19"/>
  <c r="S36" i="19"/>
  <c r="R36" i="19"/>
  <c r="P36" i="19"/>
  <c r="N36" i="19"/>
  <c r="N36" i="20" s="1"/>
  <c r="L36" i="19"/>
  <c r="L36" i="20" s="1"/>
  <c r="K36" i="19"/>
  <c r="K36" i="20" s="1"/>
  <c r="I36" i="19"/>
  <c r="I36" i="20" s="1"/>
  <c r="E36" i="19"/>
  <c r="E36" i="20" s="1"/>
  <c r="D36" i="19"/>
  <c r="D36" i="20" s="1"/>
  <c r="C36" i="19"/>
  <c r="S35" i="19"/>
  <c r="R35" i="19"/>
  <c r="Q35" i="19"/>
  <c r="P35" i="19"/>
  <c r="N35" i="19"/>
  <c r="N35" i="20" s="1"/>
  <c r="K35" i="19"/>
  <c r="I35" i="19"/>
  <c r="I35" i="20" s="1"/>
  <c r="E35" i="19"/>
  <c r="E35" i="20" s="1"/>
  <c r="D35" i="19"/>
  <c r="C35" i="19"/>
  <c r="T34" i="19"/>
  <c r="S34" i="19"/>
  <c r="R34" i="19"/>
  <c r="Q34" i="19"/>
  <c r="P34" i="19"/>
  <c r="N34" i="19"/>
  <c r="N34" i="20" s="1"/>
  <c r="M34" i="19"/>
  <c r="M34" i="20" s="1"/>
  <c r="L34" i="19"/>
  <c r="L34" i="20" s="1"/>
  <c r="K34" i="19"/>
  <c r="I34" i="19"/>
  <c r="I34" i="20" s="1"/>
  <c r="E34" i="19"/>
  <c r="E34" i="20" s="1"/>
  <c r="D34" i="19"/>
  <c r="C34" i="19"/>
  <c r="S33" i="19"/>
  <c r="R33" i="19"/>
  <c r="Q33" i="19"/>
  <c r="P33" i="19"/>
  <c r="N33" i="19"/>
  <c r="N33" i="20" s="1"/>
  <c r="M33" i="19"/>
  <c r="M33" i="20" s="1"/>
  <c r="L33" i="19"/>
  <c r="L33" i="20" s="1"/>
  <c r="K33" i="19"/>
  <c r="I33" i="19"/>
  <c r="I33" i="20" s="1"/>
  <c r="G33" i="19"/>
  <c r="G33" i="20" s="1"/>
  <c r="F33" i="19"/>
  <c r="F33" i="20" s="1"/>
  <c r="E33" i="19"/>
  <c r="E33" i="20" s="1"/>
  <c r="D33" i="19"/>
  <c r="C33" i="19"/>
  <c r="S32" i="19"/>
  <c r="R32" i="19"/>
  <c r="Q32" i="19"/>
  <c r="P32" i="19"/>
  <c r="N32" i="19"/>
  <c r="N32" i="20" s="1"/>
  <c r="L32" i="19"/>
  <c r="L32" i="20" s="1"/>
  <c r="K32" i="19"/>
  <c r="I32" i="19"/>
  <c r="I32" i="20" s="1"/>
  <c r="F32" i="19"/>
  <c r="F32" i="20" s="1"/>
  <c r="E32" i="19"/>
  <c r="E32" i="20" s="1"/>
  <c r="D32" i="19"/>
  <c r="C32" i="19"/>
  <c r="S31" i="19"/>
  <c r="R31" i="19"/>
  <c r="Q31" i="19"/>
  <c r="P31" i="19"/>
  <c r="N31" i="19"/>
  <c r="N31" i="20" s="1"/>
  <c r="K31" i="19"/>
  <c r="I31" i="19"/>
  <c r="I31" i="20" s="1"/>
  <c r="E31" i="19"/>
  <c r="E31" i="20" s="1"/>
  <c r="D31" i="19"/>
  <c r="D31" i="20" s="1"/>
  <c r="C31" i="19"/>
  <c r="S30" i="19"/>
  <c r="R30" i="19"/>
  <c r="Q30" i="19"/>
  <c r="P30" i="19"/>
  <c r="N30" i="19"/>
  <c r="N30" i="20" s="1"/>
  <c r="M30" i="19"/>
  <c r="M30" i="20" s="1"/>
  <c r="L30" i="19"/>
  <c r="L30" i="20" s="1"/>
  <c r="K30" i="19"/>
  <c r="I30" i="19"/>
  <c r="E30" i="19"/>
  <c r="E30" i="20" s="1"/>
  <c r="D30" i="19"/>
  <c r="C30" i="19"/>
  <c r="R29" i="19"/>
  <c r="Q29" i="19"/>
  <c r="P29" i="19"/>
  <c r="N29" i="19"/>
  <c r="N29" i="20" s="1"/>
  <c r="M29" i="19"/>
  <c r="M29" i="20" s="1"/>
  <c r="L29" i="19"/>
  <c r="L29" i="20" s="1"/>
  <c r="K29" i="19"/>
  <c r="I29" i="19"/>
  <c r="I29" i="20" s="1"/>
  <c r="G29" i="19"/>
  <c r="G29" i="20" s="1"/>
  <c r="F29" i="19"/>
  <c r="F29" i="20" s="1"/>
  <c r="E29" i="19"/>
  <c r="E29" i="20" s="1"/>
  <c r="D29" i="19"/>
  <c r="C29" i="19"/>
  <c r="R28" i="19"/>
  <c r="Q28" i="19"/>
  <c r="P28" i="19"/>
  <c r="N28" i="19"/>
  <c r="N28" i="20" s="1"/>
  <c r="M28" i="19"/>
  <c r="M28" i="20" s="1"/>
  <c r="L28" i="19"/>
  <c r="L28" i="20" s="1"/>
  <c r="K28" i="19"/>
  <c r="K28" i="20" s="1"/>
  <c r="I28" i="19"/>
  <c r="G28" i="19"/>
  <c r="G28" i="20" s="1"/>
  <c r="F28" i="19"/>
  <c r="F28" i="20" s="1"/>
  <c r="E28" i="19"/>
  <c r="E28" i="20" s="1"/>
  <c r="D28" i="19"/>
  <c r="C28" i="19"/>
  <c r="S27" i="19"/>
  <c r="Q27" i="19"/>
  <c r="N27" i="19"/>
  <c r="N27" i="20" s="1"/>
  <c r="K27" i="19"/>
  <c r="I27" i="19"/>
  <c r="I27" i="20" s="1"/>
  <c r="G27" i="19"/>
  <c r="G27" i="20" s="1"/>
  <c r="E27" i="19"/>
  <c r="E27" i="20" s="1"/>
  <c r="D27" i="19"/>
  <c r="C27" i="19"/>
  <c r="C27" i="20" s="1"/>
  <c r="S26" i="19"/>
  <c r="Q26" i="19"/>
  <c r="P26" i="19"/>
  <c r="N26" i="19"/>
  <c r="N26" i="20" s="1"/>
  <c r="M26" i="19"/>
  <c r="M26" i="20" s="1"/>
  <c r="L26" i="19"/>
  <c r="L26" i="20" s="1"/>
  <c r="I26" i="19"/>
  <c r="G26" i="19"/>
  <c r="G26" i="20" s="1"/>
  <c r="F26" i="19"/>
  <c r="F26" i="20" s="1"/>
  <c r="E26" i="19"/>
  <c r="E26" i="20" s="1"/>
  <c r="D26" i="19"/>
  <c r="C26" i="19"/>
  <c r="S25" i="19"/>
  <c r="R25" i="19"/>
  <c r="Q25" i="19"/>
  <c r="P25" i="19"/>
  <c r="N25" i="19"/>
  <c r="N25" i="20" s="1"/>
  <c r="L25" i="19"/>
  <c r="L25" i="20" s="1"/>
  <c r="K25" i="19"/>
  <c r="I25" i="19"/>
  <c r="I25" i="20" s="1"/>
  <c r="G25" i="19"/>
  <c r="G25" i="20" s="1"/>
  <c r="E25" i="19"/>
  <c r="E25" i="20" s="1"/>
  <c r="D25" i="19"/>
  <c r="C25" i="19"/>
  <c r="S24" i="19"/>
  <c r="R24" i="19"/>
  <c r="P24" i="19"/>
  <c r="N24" i="19"/>
  <c r="N24" i="20" s="1"/>
  <c r="M24" i="19"/>
  <c r="M24" i="20" s="1"/>
  <c r="L24" i="19"/>
  <c r="L24" i="20" s="1"/>
  <c r="K24" i="19"/>
  <c r="K24" i="20" s="1"/>
  <c r="I24" i="19"/>
  <c r="I24" i="20" s="1"/>
  <c r="G24" i="19"/>
  <c r="G24" i="20" s="1"/>
  <c r="F24" i="19"/>
  <c r="F24" i="20" s="1"/>
  <c r="E24" i="19"/>
  <c r="E24" i="20" s="1"/>
  <c r="D24" i="19"/>
  <c r="C24" i="19"/>
  <c r="S23" i="19"/>
  <c r="R23" i="19"/>
  <c r="Q23" i="19"/>
  <c r="P23" i="19"/>
  <c r="N23" i="19"/>
  <c r="N23" i="20" s="1"/>
  <c r="L23" i="19"/>
  <c r="L23" i="20" s="1"/>
  <c r="K23" i="19"/>
  <c r="I23" i="19"/>
  <c r="I23" i="20" s="1"/>
  <c r="F23" i="19"/>
  <c r="F23" i="20" s="1"/>
  <c r="E23" i="19"/>
  <c r="E23" i="20" s="1"/>
  <c r="D23" i="19"/>
  <c r="C23" i="19"/>
  <c r="S22" i="19"/>
  <c r="R22" i="19"/>
  <c r="Q22" i="19"/>
  <c r="P22" i="19"/>
  <c r="N22" i="19"/>
  <c r="N22" i="20" s="1"/>
  <c r="L22" i="19"/>
  <c r="L22" i="20" s="1"/>
  <c r="K22" i="19"/>
  <c r="K22" i="20" s="1"/>
  <c r="I22" i="19"/>
  <c r="I22" i="20" s="1"/>
  <c r="G22" i="19"/>
  <c r="G22" i="20" s="1"/>
  <c r="F22" i="19"/>
  <c r="F22" i="20" s="1"/>
  <c r="E22" i="19"/>
  <c r="E22" i="20" s="1"/>
  <c r="D22" i="19"/>
  <c r="C22" i="19"/>
  <c r="S21" i="19"/>
  <c r="R21" i="19"/>
  <c r="Q21" i="19"/>
  <c r="P21" i="19"/>
  <c r="N21" i="19"/>
  <c r="N21" i="20" s="1"/>
  <c r="M21" i="19"/>
  <c r="M21" i="20" s="1"/>
  <c r="L21" i="19"/>
  <c r="L21" i="20" s="1"/>
  <c r="K21" i="19"/>
  <c r="I21" i="19"/>
  <c r="I21" i="20" s="1"/>
  <c r="G21" i="19"/>
  <c r="G21" i="20" s="1"/>
  <c r="F21" i="19"/>
  <c r="F21" i="20" s="1"/>
  <c r="E21" i="19"/>
  <c r="E21" i="20" s="1"/>
  <c r="D21" i="19"/>
  <c r="C21" i="19"/>
  <c r="R20" i="19"/>
  <c r="Q20" i="19"/>
  <c r="P20" i="19"/>
  <c r="N20" i="19"/>
  <c r="N20" i="20" s="1"/>
  <c r="L20" i="19"/>
  <c r="L20" i="20" s="1"/>
  <c r="I20" i="19"/>
  <c r="I20" i="20" s="1"/>
  <c r="G20" i="19"/>
  <c r="G20" i="20" s="1"/>
  <c r="F20" i="19"/>
  <c r="F20" i="20" s="1"/>
  <c r="E20" i="19"/>
  <c r="H20" i="19" s="1"/>
  <c r="D20" i="19"/>
  <c r="C20" i="19"/>
  <c r="S19" i="19"/>
  <c r="R19" i="19"/>
  <c r="Q19" i="19"/>
  <c r="P19" i="19"/>
  <c r="N19" i="19"/>
  <c r="N19" i="20" s="1"/>
  <c r="K19" i="19"/>
  <c r="I19" i="19"/>
  <c r="I19" i="20" s="1"/>
  <c r="E19" i="19"/>
  <c r="E19" i="20" s="1"/>
  <c r="D19" i="19"/>
  <c r="C19" i="19"/>
  <c r="R18" i="19"/>
  <c r="P18" i="19"/>
  <c r="N18" i="19"/>
  <c r="N18" i="20" s="1"/>
  <c r="M18" i="19"/>
  <c r="M18" i="20" s="1"/>
  <c r="L18" i="19"/>
  <c r="L18" i="20" s="1"/>
  <c r="K18" i="19"/>
  <c r="K18" i="20" s="1"/>
  <c r="I18" i="19"/>
  <c r="I18" i="20" s="1"/>
  <c r="G18" i="19"/>
  <c r="G18" i="20" s="1"/>
  <c r="F18" i="19"/>
  <c r="F18" i="20" s="1"/>
  <c r="E18" i="19"/>
  <c r="E18" i="20" s="1"/>
  <c r="D18" i="19"/>
  <c r="C18" i="19"/>
  <c r="C18" i="20" s="1"/>
  <c r="R17" i="19"/>
  <c r="Q17" i="19"/>
  <c r="P17" i="19"/>
  <c r="N17" i="19"/>
  <c r="N17" i="20" s="1"/>
  <c r="L17" i="19"/>
  <c r="L17" i="20" s="1"/>
  <c r="I17" i="19"/>
  <c r="I17" i="20" s="1"/>
  <c r="G17" i="19"/>
  <c r="G17" i="20" s="1"/>
  <c r="F17" i="19"/>
  <c r="F17" i="20" s="1"/>
  <c r="E17" i="19"/>
  <c r="E17" i="20" s="1"/>
  <c r="D17" i="19"/>
  <c r="C17" i="19"/>
  <c r="R16" i="19"/>
  <c r="Q16" i="19"/>
  <c r="P16" i="19"/>
  <c r="N16" i="19"/>
  <c r="N16" i="20" s="1"/>
  <c r="M16" i="19"/>
  <c r="M16" i="20" s="1"/>
  <c r="L16" i="19"/>
  <c r="L16" i="20" s="1"/>
  <c r="K16" i="19"/>
  <c r="I16" i="19"/>
  <c r="I16" i="20" s="1"/>
  <c r="G16" i="19"/>
  <c r="G16" i="20" s="1"/>
  <c r="F16" i="19"/>
  <c r="F16" i="20" s="1"/>
  <c r="E16" i="19"/>
  <c r="E16" i="20" s="1"/>
  <c r="D16" i="19"/>
  <c r="D16" i="20" s="1"/>
  <c r="C16" i="19"/>
  <c r="S15" i="19"/>
  <c r="Q15" i="19"/>
  <c r="N15" i="19"/>
  <c r="N15" i="20" s="1"/>
  <c r="M15" i="19"/>
  <c r="M15" i="20" s="1"/>
  <c r="K15" i="19"/>
  <c r="I15" i="19"/>
  <c r="I15" i="20" s="1"/>
  <c r="G15" i="19"/>
  <c r="G15" i="20" s="1"/>
  <c r="F15" i="19"/>
  <c r="F15" i="20" s="1"/>
  <c r="E15" i="19"/>
  <c r="E15" i="20" s="1"/>
  <c r="D15" i="19"/>
  <c r="C15" i="19"/>
  <c r="S14" i="19"/>
  <c r="R14" i="19"/>
  <c r="Q14" i="19"/>
  <c r="P14" i="19"/>
  <c r="N14" i="19"/>
  <c r="N14" i="20" s="1"/>
  <c r="M14" i="19"/>
  <c r="M14" i="20" s="1"/>
  <c r="L14" i="19"/>
  <c r="L14" i="20" s="1"/>
  <c r="I14" i="19"/>
  <c r="I14" i="20" s="1"/>
  <c r="G14" i="19"/>
  <c r="G14" i="20" s="1"/>
  <c r="F14" i="19"/>
  <c r="F14" i="20" s="1"/>
  <c r="E14" i="19"/>
  <c r="E14" i="20" s="1"/>
  <c r="D14" i="19"/>
  <c r="C14" i="19"/>
  <c r="S13" i="19"/>
  <c r="R13" i="19"/>
  <c r="Q13" i="19"/>
  <c r="P13" i="19"/>
  <c r="N13" i="19"/>
  <c r="N13" i="20" s="1"/>
  <c r="M13" i="19"/>
  <c r="M13" i="20" s="1"/>
  <c r="L13" i="19"/>
  <c r="L13" i="20" s="1"/>
  <c r="K13" i="19"/>
  <c r="I13" i="19"/>
  <c r="I13" i="20" s="1"/>
  <c r="G13" i="19"/>
  <c r="G13" i="20" s="1"/>
  <c r="F13" i="19"/>
  <c r="F13" i="20" s="1"/>
  <c r="E13" i="19"/>
  <c r="E13" i="20" s="1"/>
  <c r="D13" i="19"/>
  <c r="C13" i="19"/>
  <c r="S12" i="19"/>
  <c r="R12" i="19"/>
  <c r="Q12" i="19"/>
  <c r="P12" i="19"/>
  <c r="N12" i="19"/>
  <c r="N12" i="20" s="1"/>
  <c r="L12" i="19"/>
  <c r="L12" i="20" s="1"/>
  <c r="K12" i="19"/>
  <c r="K12" i="20" s="1"/>
  <c r="I12" i="19"/>
  <c r="I12" i="20" s="1"/>
  <c r="F12" i="19"/>
  <c r="F12" i="20" s="1"/>
  <c r="E12" i="19"/>
  <c r="E12" i="20" s="1"/>
  <c r="D12" i="19"/>
  <c r="C12" i="19"/>
  <c r="S11" i="19"/>
  <c r="R11" i="19"/>
  <c r="Q11" i="19"/>
  <c r="P11" i="19"/>
  <c r="N11" i="19"/>
  <c r="N11" i="20" s="1"/>
  <c r="M11" i="19"/>
  <c r="M11" i="20" s="1"/>
  <c r="L11" i="19"/>
  <c r="L11" i="20" s="1"/>
  <c r="K11" i="19"/>
  <c r="I11" i="19"/>
  <c r="I11" i="20" s="1"/>
  <c r="G11" i="19"/>
  <c r="G11" i="20" s="1"/>
  <c r="F11" i="19"/>
  <c r="F11" i="20" s="1"/>
  <c r="E11" i="19"/>
  <c r="E11" i="20" s="1"/>
  <c r="D11" i="19"/>
  <c r="C11" i="19"/>
  <c r="S10" i="19"/>
  <c r="R10" i="19"/>
  <c r="Q10" i="19"/>
  <c r="N10" i="19"/>
  <c r="N10" i="20" s="1"/>
  <c r="K10" i="19"/>
  <c r="I10" i="19"/>
  <c r="D10" i="19"/>
  <c r="C10" i="19"/>
  <c r="H106" i="18"/>
  <c r="G106" i="18"/>
  <c r="F106" i="18"/>
  <c r="E106" i="18"/>
  <c r="D106" i="18"/>
  <c r="Q105" i="18"/>
  <c r="P105" i="18"/>
  <c r="L105" i="18"/>
  <c r="K105" i="18"/>
  <c r="J105" i="18"/>
  <c r="I105" i="18"/>
  <c r="H105" i="18"/>
  <c r="G105" i="18"/>
  <c r="F105" i="18"/>
  <c r="E105" i="18"/>
  <c r="D105" i="18"/>
  <c r="M104" i="18"/>
  <c r="K104" i="18"/>
  <c r="F104" i="18"/>
  <c r="M103" i="18"/>
  <c r="K103" i="18"/>
  <c r="F103" i="18"/>
  <c r="M100" i="18"/>
  <c r="M105" i="18" s="1"/>
  <c r="K100" i="18"/>
  <c r="F100" i="18"/>
  <c r="Z105" i="18"/>
  <c r="Y105" i="18"/>
  <c r="X105" i="18"/>
  <c r="W105" i="18"/>
  <c r="V105" i="18"/>
  <c r="U105" i="18"/>
  <c r="T105" i="18"/>
  <c r="S105" i="18"/>
  <c r="R105" i="18"/>
  <c r="F99" i="18"/>
  <c r="H97" i="18"/>
  <c r="G97" i="18"/>
  <c r="F97" i="18"/>
  <c r="E97" i="18"/>
  <c r="D97" i="18"/>
  <c r="F96" i="18"/>
  <c r="F95" i="18"/>
  <c r="F94" i="18"/>
  <c r="F92" i="18"/>
  <c r="F91" i="18"/>
  <c r="H89" i="18"/>
  <c r="G89" i="18"/>
  <c r="F89" i="18"/>
  <c r="E89" i="18"/>
  <c r="D89" i="18"/>
  <c r="F87" i="18"/>
  <c r="F86" i="18"/>
  <c r="F85" i="18"/>
  <c r="F84" i="18"/>
  <c r="H73" i="18"/>
  <c r="G73" i="18"/>
  <c r="F73" i="18"/>
  <c r="E73" i="18"/>
  <c r="D73" i="18"/>
  <c r="C73" i="18"/>
  <c r="H72" i="18"/>
  <c r="G72" i="18"/>
  <c r="F72" i="18"/>
  <c r="E72" i="18"/>
  <c r="D72" i="18"/>
  <c r="C72" i="18"/>
  <c r="H71" i="18"/>
  <c r="G71" i="18"/>
  <c r="F71" i="18"/>
  <c r="E71" i="18"/>
  <c r="D71" i="18"/>
  <c r="C71" i="18"/>
  <c r="H67" i="18"/>
  <c r="G67" i="18"/>
  <c r="F67" i="18"/>
  <c r="E67" i="18"/>
  <c r="H66" i="18"/>
  <c r="G66" i="18"/>
  <c r="F66" i="18"/>
  <c r="E66" i="18"/>
  <c r="D66" i="18"/>
  <c r="H65" i="18"/>
  <c r="G65" i="18"/>
  <c r="F65" i="18"/>
  <c r="E65" i="18"/>
  <c r="D65" i="18"/>
  <c r="C65" i="18"/>
  <c r="Z64" i="18"/>
  <c r="Y64" i="18"/>
  <c r="X64" i="18"/>
  <c r="W64" i="18"/>
  <c r="V64" i="18"/>
  <c r="U64" i="18"/>
  <c r="T64" i="18"/>
  <c r="S64" i="18"/>
  <c r="R64" i="18"/>
  <c r="Q64" i="18"/>
  <c r="P64" i="18"/>
  <c r="O64" i="18"/>
  <c r="N64" i="18"/>
  <c r="M64" i="18"/>
  <c r="L64" i="18"/>
  <c r="K64" i="18"/>
  <c r="J64" i="18"/>
  <c r="I64" i="18"/>
  <c r="H64" i="18"/>
  <c r="G64" i="18"/>
  <c r="F64" i="18"/>
  <c r="E64" i="18"/>
  <c r="AA63" i="18"/>
  <c r="Z62" i="18"/>
  <c r="Y62" i="18"/>
  <c r="X62" i="18"/>
  <c r="W62" i="18"/>
  <c r="V62" i="18"/>
  <c r="U62" i="18"/>
  <c r="T62" i="18"/>
  <c r="S62" i="18"/>
  <c r="R62" i="18"/>
  <c r="Q62" i="18"/>
  <c r="P62" i="18"/>
  <c r="O62" i="18"/>
  <c r="N62" i="18"/>
  <c r="M62" i="18"/>
  <c r="L62" i="18"/>
  <c r="K62" i="18"/>
  <c r="J62" i="18"/>
  <c r="I62" i="18"/>
  <c r="H62" i="18"/>
  <c r="G62" i="18"/>
  <c r="F62" i="18"/>
  <c r="E62" i="18"/>
  <c r="D62" i="18"/>
  <c r="C62" i="18"/>
  <c r="AA61" i="18"/>
  <c r="AA60" i="18"/>
  <c r="AA59" i="18"/>
  <c r="AA58" i="18"/>
  <c r="O116" i="21" s="1"/>
  <c r="AA56" i="18"/>
  <c r="Z56" i="18"/>
  <c r="AL135" i="21" s="1"/>
  <c r="H56" i="18"/>
  <c r="G56" i="18"/>
  <c r="F56" i="18"/>
  <c r="E56" i="18"/>
  <c r="D56" i="18"/>
  <c r="C56" i="18"/>
  <c r="AA55" i="18"/>
  <c r="Y56" i="18"/>
  <c r="AK135" i="21" s="1"/>
  <c r="X56" i="18"/>
  <c r="AJ135" i="21" s="1"/>
  <c r="W56" i="18"/>
  <c r="AI135" i="21" s="1"/>
  <c r="V56" i="18"/>
  <c r="AH135" i="21" s="1"/>
  <c r="U56" i="18"/>
  <c r="AG135" i="21" s="1"/>
  <c r="T56" i="18"/>
  <c r="AF135" i="21" s="1"/>
  <c r="S56" i="18"/>
  <c r="AE135" i="21" s="1"/>
  <c r="R56" i="18"/>
  <c r="AD135" i="21" s="1"/>
  <c r="Q56" i="18"/>
  <c r="AC135" i="21" s="1"/>
  <c r="P56" i="18"/>
  <c r="AB135" i="21" s="1"/>
  <c r="O56" i="18"/>
  <c r="AA135" i="21" s="1"/>
  <c r="N56" i="18"/>
  <c r="Z135" i="21" s="1"/>
  <c r="M56" i="18"/>
  <c r="Y135" i="21" s="1"/>
  <c r="L56" i="18"/>
  <c r="X135" i="21" s="1"/>
  <c r="K56" i="18"/>
  <c r="W135" i="21" s="1"/>
  <c r="J56" i="18"/>
  <c r="V135" i="21" s="1"/>
  <c r="I56" i="18"/>
  <c r="U135" i="21" s="1"/>
  <c r="Z52" i="18"/>
  <c r="Y52" i="18"/>
  <c r="X52" i="18"/>
  <c r="W52" i="18"/>
  <c r="V52" i="18"/>
  <c r="U52" i="18"/>
  <c r="T52" i="18"/>
  <c r="S52" i="18"/>
  <c r="R52" i="18"/>
  <c r="Q52" i="18"/>
  <c r="P52" i="18"/>
  <c r="O52" i="18"/>
  <c r="N52" i="18"/>
  <c r="M52" i="18"/>
  <c r="L52" i="18"/>
  <c r="K52" i="18"/>
  <c r="J52" i="18"/>
  <c r="I52" i="18"/>
  <c r="H52" i="18"/>
  <c r="G52" i="18"/>
  <c r="F52" i="18"/>
  <c r="E52" i="18"/>
  <c r="D52" i="18"/>
  <c r="C52" i="18"/>
  <c r="AA51" i="18"/>
  <c r="AA50" i="18"/>
  <c r="AA49" i="18"/>
  <c r="Z47" i="18"/>
  <c r="V47" i="18"/>
  <c r="P47" i="18"/>
  <c r="O47" i="18"/>
  <c r="N47" i="18"/>
  <c r="M47" i="18"/>
  <c r="L47" i="18"/>
  <c r="K47" i="18"/>
  <c r="J47" i="18"/>
  <c r="I47" i="18"/>
  <c r="H47" i="18"/>
  <c r="G47" i="18"/>
  <c r="F47" i="18"/>
  <c r="E47" i="18"/>
  <c r="Z46" i="18"/>
  <c r="AL134" i="21" s="1"/>
  <c r="Y46" i="18"/>
  <c r="AK134" i="21" s="1"/>
  <c r="V46" i="18"/>
  <c r="U46" i="18"/>
  <c r="U47" i="18" s="1"/>
  <c r="P46" i="18"/>
  <c r="O46" i="18"/>
  <c r="AA134" i="21" s="1"/>
  <c r="N46" i="18"/>
  <c r="Z134" i="21" s="1"/>
  <c r="M46" i="18"/>
  <c r="L46" i="18"/>
  <c r="K46" i="18"/>
  <c r="J46" i="18"/>
  <c r="I46" i="18"/>
  <c r="H46" i="18"/>
  <c r="G46" i="18"/>
  <c r="F46" i="18"/>
  <c r="E46" i="18"/>
  <c r="D46" i="18"/>
  <c r="C46" i="18"/>
  <c r="M44" i="18"/>
  <c r="K44" i="18"/>
  <c r="F44" i="18"/>
  <c r="M43" i="18"/>
  <c r="K43" i="18"/>
  <c r="F43" i="18"/>
  <c r="M41" i="18"/>
  <c r="K41" i="18"/>
  <c r="M40" i="18"/>
  <c r="K40" i="18"/>
  <c r="F40" i="18"/>
  <c r="X46" i="18"/>
  <c r="W46" i="18"/>
  <c r="T46" i="18"/>
  <c r="S46" i="18"/>
  <c r="R46" i="18"/>
  <c r="Q46" i="18"/>
  <c r="F39" i="18"/>
  <c r="H37" i="18"/>
  <c r="G37" i="18"/>
  <c r="F37" i="18"/>
  <c r="E37" i="18"/>
  <c r="D37" i="18"/>
  <c r="C37" i="18"/>
  <c r="AA36" i="18"/>
  <c r="Z36" i="18"/>
  <c r="Y36" i="18"/>
  <c r="X36" i="18"/>
  <c r="W36" i="18"/>
  <c r="V36" i="18"/>
  <c r="U36" i="18"/>
  <c r="T36" i="18"/>
  <c r="S36" i="18"/>
  <c r="R36" i="18"/>
  <c r="Q36" i="18"/>
  <c r="P36" i="18"/>
  <c r="O36" i="18"/>
  <c r="N36" i="18"/>
  <c r="M36" i="18"/>
  <c r="L36" i="18"/>
  <c r="K36" i="18"/>
  <c r="J36" i="18"/>
  <c r="I36" i="18"/>
  <c r="H32" i="18"/>
  <c r="G32" i="18"/>
  <c r="F32" i="18"/>
  <c r="E32" i="18"/>
  <c r="H31" i="18"/>
  <c r="G31" i="18"/>
  <c r="F31" i="18"/>
  <c r="E31" i="18"/>
  <c r="D31" i="18"/>
  <c r="AA30" i="18"/>
  <c r="H24" i="18"/>
  <c r="G24" i="18"/>
  <c r="F24" i="18"/>
  <c r="E24" i="18"/>
  <c r="D24" i="18"/>
  <c r="F23" i="18"/>
  <c r="H21" i="18"/>
  <c r="G21" i="18"/>
  <c r="F21" i="18"/>
  <c r="E21" i="18"/>
  <c r="H20" i="18"/>
  <c r="G20" i="18"/>
  <c r="F20" i="18"/>
  <c r="E20" i="18"/>
  <c r="D20" i="18"/>
  <c r="F15" i="18"/>
  <c r="F14" i="18"/>
  <c r="F36" i="20" l="1"/>
  <c r="H36" i="19"/>
  <c r="F30" i="20"/>
  <c r="H30" i="19"/>
  <c r="H16" i="19"/>
  <c r="H24" i="19"/>
  <c r="H38" i="19"/>
  <c r="E20" i="20"/>
  <c r="H28" i="19"/>
  <c r="H14" i="19"/>
  <c r="H22" i="19"/>
  <c r="H42" i="19"/>
  <c r="Z33" i="20"/>
  <c r="Z12" i="20"/>
  <c r="Z24" i="20"/>
  <c r="P35" i="20"/>
  <c r="E43" i="7"/>
  <c r="J43" i="7"/>
  <c r="K43" i="7"/>
  <c r="AB285" i="7"/>
  <c r="AB273" i="7"/>
  <c r="U16" i="19" s="1"/>
  <c r="J16" i="19" s="1"/>
  <c r="O16" i="19" s="1"/>
  <c r="AB270" i="7"/>
  <c r="U13" i="19" s="1"/>
  <c r="J13" i="19" s="1"/>
  <c r="AB297" i="7"/>
  <c r="U40" i="19" s="1"/>
  <c r="J40" i="19" s="1"/>
  <c r="O40" i="19" s="1"/>
  <c r="AB275" i="7"/>
  <c r="U18" i="19" s="1"/>
  <c r="AB286" i="7"/>
  <c r="U29" i="19" s="1"/>
  <c r="J29" i="19" s="1"/>
  <c r="J29" i="20" s="1"/>
  <c r="S284" i="7"/>
  <c r="T27" i="19" s="1"/>
  <c r="K17" i="20"/>
  <c r="N105" i="18"/>
  <c r="C12" i="20"/>
  <c r="D12" i="20"/>
  <c r="D34" i="20"/>
  <c r="K21" i="20"/>
  <c r="J40" i="20"/>
  <c r="D26" i="20"/>
  <c r="K29" i="20"/>
  <c r="K31" i="20"/>
  <c r="K33" i="20"/>
  <c r="P13" i="20"/>
  <c r="Z17" i="20"/>
  <c r="C24" i="20"/>
  <c r="K25" i="20"/>
  <c r="C32" i="20"/>
  <c r="K35" i="20"/>
  <c r="D14" i="20"/>
  <c r="K15" i="20"/>
  <c r="C20" i="20"/>
  <c r="D22" i="20"/>
  <c r="I38" i="20"/>
  <c r="D39" i="20"/>
  <c r="H39" i="19"/>
  <c r="K44" i="19"/>
  <c r="K45" i="19" s="1"/>
  <c r="AA91" i="18" s="1"/>
  <c r="Z14" i="20"/>
  <c r="X44" i="20"/>
  <c r="AM135" i="21"/>
  <c r="O10" i="21"/>
  <c r="K23" i="20"/>
  <c r="D10" i="20"/>
  <c r="K11" i="20"/>
  <c r="K19" i="20"/>
  <c r="O105" i="18"/>
  <c r="S44" i="19"/>
  <c r="S45" i="19" s="1"/>
  <c r="AA101" i="18" s="1"/>
  <c r="K13" i="20"/>
  <c r="H12" i="19"/>
  <c r="D18" i="20"/>
  <c r="H32" i="19"/>
  <c r="H34" i="19"/>
  <c r="C40" i="20"/>
  <c r="N44" i="19"/>
  <c r="N45" i="19" s="1"/>
  <c r="AA96" i="18" s="1"/>
  <c r="D15" i="20"/>
  <c r="Z22" i="20"/>
  <c r="K14" i="20"/>
  <c r="D44" i="19"/>
  <c r="D45" i="19" s="1"/>
  <c r="AA84" i="18" s="1"/>
  <c r="C16" i="20"/>
  <c r="D20" i="20"/>
  <c r="O117" i="21"/>
  <c r="I44" i="19"/>
  <c r="I45" i="19" s="1"/>
  <c r="I10" i="20"/>
  <c r="H26" i="19"/>
  <c r="D27" i="20"/>
  <c r="H27" i="20" s="1"/>
  <c r="H27" i="19"/>
  <c r="D35" i="20"/>
  <c r="H35" i="19"/>
  <c r="R44" i="19"/>
  <c r="R45" i="19" s="1"/>
  <c r="AA100" i="18" s="1"/>
  <c r="I26" i="20"/>
  <c r="D42" i="20"/>
  <c r="AM133" i="21"/>
  <c r="O74" i="21"/>
  <c r="O119" i="21"/>
  <c r="D13" i="20"/>
  <c r="D29" i="20"/>
  <c r="K39" i="20"/>
  <c r="Z20" i="20"/>
  <c r="D30" i="20"/>
  <c r="K20" i="20"/>
  <c r="O118" i="21"/>
  <c r="P118" i="21" s="1"/>
  <c r="I30" i="20"/>
  <c r="H31" i="19"/>
  <c r="D33" i="20"/>
  <c r="K41" i="20"/>
  <c r="J16" i="20"/>
  <c r="H18" i="19"/>
  <c r="D25" i="20"/>
  <c r="R44" i="20"/>
  <c r="R45" i="20" s="1"/>
  <c r="AA40" i="18" s="1"/>
  <c r="Z11" i="20"/>
  <c r="Z25" i="20"/>
  <c r="Z28" i="20"/>
  <c r="K27" i="20"/>
  <c r="D11" i="20"/>
  <c r="C13" i="20"/>
  <c r="H13" i="19"/>
  <c r="D23" i="20"/>
  <c r="H23" i="19"/>
  <c r="C36" i="20"/>
  <c r="D38" i="20"/>
  <c r="H40" i="19"/>
  <c r="K43" i="20"/>
  <c r="AA25" i="18" s="1"/>
  <c r="AA93" i="18"/>
  <c r="O73" i="21"/>
  <c r="AA52" i="18"/>
  <c r="N44" i="20"/>
  <c r="N45" i="20" s="1"/>
  <c r="AA29" i="18" s="1"/>
  <c r="C17" i="20"/>
  <c r="H17" i="19"/>
  <c r="D17" i="20"/>
  <c r="J18" i="19"/>
  <c r="D19" i="20"/>
  <c r="H19" i="19"/>
  <c r="C28" i="20"/>
  <c r="K37" i="20"/>
  <c r="P11" i="20"/>
  <c r="Z15" i="20"/>
  <c r="D21" i="20"/>
  <c r="K26" i="20"/>
  <c r="Z30" i="20"/>
  <c r="H38" i="20"/>
  <c r="E126" i="6"/>
  <c r="E52" i="6"/>
  <c r="H11" i="19"/>
  <c r="H15" i="19"/>
  <c r="K40" i="20"/>
  <c r="C44" i="19"/>
  <c r="C45" i="19" s="1"/>
  <c r="AA85" i="18" s="1"/>
  <c r="Z18" i="20"/>
  <c r="C23" i="20"/>
  <c r="C26" i="20"/>
  <c r="C29" i="20"/>
  <c r="P102" i="21"/>
  <c r="G43" i="6"/>
  <c r="C19" i="20"/>
  <c r="P37" i="20"/>
  <c r="AA44" i="20"/>
  <c r="AA45" i="20" s="1"/>
  <c r="P103" i="21"/>
  <c r="H43" i="6"/>
  <c r="D85" i="6"/>
  <c r="J52" i="6"/>
  <c r="D41" i="20"/>
  <c r="K10" i="20"/>
  <c r="Y44" i="20"/>
  <c r="C15" i="20"/>
  <c r="K30" i="20"/>
  <c r="C31" i="20"/>
  <c r="K32" i="20"/>
  <c r="P33" i="20"/>
  <c r="P104" i="21"/>
  <c r="O85" i="6"/>
  <c r="L52" i="6"/>
  <c r="F85" i="6"/>
  <c r="Z39" i="20"/>
  <c r="P94" i="21"/>
  <c r="I43" i="6"/>
  <c r="C11" i="20"/>
  <c r="Z13" i="20"/>
  <c r="C22" i="20"/>
  <c r="C25" i="20"/>
  <c r="Z27" i="20"/>
  <c r="C33" i="20"/>
  <c r="K34" i="20"/>
  <c r="C37" i="20"/>
  <c r="Z40" i="20"/>
  <c r="P95" i="21"/>
  <c r="D32" i="20"/>
  <c r="D40" i="20"/>
  <c r="C14" i="20"/>
  <c r="P14" i="20"/>
  <c r="K16" i="20"/>
  <c r="Z16" i="20"/>
  <c r="D28" i="20"/>
  <c r="P30" i="20"/>
  <c r="D37" i="20"/>
  <c r="P39" i="20"/>
  <c r="Z41" i="20"/>
  <c r="P96" i="21"/>
  <c r="H21" i="19"/>
  <c r="H25" i="19"/>
  <c r="H29" i="19"/>
  <c r="H33" i="19"/>
  <c r="H37" i="19"/>
  <c r="K38" i="20"/>
  <c r="H41" i="19"/>
  <c r="K42" i="20"/>
  <c r="P17" i="20"/>
  <c r="P40" i="20"/>
  <c r="Z42" i="20"/>
  <c r="P97" i="21"/>
  <c r="M52" i="6"/>
  <c r="G85" i="6"/>
  <c r="C35" i="20"/>
  <c r="C39" i="20"/>
  <c r="C10" i="20"/>
  <c r="C21" i="20"/>
  <c r="P21" i="20"/>
  <c r="Z23" i="20"/>
  <c r="C30" i="20"/>
  <c r="C41" i="20"/>
  <c r="P41" i="20"/>
  <c r="P98" i="21"/>
  <c r="C42" i="20"/>
  <c r="P42" i="20"/>
  <c r="P138" i="21"/>
  <c r="D24" i="20"/>
  <c r="H30" i="20"/>
  <c r="P99" i="21"/>
  <c r="D43" i="6"/>
  <c r="O75" i="21"/>
  <c r="P75" i="21" s="1"/>
  <c r="AA62" i="18"/>
  <c r="P29" i="20"/>
  <c r="C34" i="20"/>
  <c r="Z37" i="20"/>
  <c r="P100" i="21"/>
  <c r="R138" i="21"/>
  <c r="E43" i="6"/>
  <c r="P93" i="6"/>
  <c r="D126" i="6"/>
  <c r="H52" i="6"/>
  <c r="P95" i="6"/>
  <c r="H54" i="6"/>
  <c r="N54" i="6" s="1"/>
  <c r="M12" i="19" s="1"/>
  <c r="M12" i="20" s="1"/>
  <c r="P100" i="6"/>
  <c r="P109" i="6"/>
  <c r="P110" i="6"/>
  <c r="U43" i="7"/>
  <c r="Z246" i="7"/>
  <c r="P120" i="6"/>
  <c r="L14" i="7"/>
  <c r="P15" i="19" s="1"/>
  <c r="L41" i="7"/>
  <c r="P42" i="19" s="1"/>
  <c r="G9" i="7"/>
  <c r="P103" i="6"/>
  <c r="P104" i="6"/>
  <c r="P113" i="6"/>
  <c r="P114" i="6"/>
  <c r="I85" i="6"/>
  <c r="P97" i="6"/>
  <c r="P117" i="6"/>
  <c r="P118" i="6"/>
  <c r="O126" i="6"/>
  <c r="P102" i="6"/>
  <c r="P111" i="6"/>
  <c r="P123" i="6"/>
  <c r="H9" i="7"/>
  <c r="P112" i="6"/>
  <c r="P124" i="6"/>
  <c r="P94" i="6"/>
  <c r="P105" i="6"/>
  <c r="P115" i="6"/>
  <c r="P116" i="6"/>
  <c r="P121" i="6"/>
  <c r="Z235" i="7"/>
  <c r="Y235" i="7"/>
  <c r="J126" i="6"/>
  <c r="P96" i="6"/>
  <c r="P106" i="6"/>
  <c r="P122" i="6"/>
  <c r="P99" i="6"/>
  <c r="N43" i="7"/>
  <c r="K84" i="7"/>
  <c r="AA128" i="7"/>
  <c r="Z230" i="7"/>
  <c r="Y230" i="7"/>
  <c r="Z233" i="7"/>
  <c r="Y233" i="7"/>
  <c r="X247" i="7"/>
  <c r="U287" i="7"/>
  <c r="AB287" i="7" s="1"/>
  <c r="T9" i="7"/>
  <c r="AD104" i="7"/>
  <c r="G18" i="7" s="1"/>
  <c r="P19" i="20" s="1"/>
  <c r="D172" i="7"/>
  <c r="J172" i="7"/>
  <c r="G172" i="7"/>
  <c r="R217" i="7"/>
  <c r="D217" i="7"/>
  <c r="E128" i="7"/>
  <c r="Q128" i="7"/>
  <c r="AC128" i="7"/>
  <c r="AD100" i="7"/>
  <c r="G14" i="7" s="1"/>
  <c r="P15" i="20" s="1"/>
  <c r="AD109" i="7"/>
  <c r="G23" i="7" s="1"/>
  <c r="P24" i="20" s="1"/>
  <c r="E172" i="7"/>
  <c r="M143" i="7"/>
  <c r="H13" i="7" s="1"/>
  <c r="Q14" i="20" s="1"/>
  <c r="M150" i="7"/>
  <c r="H20" i="7" s="1"/>
  <c r="Q21" i="20" s="1"/>
  <c r="M158" i="7"/>
  <c r="H28" i="7" s="1"/>
  <c r="Q29" i="20" s="1"/>
  <c r="M161" i="7"/>
  <c r="H31" i="7" s="1"/>
  <c r="Q32" i="20" s="1"/>
  <c r="M168" i="7"/>
  <c r="H38" i="7" s="1"/>
  <c r="Q39" i="20" s="1"/>
  <c r="AA284" i="7"/>
  <c r="AB284" i="7" s="1"/>
  <c r="X244" i="7"/>
  <c r="U293" i="7"/>
  <c r="AB293" i="7" s="1"/>
  <c r="X253" i="7"/>
  <c r="AJ51" i="7"/>
  <c r="F128" i="7"/>
  <c r="R128" i="7"/>
  <c r="E217" i="7"/>
  <c r="AB268" i="7"/>
  <c r="L230" i="7"/>
  <c r="AB271" i="7"/>
  <c r="L233" i="7"/>
  <c r="AB274" i="7"/>
  <c r="L236" i="7"/>
  <c r="L239" i="7"/>
  <c r="AB280" i="7"/>
  <c r="N235" i="7"/>
  <c r="O235" i="7" s="1"/>
  <c r="M235" i="7"/>
  <c r="G128" i="7"/>
  <c r="S128" i="7"/>
  <c r="L147" i="7"/>
  <c r="M17" i="7" s="1"/>
  <c r="Q18" i="19" s="1"/>
  <c r="L165" i="7"/>
  <c r="M35" i="7" s="1"/>
  <c r="Q36" i="19" s="1"/>
  <c r="F217" i="7"/>
  <c r="U260" i="7"/>
  <c r="Y267" i="7"/>
  <c r="Y300" i="7" s="1"/>
  <c r="AB282" i="7"/>
  <c r="H128" i="7"/>
  <c r="T128" i="7"/>
  <c r="M153" i="7"/>
  <c r="H23" i="7" s="1"/>
  <c r="Q24" i="20" s="1"/>
  <c r="W288" i="7"/>
  <c r="AB288" i="7" s="1"/>
  <c r="X248" i="7"/>
  <c r="AA290" i="7"/>
  <c r="X250" i="7"/>
  <c r="P274" i="7"/>
  <c r="S274" i="7" s="1"/>
  <c r="R274" i="7"/>
  <c r="Q298" i="7"/>
  <c r="N258" i="7" s="1"/>
  <c r="R298" i="7"/>
  <c r="I128" i="7"/>
  <c r="U128" i="7"/>
  <c r="I172" i="7"/>
  <c r="M156" i="7"/>
  <c r="H26" i="7" s="1"/>
  <c r="Q27" i="20" s="1"/>
  <c r="H217" i="7"/>
  <c r="W217" i="7"/>
  <c r="Z257" i="7"/>
  <c r="Y257" i="7"/>
  <c r="M236" i="7"/>
  <c r="N240" i="7"/>
  <c r="X217" i="7"/>
  <c r="L228" i="7"/>
  <c r="AB269" i="7"/>
  <c r="L231" i="7"/>
  <c r="X232" i="7"/>
  <c r="L234" i="7"/>
  <c r="L237" i="7"/>
  <c r="AB278" i="7"/>
  <c r="N246" i="7"/>
  <c r="M246" i="7"/>
  <c r="K128" i="7"/>
  <c r="W128" i="7"/>
  <c r="AD116" i="7"/>
  <c r="G30" i="7" s="1"/>
  <c r="P31" i="20" s="1"/>
  <c r="AD121" i="7"/>
  <c r="G35" i="7" s="1"/>
  <c r="P36" i="20" s="1"/>
  <c r="K172" i="7"/>
  <c r="L153" i="7"/>
  <c r="M23" i="7" s="1"/>
  <c r="Q24" i="19" s="1"/>
  <c r="L171" i="7"/>
  <c r="M41" i="7" s="1"/>
  <c r="Q42" i="19" s="1"/>
  <c r="J217" i="7"/>
  <c r="K217" i="7"/>
  <c r="I260" i="7"/>
  <c r="L240" i="7"/>
  <c r="X241" i="7"/>
  <c r="L243" i="7"/>
  <c r="Y245" i="7"/>
  <c r="W294" i="7"/>
  <c r="AB294" i="7" s="1"/>
  <c r="X254" i="7"/>
  <c r="M159" i="7"/>
  <c r="H29" i="7" s="1"/>
  <c r="Q30" i="20" s="1"/>
  <c r="Z217" i="7"/>
  <c r="J260" i="7"/>
  <c r="AB292" i="7"/>
  <c r="N228" i="7"/>
  <c r="M228" i="7"/>
  <c r="N251" i="7"/>
  <c r="M251" i="7"/>
  <c r="M128" i="7"/>
  <c r="Y128" i="7"/>
  <c r="AD112" i="7"/>
  <c r="G26" i="7" s="1"/>
  <c r="P27" i="20" s="1"/>
  <c r="AD117" i="7"/>
  <c r="G31" i="7" s="1"/>
  <c r="P32" i="20" s="1"/>
  <c r="M144" i="7"/>
  <c r="H14" i="7" s="1"/>
  <c r="Q15" i="20" s="1"/>
  <c r="M152" i="7"/>
  <c r="H22" i="7" s="1"/>
  <c r="Q23" i="20" s="1"/>
  <c r="M162" i="7"/>
  <c r="H32" i="7" s="1"/>
  <c r="Q33" i="20" s="1"/>
  <c r="L217" i="7"/>
  <c r="AA217" i="7"/>
  <c r="P285" i="7"/>
  <c r="S285" i="7" s="1"/>
  <c r="R285" i="7"/>
  <c r="Z300" i="7"/>
  <c r="O300" i="7"/>
  <c r="T272" i="7"/>
  <c r="AB272" i="7" s="1"/>
  <c r="R276" i="7"/>
  <c r="Q276" i="7"/>
  <c r="S276" i="7" s="1"/>
  <c r="N244" i="7"/>
  <c r="R287" i="7"/>
  <c r="U295" i="7"/>
  <c r="AB295" i="7" s="1"/>
  <c r="R299" i="7"/>
  <c r="S299" i="7"/>
  <c r="F40" i="7"/>
  <c r="S41" i="20" s="1"/>
  <c r="H172" i="7"/>
  <c r="AA300" i="7"/>
  <c r="T276" i="7"/>
  <c r="AB276" i="7" s="1"/>
  <c r="U283" i="7"/>
  <c r="Q287" i="7"/>
  <c r="S287" i="7" s="1"/>
  <c r="L227" i="7"/>
  <c r="X228" i="7"/>
  <c r="X229" i="7"/>
  <c r="X230" i="7"/>
  <c r="X231" i="7"/>
  <c r="X233" i="7"/>
  <c r="AA233" i="7" s="1"/>
  <c r="U16" i="20" s="1"/>
  <c r="X234" i="7"/>
  <c r="X235" i="7"/>
  <c r="X237" i="7"/>
  <c r="X238" i="7"/>
  <c r="X239" i="7"/>
  <c r="X240" i="7"/>
  <c r="X242" i="7"/>
  <c r="M244" i="7"/>
  <c r="O244" i="7" s="1"/>
  <c r="X249" i="7"/>
  <c r="AB291" i="7"/>
  <c r="E300" i="7"/>
  <c r="P271" i="7"/>
  <c r="Q278" i="7"/>
  <c r="Q280" i="7"/>
  <c r="S280" i="7" s="1"/>
  <c r="R289" i="7"/>
  <c r="X258" i="7"/>
  <c r="AB299" i="7"/>
  <c r="F300" i="7"/>
  <c r="V267" i="7"/>
  <c r="V300" i="7" s="1"/>
  <c r="P277" i="7"/>
  <c r="R282" i="7"/>
  <c r="Q282" i="7"/>
  <c r="S282" i="7" s="1"/>
  <c r="AB296" i="7"/>
  <c r="G300" i="7"/>
  <c r="W267" i="7"/>
  <c r="Q273" i="7"/>
  <c r="S273" i="7" s="1"/>
  <c r="P279" i="7"/>
  <c r="S279" i="7" s="1"/>
  <c r="R291" i="7"/>
  <c r="N254" i="7"/>
  <c r="X267" i="7"/>
  <c r="X300" i="7" s="1"/>
  <c r="N300" i="7"/>
  <c r="P272" i="7"/>
  <c r="R275" i="7"/>
  <c r="P281" i="7"/>
  <c r="P290" i="7"/>
  <c r="R297" i="7"/>
  <c r="Q297" i="7"/>
  <c r="S297" i="7" s="1"/>
  <c r="T267" i="7"/>
  <c r="P260" i="7"/>
  <c r="AB277" i="7"/>
  <c r="AB279" i="7"/>
  <c r="AB289" i="7"/>
  <c r="I300" i="7"/>
  <c r="S275" i="7"/>
  <c r="R294" i="7"/>
  <c r="X257" i="7"/>
  <c r="AB298" i="7"/>
  <c r="Q260" i="7"/>
  <c r="J300" i="7"/>
  <c r="Q268" i="7"/>
  <c r="S268" i="7" s="1"/>
  <c r="R277" i="7"/>
  <c r="R288" i="7"/>
  <c r="Q288" i="7"/>
  <c r="S288" i="7" s="1"/>
  <c r="X246" i="7"/>
  <c r="X252" i="7"/>
  <c r="K300" i="7"/>
  <c r="R268" i="7"/>
  <c r="R270" i="7"/>
  <c r="Q270" i="7"/>
  <c r="S270" i="7" s="1"/>
  <c r="R279" i="7"/>
  <c r="Q293" i="7"/>
  <c r="U217" i="7"/>
  <c r="V260" i="7"/>
  <c r="L300" i="7"/>
  <c r="P267" i="7"/>
  <c r="S267" i="7" s="1"/>
  <c r="P283" i="7"/>
  <c r="Q290" i="7"/>
  <c r="R292" i="7"/>
  <c r="Q292" i="7"/>
  <c r="S292" i="7" s="1"/>
  <c r="P295" i="7"/>
  <c r="S295" i="7" s="1"/>
  <c r="X245" i="7"/>
  <c r="X251" i="7"/>
  <c r="W260" i="7"/>
  <c r="P269" i="7"/>
  <c r="S269" i="7" s="1"/>
  <c r="P278" i="7"/>
  <c r="R281" i="7"/>
  <c r="AB281" i="7"/>
  <c r="R283" i="7"/>
  <c r="P289" i="7"/>
  <c r="AB290" i="7"/>
  <c r="P293" i="7"/>
  <c r="R295" i="7"/>
  <c r="P296" i="7"/>
  <c r="S296" i="7" s="1"/>
  <c r="P299" i="7"/>
  <c r="Y217" i="7"/>
  <c r="F30" i="7"/>
  <c r="S31" i="20" s="1"/>
  <c r="F18" i="7"/>
  <c r="S19" i="20" s="1"/>
  <c r="F27" i="7"/>
  <c r="S28" i="20" s="1"/>
  <c r="F37" i="7"/>
  <c r="S38" i="20" s="1"/>
  <c r="F32" i="7"/>
  <c r="S33" i="20" s="1"/>
  <c r="Q294" i="7"/>
  <c r="F20" i="7"/>
  <c r="S21" i="20" s="1"/>
  <c r="F12" i="7"/>
  <c r="S13" i="20" s="1"/>
  <c r="F13" i="7"/>
  <c r="S14" i="20" s="1"/>
  <c r="O217" i="7"/>
  <c r="F15" i="7"/>
  <c r="S16" i="20" s="1"/>
  <c r="F28" i="7"/>
  <c r="S29" i="20" s="1"/>
  <c r="F11" i="7"/>
  <c r="S12" i="20" s="1"/>
  <c r="F16" i="7"/>
  <c r="S17" i="20" s="1"/>
  <c r="F39" i="7"/>
  <c r="S40" i="20" s="1"/>
  <c r="F21" i="7"/>
  <c r="S22" i="20" s="1"/>
  <c r="F26" i="7"/>
  <c r="S27" i="20" s="1"/>
  <c r="F38" i="7"/>
  <c r="S39" i="20" s="1"/>
  <c r="S47" i="18"/>
  <c r="AE134" i="21"/>
  <c r="R47" i="18"/>
  <c r="AD134" i="21"/>
  <c r="T47" i="18"/>
  <c r="AF134" i="21"/>
  <c r="AI134" i="21"/>
  <c r="W47" i="18"/>
  <c r="AJ134" i="21"/>
  <c r="X47" i="18"/>
  <c r="Q47" i="18"/>
  <c r="AC134" i="21"/>
  <c r="Y47" i="18"/>
  <c r="I44" i="20" l="1"/>
  <c r="I45" i="20" s="1"/>
  <c r="E145" i="6"/>
  <c r="Z245" i="7"/>
  <c r="U28" i="19"/>
  <c r="J28" i="19" s="1"/>
  <c r="Y246" i="7"/>
  <c r="X260" i="7"/>
  <c r="U300" i="7"/>
  <c r="AA246" i="7"/>
  <c r="U29" i="20" s="1"/>
  <c r="O29" i="19"/>
  <c r="I28" i="7"/>
  <c r="V29" i="19"/>
  <c r="M247" i="7"/>
  <c r="O251" i="7"/>
  <c r="O246" i="7"/>
  <c r="T29" i="20" s="1"/>
  <c r="R300" i="7"/>
  <c r="N242" i="7"/>
  <c r="O228" i="7"/>
  <c r="T18" i="20"/>
  <c r="T34" i="20"/>
  <c r="T27" i="20"/>
  <c r="Z255" i="7"/>
  <c r="Y255" i="7"/>
  <c r="U38" i="19"/>
  <c r="I11" i="7"/>
  <c r="T12" i="19"/>
  <c r="I16" i="7"/>
  <c r="T17" i="19"/>
  <c r="I21" i="7"/>
  <c r="T22" i="19"/>
  <c r="I38" i="7"/>
  <c r="T39" i="19"/>
  <c r="I37" i="7"/>
  <c r="T38" i="19"/>
  <c r="J85" i="6"/>
  <c r="E10" i="19"/>
  <c r="D44" i="20"/>
  <c r="D45" i="20" s="1"/>
  <c r="AA14" i="18" s="1"/>
  <c r="X45" i="20"/>
  <c r="Z234" i="7"/>
  <c r="Y234" i="7"/>
  <c r="U17" i="19"/>
  <c r="N52" i="6"/>
  <c r="H85" i="6"/>
  <c r="AA64" i="18"/>
  <c r="AM136" i="21"/>
  <c r="O12" i="21"/>
  <c r="O16" i="20"/>
  <c r="J28" i="20"/>
  <c r="O28" i="19"/>
  <c r="H32" i="20"/>
  <c r="H39" i="20"/>
  <c r="F36" i="7"/>
  <c r="S37" i="20" s="1"/>
  <c r="Z250" i="7"/>
  <c r="Y250" i="7"/>
  <c r="U33" i="19"/>
  <c r="Z258" i="7"/>
  <c r="Y258" i="7"/>
  <c r="AA258" i="7" s="1"/>
  <c r="U41" i="20" s="1"/>
  <c r="U41" i="19"/>
  <c r="I39" i="7"/>
  <c r="T40" i="19"/>
  <c r="W300" i="7"/>
  <c r="I22" i="7"/>
  <c r="T23" i="19"/>
  <c r="AA235" i="7"/>
  <c r="U18" i="20" s="1"/>
  <c r="Z236" i="7"/>
  <c r="Y236" i="7"/>
  <c r="U19" i="19"/>
  <c r="AB283" i="7"/>
  <c r="Z238" i="7"/>
  <c r="Y238" i="7"/>
  <c r="AA238" i="7" s="1"/>
  <c r="U21" i="20" s="1"/>
  <c r="U21" i="19"/>
  <c r="G217" i="7"/>
  <c r="N249" i="7"/>
  <c r="M249" i="7"/>
  <c r="S289" i="7"/>
  <c r="S290" i="7"/>
  <c r="AA257" i="7"/>
  <c r="U40" i="20" s="1"/>
  <c r="S278" i="7"/>
  <c r="I18" i="7"/>
  <c r="T19" i="19"/>
  <c r="L172" i="7"/>
  <c r="N236" i="7"/>
  <c r="O236" i="7" s="1"/>
  <c r="H35" i="20"/>
  <c r="H25" i="20"/>
  <c r="H23" i="20"/>
  <c r="P119" i="21"/>
  <c r="H41" i="20"/>
  <c r="I15" i="7"/>
  <c r="T16" i="19"/>
  <c r="N231" i="7"/>
  <c r="O231" i="7" s="1"/>
  <c r="M231" i="7"/>
  <c r="Z247" i="7"/>
  <c r="AA247" i="7" s="1"/>
  <c r="U30" i="20" s="1"/>
  <c r="Y247" i="7"/>
  <c r="U30" i="19"/>
  <c r="Z231" i="7"/>
  <c r="Y231" i="7"/>
  <c r="AA231" i="7" s="1"/>
  <c r="U14" i="20" s="1"/>
  <c r="U14" i="19"/>
  <c r="P126" i="6"/>
  <c r="L85" i="6"/>
  <c r="G10" i="19"/>
  <c r="H15" i="20"/>
  <c r="O39" i="21"/>
  <c r="H13" i="20"/>
  <c r="O56" i="21"/>
  <c r="H16" i="20"/>
  <c r="H40" i="20"/>
  <c r="H12" i="20"/>
  <c r="J18" i="20"/>
  <c r="O18" i="19"/>
  <c r="N243" i="7"/>
  <c r="O243" i="7" s="1"/>
  <c r="M243" i="7"/>
  <c r="S283" i="7"/>
  <c r="Z232" i="7"/>
  <c r="Y232" i="7"/>
  <c r="AA232" i="7" s="1"/>
  <c r="U15" i="20" s="1"/>
  <c r="U15" i="19"/>
  <c r="I27" i="7"/>
  <c r="T28" i="19"/>
  <c r="Z242" i="7"/>
  <c r="Y242" i="7"/>
  <c r="U25" i="19"/>
  <c r="H28" i="20"/>
  <c r="H20" i="20"/>
  <c r="H24" i="20"/>
  <c r="Z256" i="7"/>
  <c r="Y256" i="7"/>
  <c r="AA256" i="7" s="1"/>
  <c r="U39" i="20" s="1"/>
  <c r="U39" i="19"/>
  <c r="Z241" i="7"/>
  <c r="Y241" i="7"/>
  <c r="U24" i="19"/>
  <c r="N227" i="7"/>
  <c r="O227" i="7" s="1"/>
  <c r="M227" i="7"/>
  <c r="I24" i="7"/>
  <c r="T25" i="19"/>
  <c r="F33" i="7"/>
  <c r="S34" i="20" s="1"/>
  <c r="P300" i="7"/>
  <c r="Z254" i="7"/>
  <c r="Y254" i="7"/>
  <c r="U37" i="19"/>
  <c r="I17" i="7"/>
  <c r="T18" i="19"/>
  <c r="Z251" i="7"/>
  <c r="I33" i="7"/>
  <c r="Y251" i="7"/>
  <c r="U34" i="19"/>
  <c r="AA230" i="7"/>
  <c r="U13" i="20" s="1"/>
  <c r="Z228" i="7"/>
  <c r="Y228" i="7"/>
  <c r="U11" i="19"/>
  <c r="M252" i="7"/>
  <c r="H22" i="20"/>
  <c r="H17" i="20"/>
  <c r="P74" i="21"/>
  <c r="N250" i="7"/>
  <c r="M250" i="7"/>
  <c r="N241" i="7"/>
  <c r="M241" i="7"/>
  <c r="S298" i="7"/>
  <c r="M258" i="7"/>
  <c r="O258" i="7" s="1"/>
  <c r="O230" i="7"/>
  <c r="S217" i="7"/>
  <c r="N238" i="7"/>
  <c r="M238" i="7"/>
  <c r="O238" i="7" s="1"/>
  <c r="I30" i="7"/>
  <c r="T31" i="19"/>
  <c r="N232" i="7"/>
  <c r="M232" i="7"/>
  <c r="S277" i="7"/>
  <c r="N237" i="7"/>
  <c r="M237" i="7"/>
  <c r="O237" i="7" s="1"/>
  <c r="Z229" i="7"/>
  <c r="Y229" i="7"/>
  <c r="U12" i="19"/>
  <c r="N252" i="7"/>
  <c r="M43" i="7"/>
  <c r="H14" i="20"/>
  <c r="Y45" i="20"/>
  <c r="K52" i="6"/>
  <c r="E85" i="6"/>
  <c r="H42" i="20"/>
  <c r="I41" i="7"/>
  <c r="T42" i="19"/>
  <c r="T11" i="20"/>
  <c r="N234" i="7"/>
  <c r="M234" i="7"/>
  <c r="O234" i="7" s="1"/>
  <c r="H36" i="20"/>
  <c r="O40" i="20"/>
  <c r="O29" i="20"/>
  <c r="S271" i="7"/>
  <c r="N247" i="7"/>
  <c r="M248" i="7"/>
  <c r="S272" i="7"/>
  <c r="H34" i="20"/>
  <c r="H21" i="20"/>
  <c r="H37" i="20"/>
  <c r="K44" i="20"/>
  <c r="K45" i="20" s="1"/>
  <c r="AA23" i="18" s="1"/>
  <c r="O38" i="21"/>
  <c r="H18" i="20"/>
  <c r="N253" i="7"/>
  <c r="M253" i="7"/>
  <c r="Z248" i="7"/>
  <c r="Y248" i="7"/>
  <c r="AA248" i="7" s="1"/>
  <c r="U31" i="20" s="1"/>
  <c r="U31" i="19"/>
  <c r="F35" i="7"/>
  <c r="S36" i="20" s="1"/>
  <c r="AA241" i="7"/>
  <c r="U24" i="20" s="1"/>
  <c r="D28" i="7"/>
  <c r="AA250" i="7"/>
  <c r="U33" i="20" s="1"/>
  <c r="M233" i="7"/>
  <c r="O233" i="7" s="1"/>
  <c r="N248" i="7"/>
  <c r="G43" i="7"/>
  <c r="P10" i="20"/>
  <c r="H11" i="20"/>
  <c r="Q44" i="19"/>
  <c r="Q45" i="19" s="1"/>
  <c r="AA104" i="18" s="1"/>
  <c r="AM137" i="21"/>
  <c r="O11" i="21"/>
  <c r="P117" i="21"/>
  <c r="H29" i="20"/>
  <c r="I34" i="7"/>
  <c r="T35" i="19"/>
  <c r="T10" i="19"/>
  <c r="F25" i="7"/>
  <c r="S26" i="20" s="1"/>
  <c r="F23" i="7"/>
  <c r="S24" i="20" s="1"/>
  <c r="S293" i="7"/>
  <c r="Z244" i="7"/>
  <c r="Y244" i="7"/>
  <c r="I26" i="7"/>
  <c r="U27" i="19"/>
  <c r="Z239" i="7"/>
  <c r="Y239" i="7"/>
  <c r="U22" i="19"/>
  <c r="AA242" i="7"/>
  <c r="U25" i="20" s="1"/>
  <c r="L260" i="7"/>
  <c r="M257" i="7"/>
  <c r="O257" i="7" s="1"/>
  <c r="F14" i="7"/>
  <c r="S15" i="20" s="1"/>
  <c r="F24" i="7"/>
  <c r="S25" i="20" s="1"/>
  <c r="N259" i="7"/>
  <c r="M259" i="7"/>
  <c r="Z237" i="7"/>
  <c r="Y237" i="7"/>
  <c r="U20" i="19"/>
  <c r="Z259" i="7"/>
  <c r="Y259" i="7"/>
  <c r="U42" i="19"/>
  <c r="F17" i="7"/>
  <c r="S18" i="20" s="1"/>
  <c r="N257" i="7"/>
  <c r="F29" i="7"/>
  <c r="S30" i="20" s="1"/>
  <c r="S294" i="7"/>
  <c r="M254" i="7"/>
  <c r="O254" i="7" s="1"/>
  <c r="N256" i="7"/>
  <c r="M256" i="7"/>
  <c r="O256" i="7" s="1"/>
  <c r="AA245" i="7"/>
  <c r="U28" i="20" s="1"/>
  <c r="I12" i="7"/>
  <c r="T13" i="19"/>
  <c r="I10" i="7"/>
  <c r="T11" i="19"/>
  <c r="Z252" i="7"/>
  <c r="Y252" i="7"/>
  <c r="U35" i="19"/>
  <c r="S281" i="7"/>
  <c r="Z240" i="7"/>
  <c r="Y240" i="7"/>
  <c r="U23" i="19"/>
  <c r="L9" i="7"/>
  <c r="AJ84" i="7"/>
  <c r="N233" i="7"/>
  <c r="M230" i="7"/>
  <c r="H43" i="7"/>
  <c r="Q10" i="20"/>
  <c r="AD128" i="7"/>
  <c r="H33" i="20"/>
  <c r="H31" i="20"/>
  <c r="V18" i="19"/>
  <c r="H19" i="20"/>
  <c r="N229" i="7"/>
  <c r="M229" i="7"/>
  <c r="O229" i="7" s="1"/>
  <c r="Z249" i="7"/>
  <c r="Y249" i="7"/>
  <c r="U32" i="19"/>
  <c r="T43" i="7"/>
  <c r="W10" i="20"/>
  <c r="N255" i="7"/>
  <c r="M255" i="7"/>
  <c r="AB267" i="7"/>
  <c r="I9" i="7" s="1"/>
  <c r="T300" i="7"/>
  <c r="N239" i="7"/>
  <c r="O239" i="7" s="1"/>
  <c r="M239" i="7"/>
  <c r="Z253" i="7"/>
  <c r="Y253" i="7"/>
  <c r="U36" i="19"/>
  <c r="I29" i="7"/>
  <c r="T30" i="19"/>
  <c r="N245" i="7"/>
  <c r="M245" i="7"/>
  <c r="M240" i="7"/>
  <c r="O240" i="7" s="1"/>
  <c r="M242" i="7"/>
  <c r="O242" i="7" s="1"/>
  <c r="Q300" i="7"/>
  <c r="N230" i="7"/>
  <c r="M172" i="7"/>
  <c r="C44" i="20"/>
  <c r="C45" i="20" s="1"/>
  <c r="AA15" i="18" s="1"/>
  <c r="M85" i="6"/>
  <c r="L10" i="19"/>
  <c r="H26" i="20"/>
  <c r="P73" i="21"/>
  <c r="P116" i="21"/>
  <c r="O43" i="20"/>
  <c r="AE43" i="20" s="1"/>
  <c r="O13" i="19"/>
  <c r="J13" i="20"/>
  <c r="M217" i="7"/>
  <c r="F22" i="7"/>
  <c r="S23" i="20" s="1"/>
  <c r="F41" i="7"/>
  <c r="S42" i="20" s="1"/>
  <c r="F34" i="7"/>
  <c r="S35" i="20" s="1"/>
  <c r="F10" i="7"/>
  <c r="S11" i="20" s="1"/>
  <c r="AA251" i="7" l="1"/>
  <c r="U34" i="20" s="1"/>
  <c r="AA244" i="7"/>
  <c r="U27" i="20" s="1"/>
  <c r="V27" i="20" s="1"/>
  <c r="W29" i="19"/>
  <c r="AA240" i="7"/>
  <c r="U23" i="20" s="1"/>
  <c r="AA239" i="7"/>
  <c r="U22" i="20" s="1"/>
  <c r="AA229" i="7"/>
  <c r="U12" i="20" s="1"/>
  <c r="AA254" i="7"/>
  <c r="U37" i="20" s="1"/>
  <c r="AA249" i="7"/>
  <c r="U32" i="20" s="1"/>
  <c r="AA234" i="7"/>
  <c r="U17" i="20" s="1"/>
  <c r="AA237" i="7"/>
  <c r="U20" i="20" s="1"/>
  <c r="AA252" i="7"/>
  <c r="U35" i="20" s="1"/>
  <c r="W18" i="19"/>
  <c r="AA253" i="7"/>
  <c r="U36" i="20" s="1"/>
  <c r="AA236" i="7"/>
  <c r="U19" i="20" s="1"/>
  <c r="AA228" i="7"/>
  <c r="U11" i="20" s="1"/>
  <c r="V11" i="20" s="1"/>
  <c r="AA259" i="7"/>
  <c r="U42" i="20" s="1"/>
  <c r="O245" i="7"/>
  <c r="O255" i="7"/>
  <c r="S300" i="7"/>
  <c r="O253" i="7"/>
  <c r="O249" i="7"/>
  <c r="O247" i="7"/>
  <c r="D29" i="7" s="1"/>
  <c r="D15" i="7"/>
  <c r="T16" i="20"/>
  <c r="T30" i="20"/>
  <c r="V30" i="20" s="1"/>
  <c r="T17" i="20"/>
  <c r="D21" i="7"/>
  <c r="T22" i="20"/>
  <c r="D22" i="7"/>
  <c r="T23" i="20"/>
  <c r="V23" i="20" s="1"/>
  <c r="T20" i="20"/>
  <c r="D39" i="7"/>
  <c r="T40" i="20"/>
  <c r="P44" i="20"/>
  <c r="P45" i="20" s="1"/>
  <c r="AA43" i="18" s="1"/>
  <c r="T38" i="20"/>
  <c r="D38" i="7"/>
  <c r="T39" i="20"/>
  <c r="I35" i="7"/>
  <c r="T36" i="19"/>
  <c r="D24" i="7"/>
  <c r="T25" i="20"/>
  <c r="V25" i="20" s="1"/>
  <c r="J36" i="19"/>
  <c r="O22" i="21"/>
  <c r="J31" i="19"/>
  <c r="O241" i="7"/>
  <c r="J34" i="19"/>
  <c r="V34" i="19"/>
  <c r="J24" i="19"/>
  <c r="O18" i="20"/>
  <c r="J19" i="19"/>
  <c r="D26" i="7"/>
  <c r="W44" i="20"/>
  <c r="Z10" i="20"/>
  <c r="J15" i="19"/>
  <c r="I32" i="7"/>
  <c r="T33" i="19"/>
  <c r="V38" i="19"/>
  <c r="V17" i="19"/>
  <c r="J22" i="19"/>
  <c r="O13" i="20"/>
  <c r="V42" i="19"/>
  <c r="L43" i="7"/>
  <c r="P10" i="19"/>
  <c r="O259" i="7"/>
  <c r="I14" i="7"/>
  <c r="T15" i="19"/>
  <c r="I19" i="7"/>
  <c r="T20" i="19"/>
  <c r="O252" i="7"/>
  <c r="V34" i="20"/>
  <c r="J14" i="19"/>
  <c r="I31" i="7"/>
  <c r="T32" i="19"/>
  <c r="J33" i="19"/>
  <c r="D33" i="7"/>
  <c r="J32" i="19"/>
  <c r="T36" i="20"/>
  <c r="V36" i="20" s="1"/>
  <c r="O248" i="7"/>
  <c r="O232" i="7"/>
  <c r="O260" i="7" s="1"/>
  <c r="J11" i="19"/>
  <c r="D31" i="7"/>
  <c r="T32" i="20"/>
  <c r="V39" i="19"/>
  <c r="V12" i="19"/>
  <c r="J23" i="19"/>
  <c r="V11" i="19"/>
  <c r="V18" i="20"/>
  <c r="J27" i="19"/>
  <c r="V27" i="19"/>
  <c r="O250" i="7"/>
  <c r="J39" i="19"/>
  <c r="G44" i="19"/>
  <c r="G45" i="19" s="1"/>
  <c r="AA88" i="18" s="1"/>
  <c r="G10" i="20"/>
  <c r="G44" i="20" s="1"/>
  <c r="G45" i="20" s="1"/>
  <c r="AA19" i="18" s="1"/>
  <c r="V23" i="19"/>
  <c r="V13" i="19"/>
  <c r="W13" i="19" s="1"/>
  <c r="V16" i="19"/>
  <c r="W16" i="19" s="1"/>
  <c r="V19" i="19"/>
  <c r="O28" i="20"/>
  <c r="N85" i="6"/>
  <c r="M10" i="19"/>
  <c r="T26" i="20"/>
  <c r="D12" i="7"/>
  <c r="T13" i="20"/>
  <c r="D13" i="7"/>
  <c r="T14" i="20"/>
  <c r="J37" i="19"/>
  <c r="J25" i="19"/>
  <c r="I25" i="7"/>
  <c r="T26" i="19"/>
  <c r="O21" i="21"/>
  <c r="AA34" i="18"/>
  <c r="V31" i="19"/>
  <c r="D40" i="7"/>
  <c r="T41" i="20"/>
  <c r="V40" i="19"/>
  <c r="W40" i="19" s="1"/>
  <c r="V22" i="19"/>
  <c r="J38" i="19"/>
  <c r="J12" i="19"/>
  <c r="D27" i="7"/>
  <c r="T28" i="20"/>
  <c r="D11" i="7"/>
  <c r="T12" i="20"/>
  <c r="I23" i="7"/>
  <c r="T24" i="19"/>
  <c r="I40" i="7"/>
  <c r="T41" i="19"/>
  <c r="V25" i="19"/>
  <c r="I20" i="7"/>
  <c r="T21" i="19"/>
  <c r="J21" i="19"/>
  <c r="AA255" i="7"/>
  <c r="U38" i="20" s="1"/>
  <c r="D17" i="7"/>
  <c r="AB300" i="7"/>
  <c r="Z227" i="7"/>
  <c r="Y227" i="7"/>
  <c r="U10" i="19"/>
  <c r="I13" i="7"/>
  <c r="T14" i="19"/>
  <c r="L10" i="20"/>
  <c r="L44" i="20" s="1"/>
  <c r="L45" i="20" s="1"/>
  <c r="AA27" i="18" s="1"/>
  <c r="L44" i="19"/>
  <c r="L45" i="19" s="1"/>
  <c r="AA94" i="18" s="1"/>
  <c r="Q44" i="20"/>
  <c r="Q45" i="20" s="1"/>
  <c r="AA44" i="18" s="1"/>
  <c r="D20" i="7"/>
  <c r="T21" i="20"/>
  <c r="T19" i="20"/>
  <c r="J41" i="19"/>
  <c r="J42" i="19"/>
  <c r="J35" i="19"/>
  <c r="T37" i="20"/>
  <c r="K85" i="6"/>
  <c r="F10" i="19"/>
  <c r="H10" i="19" s="1"/>
  <c r="M260" i="7"/>
  <c r="J30" i="19"/>
  <c r="J17" i="19"/>
  <c r="V30" i="19"/>
  <c r="T10" i="20"/>
  <c r="V35" i="19"/>
  <c r="O36" i="21"/>
  <c r="J20" i="19"/>
  <c r="I36" i="7"/>
  <c r="T37" i="19"/>
  <c r="N260" i="7"/>
  <c r="V29" i="20"/>
  <c r="AE29" i="20" s="1"/>
  <c r="V28" i="19"/>
  <c r="W28" i="19" s="1"/>
  <c r="Z243" i="7"/>
  <c r="Y243" i="7"/>
  <c r="U26" i="19"/>
  <c r="E44" i="19"/>
  <c r="E45" i="19" s="1"/>
  <c r="AA86" i="18" s="1"/>
  <c r="E10" i="20"/>
  <c r="AC217" i="7"/>
  <c r="F9" i="7"/>
  <c r="AE217" i="7"/>
  <c r="Q217" i="7"/>
  <c r="I217" i="7"/>
  <c r="D36" i="7" l="1"/>
  <c r="D35" i="7"/>
  <c r="D18" i="7"/>
  <c r="D19" i="7"/>
  <c r="AE18" i="20"/>
  <c r="D16" i="7"/>
  <c r="D10" i="7"/>
  <c r="I43" i="7"/>
  <c r="H44" i="19"/>
  <c r="V21" i="19"/>
  <c r="J17" i="20"/>
  <c r="O17" i="19"/>
  <c r="W17" i="19" s="1"/>
  <c r="O57" i="21"/>
  <c r="V13" i="20"/>
  <c r="AE13" i="20" s="1"/>
  <c r="J19" i="20"/>
  <c r="O19" i="19"/>
  <c r="W19" i="19" s="1"/>
  <c r="V22" i="20"/>
  <c r="J12" i="20"/>
  <c r="O12" i="19"/>
  <c r="W12" i="19" s="1"/>
  <c r="E44" i="20"/>
  <c r="E45" i="20" s="1"/>
  <c r="AA17" i="18" s="1"/>
  <c r="V19" i="20"/>
  <c r="V12" i="20"/>
  <c r="M44" i="19"/>
  <c r="M45" i="19" s="1"/>
  <c r="AA95" i="18" s="1"/>
  <c r="M10" i="20"/>
  <c r="M44" i="20" s="1"/>
  <c r="M45" i="20" s="1"/>
  <c r="AA28" i="18" s="1"/>
  <c r="J32" i="20"/>
  <c r="O32" i="19"/>
  <c r="D34" i="7"/>
  <c r="T35" i="20"/>
  <c r="O53" i="21"/>
  <c r="V26" i="19"/>
  <c r="O24" i="21"/>
  <c r="J11" i="20"/>
  <c r="O11" i="19"/>
  <c r="W11" i="19" s="1"/>
  <c r="O14" i="19"/>
  <c r="J14" i="20"/>
  <c r="V37" i="20"/>
  <c r="O40" i="21"/>
  <c r="V28" i="20"/>
  <c r="AE28" i="20" s="1"/>
  <c r="V33" i="19"/>
  <c r="V40" i="20"/>
  <c r="AE40" i="20" s="1"/>
  <c r="T44" i="19"/>
  <c r="T45" i="19" s="1"/>
  <c r="AA99" i="18" s="1"/>
  <c r="J39" i="20"/>
  <c r="O39" i="19"/>
  <c r="W39" i="19" s="1"/>
  <c r="J20" i="20"/>
  <c r="O20" i="19"/>
  <c r="J26" i="19"/>
  <c r="AA243" i="7"/>
  <c r="O42" i="19"/>
  <c r="W42" i="19" s="1"/>
  <c r="J42" i="20"/>
  <c r="V21" i="20"/>
  <c r="V14" i="19"/>
  <c r="J25" i="20"/>
  <c r="O25" i="19"/>
  <c r="W25" i="19" s="1"/>
  <c r="V32" i="20"/>
  <c r="V20" i="19"/>
  <c r="D41" i="7"/>
  <c r="T42" i="20"/>
  <c r="Z44" i="20"/>
  <c r="V17" i="20"/>
  <c r="D14" i="7"/>
  <c r="T15" i="20"/>
  <c r="P44" i="19"/>
  <c r="P45" i="19" s="1"/>
  <c r="AA103" i="18" s="1"/>
  <c r="V10" i="19"/>
  <c r="J22" i="20"/>
  <c r="O22" i="19"/>
  <c r="W22" i="19" s="1"/>
  <c r="W45" i="20"/>
  <c r="D23" i="7"/>
  <c r="T24" i="20"/>
  <c r="V36" i="19"/>
  <c r="J41" i="20"/>
  <c r="O41" i="19"/>
  <c r="U44" i="19"/>
  <c r="J10" i="19"/>
  <c r="V41" i="20"/>
  <c r="O27" i="19"/>
  <c r="W27" i="19" s="1"/>
  <c r="J27" i="20"/>
  <c r="D30" i="7"/>
  <c r="T31" i="20"/>
  <c r="V41" i="19"/>
  <c r="AA35" i="18"/>
  <c r="V39" i="20"/>
  <c r="V20" i="20"/>
  <c r="Z260" i="7"/>
  <c r="J37" i="20"/>
  <c r="O37" i="19"/>
  <c r="V15" i="19"/>
  <c r="J24" i="20"/>
  <c r="O24" i="19"/>
  <c r="J33" i="20"/>
  <c r="O33" i="19"/>
  <c r="J36" i="20"/>
  <c r="O36" i="19"/>
  <c r="V38" i="20"/>
  <c r="F10" i="20"/>
  <c r="F44" i="20" s="1"/>
  <c r="F45" i="20" s="1"/>
  <c r="AA18" i="18" s="1"/>
  <c r="F44" i="19"/>
  <c r="F45" i="19" s="1"/>
  <c r="AA87" i="18" s="1"/>
  <c r="J21" i="20"/>
  <c r="O21" i="19"/>
  <c r="Y260" i="7"/>
  <c r="AA227" i="7"/>
  <c r="O30" i="19"/>
  <c r="W30" i="19" s="1"/>
  <c r="J30" i="20"/>
  <c r="O38" i="19"/>
  <c r="W38" i="19" s="1"/>
  <c r="J38" i="20"/>
  <c r="V37" i="19"/>
  <c r="V14" i="20"/>
  <c r="O23" i="19"/>
  <c r="W23" i="19" s="1"/>
  <c r="J23" i="20"/>
  <c r="O15" i="19"/>
  <c r="J15" i="20"/>
  <c r="O31" i="19"/>
  <c r="W31" i="19" s="1"/>
  <c r="J31" i="20"/>
  <c r="D37" i="7"/>
  <c r="V16" i="20"/>
  <c r="AE16" i="20" s="1"/>
  <c r="J35" i="20"/>
  <c r="O35" i="19"/>
  <c r="W35" i="19" s="1"/>
  <c r="V24" i="19"/>
  <c r="D32" i="7"/>
  <c r="T33" i="20"/>
  <c r="V32" i="19"/>
  <c r="J34" i="20"/>
  <c r="O34" i="19"/>
  <c r="W34" i="19" s="1"/>
  <c r="F43" i="7"/>
  <c r="S10" i="20"/>
  <c r="W21" i="19" l="1"/>
  <c r="W33" i="19"/>
  <c r="W37" i="19"/>
  <c r="T44" i="20"/>
  <c r="T45" i="20" s="1"/>
  <c r="AA39" i="18" s="1"/>
  <c r="O52" i="21" s="1"/>
  <c r="O25" i="20"/>
  <c r="AE25" i="20" s="1"/>
  <c r="O20" i="20"/>
  <c r="AE20" i="20" s="1"/>
  <c r="V35" i="20"/>
  <c r="O14" i="20"/>
  <c r="AE14" i="20" s="1"/>
  <c r="W14" i="19"/>
  <c r="W32" i="19"/>
  <c r="O12" i="20"/>
  <c r="AE12" i="20" s="1"/>
  <c r="O39" i="20"/>
  <c r="AE39" i="20" s="1"/>
  <c r="O32" i="20"/>
  <c r="AE32" i="20" s="1"/>
  <c r="O23" i="20"/>
  <c r="AE23" i="20" s="1"/>
  <c r="O10" i="19"/>
  <c r="J44" i="19"/>
  <c r="J45" i="19" s="1"/>
  <c r="J10" i="20"/>
  <c r="O22" i="20"/>
  <c r="AE22" i="20" s="1"/>
  <c r="O25" i="21"/>
  <c r="U45" i="19"/>
  <c r="AA102" i="18" s="1"/>
  <c r="AA105" i="18" s="1"/>
  <c r="O11" i="20"/>
  <c r="AE11" i="20" s="1"/>
  <c r="AA89" i="18"/>
  <c r="O33" i="20"/>
  <c r="O31" i="20"/>
  <c r="W36" i="19"/>
  <c r="V31" i="20"/>
  <c r="AA260" i="7"/>
  <c r="U10" i="20"/>
  <c r="V10" i="20" s="1"/>
  <c r="D9" i="7"/>
  <c r="O36" i="20"/>
  <c r="AE36" i="20" s="1"/>
  <c r="O37" i="20"/>
  <c r="AE37" i="20" s="1"/>
  <c r="V24" i="20"/>
  <c r="V44" i="19"/>
  <c r="V45" i="19" s="1"/>
  <c r="O30" i="20"/>
  <c r="AE30" i="20" s="1"/>
  <c r="W24" i="19"/>
  <c r="Z45" i="20"/>
  <c r="AA45" i="18" s="1"/>
  <c r="O15" i="20"/>
  <c r="O38" i="20"/>
  <c r="AE38" i="20" s="1"/>
  <c r="O24" i="20"/>
  <c r="U26" i="20"/>
  <c r="D25" i="7"/>
  <c r="O37" i="21"/>
  <c r="O19" i="20"/>
  <c r="AE19" i="20" s="1"/>
  <c r="O17" i="20"/>
  <c r="AE17" i="20" s="1"/>
  <c r="H45" i="19"/>
  <c r="O35" i="20"/>
  <c r="O34" i="20"/>
  <c r="AE34" i="20" s="1"/>
  <c r="V33" i="20"/>
  <c r="W15" i="19"/>
  <c r="W41" i="19"/>
  <c r="V15" i="20"/>
  <c r="AE15" i="20" s="1"/>
  <c r="O26" i="19"/>
  <c r="W26" i="19" s="1"/>
  <c r="J26" i="20"/>
  <c r="P24" i="21"/>
  <c r="H10" i="20"/>
  <c r="H44" i="20" s="1"/>
  <c r="H45" i="20" s="1"/>
  <c r="O41" i="20"/>
  <c r="AE41" i="20" s="1"/>
  <c r="V42" i="20"/>
  <c r="O23" i="21"/>
  <c r="AA20" i="18"/>
  <c r="O21" i="20"/>
  <c r="AE21" i="20" s="1"/>
  <c r="O27" i="20"/>
  <c r="AE27" i="20" s="1"/>
  <c r="O42" i="20"/>
  <c r="W20" i="19"/>
  <c r="S44" i="20"/>
  <c r="S45" i="20" s="1"/>
  <c r="AA41" i="18" s="1"/>
  <c r="AE35" i="20" l="1"/>
  <c r="J44" i="20"/>
  <c r="J45" i="20" s="1"/>
  <c r="AA24" i="18" s="1"/>
  <c r="O10" i="20"/>
  <c r="AE10" i="20" s="1"/>
  <c r="O55" i="21"/>
  <c r="O45" i="19"/>
  <c r="W45" i="19" s="1"/>
  <c r="AA92" i="18"/>
  <c r="AE31" i="20"/>
  <c r="O44" i="19"/>
  <c r="W44" i="19" s="1"/>
  <c r="W10" i="19"/>
  <c r="D43" i="7"/>
  <c r="P25" i="21"/>
  <c r="U44" i="20"/>
  <c r="U45" i="20" s="1"/>
  <c r="AA42" i="18" s="1"/>
  <c r="AA46" i="18" s="1"/>
  <c r="P23" i="21"/>
  <c r="P21" i="21"/>
  <c r="P22" i="21"/>
  <c r="V26" i="20"/>
  <c r="AE42" i="20"/>
  <c r="AE24" i="20"/>
  <c r="AA21" i="18"/>
  <c r="O7" i="21"/>
  <c r="AM131" i="21"/>
  <c r="O26" i="20"/>
  <c r="AE33" i="20"/>
  <c r="O54" i="21"/>
  <c r="AE26" i="20" l="1"/>
  <c r="V44" i="20"/>
  <c r="V45" i="20" s="1"/>
  <c r="AA97" i="18"/>
  <c r="O44" i="20"/>
  <c r="O45" i="20" s="1"/>
  <c r="O35" i="21"/>
  <c r="AA31" i="18"/>
  <c r="P56" i="21"/>
  <c r="P55" i="21"/>
  <c r="P54" i="21"/>
  <c r="P53" i="21"/>
  <c r="P57" i="21"/>
  <c r="P52" i="21"/>
  <c r="AM134" i="21"/>
  <c r="O9" i="21"/>
  <c r="AA47" i="18"/>
  <c r="AA72" i="18"/>
  <c r="AE44" i="20" l="1"/>
  <c r="AE45" i="20" s="1"/>
  <c r="AA106" i="18"/>
  <c r="O8" i="21"/>
  <c r="P10" i="21" s="1"/>
  <c r="AM132" i="21"/>
  <c r="AM138" i="21" s="1"/>
  <c r="AA32" i="18"/>
  <c r="AA37" i="18"/>
  <c r="P35" i="21"/>
  <c r="P39" i="21"/>
  <c r="P38" i="21"/>
  <c r="P36" i="21"/>
  <c r="P40" i="21"/>
  <c r="P37" i="21"/>
  <c r="P7" i="21" l="1"/>
  <c r="P12" i="21"/>
  <c r="P11" i="21"/>
  <c r="P9" i="21"/>
  <c r="P8" i="21"/>
  <c r="AA65" i="18"/>
  <c r="AA73" i="18" l="1"/>
  <c r="AA71" i="18"/>
  <c r="AA66" i="18"/>
  <c r="AA67" i="18"/>
  <c r="L89" i="18" l="1"/>
  <c r="Y89" i="18"/>
  <c r="I89" i="18"/>
  <c r="I97" i="18"/>
  <c r="M89" i="18" l="1"/>
  <c r="I20" i="18"/>
  <c r="J20" i="18"/>
  <c r="L97" i="18"/>
  <c r="T89" i="18"/>
  <c r="N89" i="18"/>
  <c r="O89" i="18"/>
  <c r="S89" i="18"/>
  <c r="L20" i="18"/>
  <c r="Z97" i="18"/>
  <c r="M20" i="18"/>
  <c r="X89" i="18"/>
  <c r="W89" i="18"/>
  <c r="U89" i="18"/>
  <c r="K97" i="18"/>
  <c r="N97" i="18"/>
  <c r="V89" i="18"/>
  <c r="J97" i="18"/>
  <c r="J89" i="18"/>
  <c r="Z89" i="18"/>
  <c r="Z106" i="18" s="1"/>
  <c r="I106" i="18"/>
  <c r="M97" i="18"/>
  <c r="P89" i="18"/>
  <c r="R89" i="18"/>
  <c r="K89" i="18"/>
  <c r="K106" i="18" s="1"/>
  <c r="Q89" i="18"/>
  <c r="X20" i="18"/>
  <c r="L106" i="18"/>
  <c r="T97" i="18" l="1"/>
  <c r="Y97" i="18"/>
  <c r="Y106" i="18" s="1"/>
  <c r="X21" i="18"/>
  <c r="AJ131" i="21"/>
  <c r="X72" i="18"/>
  <c r="W106" i="18"/>
  <c r="V97" i="18"/>
  <c r="J21" i="18"/>
  <c r="J72" i="18"/>
  <c r="V131" i="21"/>
  <c r="W97" i="18"/>
  <c r="I21" i="18"/>
  <c r="I72" i="18"/>
  <c r="U131" i="21"/>
  <c r="L31" i="18"/>
  <c r="Q97" i="18"/>
  <c r="K20" i="18"/>
  <c r="V106" i="18"/>
  <c r="Q106" i="18"/>
  <c r="U97" i="18"/>
  <c r="U106" i="18" s="1"/>
  <c r="M31" i="18"/>
  <c r="I31" i="18"/>
  <c r="I37" i="18" s="1"/>
  <c r="I65" i="18" s="1"/>
  <c r="K31" i="18"/>
  <c r="Q20" i="18"/>
  <c r="M106" i="18"/>
  <c r="X97" i="18"/>
  <c r="W20" i="18"/>
  <c r="R20" i="18"/>
  <c r="T20" i="18"/>
  <c r="X106" i="18"/>
  <c r="L37" i="18"/>
  <c r="L65" i="18" s="1"/>
  <c r="X131" i="21"/>
  <c r="L21" i="18"/>
  <c r="L72" i="18"/>
  <c r="N106" i="18"/>
  <c r="U20" i="18"/>
  <c r="S20" i="18"/>
  <c r="J31" i="18"/>
  <c r="J106" i="18"/>
  <c r="O97" i="18"/>
  <c r="O106" i="18" s="1"/>
  <c r="Y20" i="18"/>
  <c r="P97" i="18"/>
  <c r="P106" i="18" s="1"/>
  <c r="P20" i="18"/>
  <c r="T106" i="18"/>
  <c r="Y131" i="21"/>
  <c r="M37" i="18"/>
  <c r="M65" i="18" s="1"/>
  <c r="M21" i="18"/>
  <c r="M72" i="18"/>
  <c r="R97" i="18"/>
  <c r="R106" i="18" s="1"/>
  <c r="S97" i="18"/>
  <c r="S106" i="18" s="1"/>
  <c r="I66" i="18" l="1"/>
  <c r="I67" i="18"/>
  <c r="I71" i="18"/>
  <c r="I73" i="18"/>
  <c r="Q31" i="18"/>
  <c r="X31" i="18"/>
  <c r="N31" i="18"/>
  <c r="U31" i="18"/>
  <c r="V20" i="18"/>
  <c r="T21" i="18"/>
  <c r="T72" i="18"/>
  <c r="AF131" i="21"/>
  <c r="O31" i="18"/>
  <c r="V132" i="21"/>
  <c r="V138" i="21" s="1"/>
  <c r="J32" i="18"/>
  <c r="W132" i="21"/>
  <c r="K32" i="18"/>
  <c r="T31" i="18"/>
  <c r="T37" i="18" s="1"/>
  <c r="T65" i="18" s="1"/>
  <c r="N20" i="18"/>
  <c r="R31" i="18"/>
  <c r="R37" i="18" s="1"/>
  <c r="R65" i="18" s="1"/>
  <c r="Z31" i="18"/>
  <c r="K21" i="18"/>
  <c r="W131" i="21"/>
  <c r="W138" i="21" s="1"/>
  <c r="K72" i="18"/>
  <c r="K37" i="18"/>
  <c r="K65" i="18" s="1"/>
  <c r="S31" i="18"/>
  <c r="S37" i="18" s="1"/>
  <c r="S65" i="18" s="1"/>
  <c r="M71" i="18"/>
  <c r="M66" i="18"/>
  <c r="M67" i="18"/>
  <c r="M73" i="18"/>
  <c r="U72" i="18"/>
  <c r="AG131" i="21"/>
  <c r="U21" i="18"/>
  <c r="V31" i="18"/>
  <c r="U132" i="21"/>
  <c r="U138" i="21" s="1"/>
  <c r="I32" i="18"/>
  <c r="R72" i="18"/>
  <c r="AD131" i="21"/>
  <c r="R21" i="18"/>
  <c r="Q72" i="18"/>
  <c r="AC131" i="21"/>
  <c r="Q37" i="18"/>
  <c r="Q65" i="18" s="1"/>
  <c r="Q21" i="18"/>
  <c r="J37" i="18"/>
  <c r="J65" i="18" s="1"/>
  <c r="Y138" i="21"/>
  <c r="Z20" i="18"/>
  <c r="Y72" i="18"/>
  <c r="AK131" i="21"/>
  <c r="Y21" i="18"/>
  <c r="Y132" i="21"/>
  <c r="M32" i="18"/>
  <c r="W31" i="18"/>
  <c r="W37" i="18" s="1"/>
  <c r="W65" i="18" s="1"/>
  <c r="L71" i="18"/>
  <c r="L66" i="18"/>
  <c r="L67" i="18"/>
  <c r="L73" i="18"/>
  <c r="W21" i="18"/>
  <c r="W72" i="18"/>
  <c r="AI131" i="21"/>
  <c r="O20" i="18"/>
  <c r="Y31" i="18"/>
  <c r="X132" i="21"/>
  <c r="X138" i="21" s="1"/>
  <c r="L32" i="18"/>
  <c r="P72" i="18"/>
  <c r="P21" i="18"/>
  <c r="AB131" i="21"/>
  <c r="S21" i="18"/>
  <c r="AE131" i="21"/>
  <c r="S72" i="18"/>
  <c r="P31" i="18"/>
  <c r="P37" i="18" s="1"/>
  <c r="P65" i="18" s="1"/>
  <c r="S66" i="18" l="1"/>
  <c r="S73" i="18"/>
  <c r="S67" i="18"/>
  <c r="S71" i="18"/>
  <c r="S70" i="18"/>
  <c r="AA70" i="18"/>
  <c r="AG132" i="21"/>
  <c r="U32" i="18"/>
  <c r="U37" i="18"/>
  <c r="U65" i="18" s="1"/>
  <c r="P73" i="18"/>
  <c r="P67" i="18"/>
  <c r="P66" i="18"/>
  <c r="P71" i="18"/>
  <c r="T66" i="18"/>
  <c r="T70" i="18"/>
  <c r="T71" i="18"/>
  <c r="T73" i="18"/>
  <c r="T67" i="18"/>
  <c r="R71" i="18"/>
  <c r="R66" i="18"/>
  <c r="R73" i="18"/>
  <c r="R67" i="18"/>
  <c r="AI132" i="21"/>
  <c r="W32" i="18"/>
  <c r="Z37" i="18"/>
  <c r="Z65" i="18" s="1"/>
  <c r="Z21" i="18"/>
  <c r="AL131" i="21"/>
  <c r="Z72" i="18"/>
  <c r="Q71" i="18"/>
  <c r="Q66" i="18"/>
  <c r="Q67" i="18"/>
  <c r="Q73" i="18"/>
  <c r="AG138" i="21"/>
  <c r="N32" i="18"/>
  <c r="Z132" i="21"/>
  <c r="Y32" i="18"/>
  <c r="AK132" i="21"/>
  <c r="T32" i="18"/>
  <c r="AF132" i="21"/>
  <c r="AJ132" i="21"/>
  <c r="AJ138" i="21" s="1"/>
  <c r="X32" i="18"/>
  <c r="X37" i="18"/>
  <c r="X65" i="18" s="1"/>
  <c r="S32" i="18"/>
  <c r="AE132" i="21"/>
  <c r="AE138" i="21" s="1"/>
  <c r="O21" i="18"/>
  <c r="O72" i="18"/>
  <c r="AA131" i="21"/>
  <c r="AA138" i="21" s="1"/>
  <c r="O37" i="18"/>
  <c r="O65" i="18" s="1"/>
  <c r="K67" i="18"/>
  <c r="K71" i="18"/>
  <c r="K66" i="18"/>
  <c r="K73" i="18"/>
  <c r="W73" i="18"/>
  <c r="W71" i="18"/>
  <c r="W70" i="18"/>
  <c r="W67" i="18"/>
  <c r="W66" i="18"/>
  <c r="AI138" i="21"/>
  <c r="AL132" i="21"/>
  <c r="Z32" i="18"/>
  <c r="V37" i="18"/>
  <c r="V65" i="18" s="1"/>
  <c r="V21" i="18"/>
  <c r="V72" i="18"/>
  <c r="AH131" i="21"/>
  <c r="AK138" i="21"/>
  <c r="AB132" i="21"/>
  <c r="AB138" i="21" s="1"/>
  <c r="P32" i="18"/>
  <c r="AF138" i="21"/>
  <c r="AC132" i="21"/>
  <c r="AC138" i="21" s="1"/>
  <c r="Q32" i="18"/>
  <c r="AH132" i="21"/>
  <c r="V32" i="18"/>
  <c r="R32" i="18"/>
  <c r="AD132" i="21"/>
  <c r="AD138" i="21" s="1"/>
  <c r="N21" i="18"/>
  <c r="Z131" i="21"/>
  <c r="Z138" i="21" s="1"/>
  <c r="N72" i="18"/>
  <c r="N37" i="18"/>
  <c r="N65" i="18" s="1"/>
  <c r="AA132" i="21"/>
  <c r="O32" i="18"/>
  <c r="Y37" i="18"/>
  <c r="Y65" i="18" s="1"/>
  <c r="J73" i="18"/>
  <c r="J71" i="18"/>
  <c r="J66" i="18"/>
  <c r="J67" i="18"/>
  <c r="U73" i="18" l="1"/>
  <c r="U66" i="18"/>
  <c r="U67" i="18"/>
  <c r="U70" i="18"/>
  <c r="U71" i="18"/>
  <c r="Y67" i="18"/>
  <c r="Y66" i="18"/>
  <c r="Y73" i="18"/>
  <c r="Y70" i="18"/>
  <c r="Y71" i="18"/>
  <c r="O73" i="18"/>
  <c r="O66" i="18"/>
  <c r="O67" i="18"/>
  <c r="O71" i="18"/>
  <c r="AH138" i="21"/>
  <c r="AL138" i="21"/>
  <c r="N67" i="18"/>
  <c r="N66" i="18"/>
  <c r="N71" i="18"/>
  <c r="N73" i="18"/>
  <c r="V66" i="18"/>
  <c r="V70" i="18"/>
  <c r="V73" i="18"/>
  <c r="V71" i="18"/>
  <c r="V67" i="18"/>
  <c r="Z67" i="18"/>
  <c r="Z71" i="18"/>
  <c r="Z66" i="18"/>
  <c r="Z73" i="18"/>
  <c r="Z70" i="18"/>
  <c r="X71" i="18"/>
  <c r="X70" i="18"/>
  <c r="X66" i="18"/>
  <c r="X67" i="18"/>
  <c r="X73"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Doust</author>
    <author>Martha Dillon</author>
    <author>Marili Boufounou</author>
  </authors>
  <commentList>
    <comment ref="I12" authorId="0" shapeId="0" xr:uid="{00000000-0006-0000-0300-000003000000}">
      <text>
        <r>
          <rPr>
            <sz val="9"/>
            <color indexed="81"/>
            <rFont val="Calibri"/>
            <family val="2"/>
          </rPr>
          <t>DESNZ energy consumption data has been used for 2005-2022, including revised figures for historic years 2005-2021, both consumption and fugitive. Historic gas consumption has been updated for 2015-21 only due to data availability.</t>
        </r>
      </text>
    </comment>
    <comment ref="B14" authorId="1" shapeId="0" xr:uid="{F671C166-36E7-4D59-A1D9-C6E567896B39}">
      <text>
        <r>
          <rPr>
            <sz val="9"/>
            <color indexed="81"/>
            <rFont val="Tahoma"/>
            <family val="2"/>
          </rPr>
          <t>Gas data is weather-corrected from 1990-2014. Non-weather corrected data is unavailable but has a minor impact on overall trends.</t>
        </r>
      </text>
    </comment>
    <comment ref="B23" authorId="1" shapeId="0" xr:uid="{1A3B05DA-27A7-430F-B5C1-1157896BE7DD}">
      <text>
        <r>
          <rPr>
            <sz val="9"/>
            <color indexed="81"/>
            <rFont val="Tahoma"/>
            <family val="2"/>
          </rPr>
          <t>Gas data is weather-corrected from 1990-2014. Non-weather corrected data is unavailable from DESNZ but has a minor impact on overall trends.</t>
        </r>
      </text>
    </comment>
    <comment ref="B33" authorId="2" shapeId="0" xr:uid="{9D418E26-C600-42C3-A1B2-AA605B3097C2}">
      <text>
        <r>
          <rPr>
            <b/>
            <sz val="9"/>
            <color indexed="81"/>
            <rFont val="Tahoma"/>
            <family val="2"/>
          </rPr>
          <t>Marili Boufounou:</t>
        </r>
        <r>
          <rPr>
            <sz val="9"/>
            <color indexed="81"/>
            <rFont val="Tahoma"/>
            <family val="2"/>
          </rPr>
          <t xml:space="preserve">
Pending update</t>
        </r>
      </text>
    </comment>
    <comment ref="B44" authorId="1" shapeId="0" xr:uid="{829B16C1-653A-4139-AD39-4992694D32C8}">
      <text>
        <r>
          <rPr>
            <b/>
            <sz val="9"/>
            <color indexed="81"/>
            <rFont val="Tahoma"/>
            <family val="2"/>
          </rPr>
          <t>Shipping data collection methodology changed in 2021</t>
        </r>
      </text>
    </comment>
    <comment ref="B84" authorId="1" shapeId="0" xr:uid="{E47870A4-FD74-4622-89D0-9344C0585D8F}">
      <text>
        <r>
          <rPr>
            <sz val="9"/>
            <color indexed="81"/>
            <rFont val="Tahoma"/>
            <family val="2"/>
          </rPr>
          <t>Gas data is weather-corrected from 1990-2014. Non-weather corrected data is unavailable but has a minor impact on overall trends.</t>
        </r>
      </text>
    </comment>
    <comment ref="B91" authorId="1" shapeId="0" xr:uid="{D9CAC72F-99B9-4B0A-9894-0FC6EE9EE0FD}">
      <text>
        <r>
          <rPr>
            <sz val="9"/>
            <color indexed="81"/>
            <rFont val="Tahoma"/>
            <family val="2"/>
          </rPr>
          <t>Gas data is weather-corrected from 1990-2014. Non-weather corrected data is unavailable but has a minor impact on overall trends.</t>
        </r>
      </text>
    </comment>
    <comment ref="B101" authorId="0" shapeId="0" xr:uid="{00000000-0006-0000-0300-000004000000}">
      <text>
        <r>
          <rPr>
            <b/>
            <sz val="9"/>
            <color indexed="81"/>
            <rFont val="Tahoma"/>
            <family val="2"/>
          </rPr>
          <t>Included in Industrial and Commercial up to 2010</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Bramwell, Rebekah</author>
    <author>Rebekah Watson</author>
    <author>Karagianni, Eirini</author>
    <author>Jones, Luke</author>
  </authors>
  <commentList>
    <comment ref="E8" authorId="0" shapeId="0" xr:uid="{00000000-0006-0000-0E00-000005000000}">
      <text>
        <r>
          <rPr>
            <b/>
            <sz val="8"/>
            <rFont val="Tahoma"/>
            <family val="2"/>
          </rPr>
          <t>kg CO₂e per unit</t>
        </r>
      </text>
    </comment>
    <comment ref="F8" authorId="0" shapeId="0" xr:uid="{00000000-0006-0000-0E00-000006000000}">
      <text>
        <r>
          <rPr>
            <b/>
            <sz val="8"/>
            <rFont val="Tahoma"/>
            <family val="2"/>
          </rPr>
          <t>kg CO₂e of CO₂ per unit</t>
        </r>
      </text>
    </comment>
    <comment ref="G8" authorId="0" shapeId="0" xr:uid="{00000000-0006-0000-0E00-000007000000}">
      <text>
        <r>
          <rPr>
            <b/>
            <sz val="8"/>
            <rFont val="Tahoma"/>
            <family val="2"/>
          </rPr>
          <t>kg CO₂e of CH₄ per unit</t>
        </r>
      </text>
    </comment>
    <comment ref="H8" authorId="0" shapeId="0" xr:uid="{00000000-0006-0000-0E00-000008000000}">
      <text>
        <r>
          <rPr>
            <b/>
            <sz val="8"/>
            <rFont val="Tahoma"/>
            <family val="2"/>
          </rPr>
          <t>kg CO₂e of N₂O per unit</t>
        </r>
      </text>
    </comment>
    <comment ref="C9" authorId="0" shapeId="0" xr:uid="{00000000-0006-0000-0E00-000009000000}">
      <text>
        <r>
          <rPr>
            <b/>
            <sz val="8"/>
            <rFont val="Tahoma"/>
            <family val="2"/>
          </rPr>
          <t>Compressed natural gas - a compressed version of the same natural gas used in homes. Stored in cylinders for use as an alternative transport fuel.</t>
        </r>
      </text>
    </comment>
    <comment ref="C13" authorId="0" shapeId="0" xr:uid="{00000000-0006-0000-0E00-00000A000000}">
      <text>
        <r>
          <rPr>
            <b/>
            <sz val="8"/>
            <rFont val="Tahoma"/>
            <family val="2"/>
          </rPr>
          <t xml:space="preserve">Liquefied natural gas- in a liquid state, this is the easiest way to transport gas in tankers (truck or ship). It can be used as an alternative transport fuel.
</t>
        </r>
      </text>
    </comment>
    <comment ref="C17" authorId="0" shapeId="0" xr:uid="{00000000-0006-0000-0E00-00000B000000}">
      <text>
        <r>
          <rPr>
            <b/>
            <sz val="8"/>
            <rFont val="Tahoma"/>
            <family val="2"/>
          </rPr>
          <t>Liquid petroleum gas - used to power cooking stoves or heaters off-grid and fuel some vehicles (such as fork-lift trucks and vans).</t>
        </r>
      </text>
    </comment>
    <comment ref="C21" authorId="0" shapeId="0" xr:uid="{00000000-0006-0000-0E00-00000C000000}">
      <text>
        <r>
          <rPr>
            <b/>
            <sz val="8"/>
            <rFont val="Tahoma"/>
            <family val="2"/>
          </rPr>
          <t>Standard natural gas received through the gas mains grid network in the UK. Note - contains limited biogas content.</t>
        </r>
      </text>
    </comment>
    <comment ref="C25" authorId="1" shapeId="0" xr:uid="{00000000-0006-0000-0E00-00000D000000}">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C29" authorId="0" shapeId="0" xr:uid="{00000000-0006-0000-0E00-00000E000000}">
      <text>
        <r>
          <rPr>
            <b/>
            <sz val="8"/>
            <rFont val="Tahoma"/>
            <family val="2"/>
          </rPr>
          <t>Consists mainly of ethane, plus other hydrocarbons, (excludes butane and propane).</t>
        </r>
      </text>
    </comment>
    <comment ref="C33" authorId="0" shapeId="0" xr:uid="{00000000-0006-0000-0E00-000017000000}">
      <text>
        <r>
          <rPr>
            <b/>
            <sz val="8"/>
            <rFont val="Tahoma"/>
            <family val="2"/>
          </rPr>
          <t>Fuel for piston-engined aircraft - a high octane petrol (aka AVGAS).</t>
        </r>
      </text>
    </comment>
    <comment ref="C37" authorId="0" shapeId="0" xr:uid="{00000000-0006-0000-0E00-000018000000}">
      <text>
        <r>
          <rPr>
            <b/>
            <sz val="8"/>
            <rFont val="Tahoma"/>
            <family val="2"/>
          </rPr>
          <t>Fuel for turbo-prop aircraft and jets (aka jet fuel). Similar to kerosene used as a heating fuel, but refined to a higher quality.</t>
        </r>
      </text>
    </comment>
    <comment ref="C41" authorId="0" shapeId="0" xr:uid="{00000000-0006-0000-0E00-000019000000}">
      <text>
        <r>
          <rPr>
            <b/>
            <sz val="8"/>
            <rFont val="Tahoma"/>
            <family val="2"/>
          </rPr>
          <t>Main purpose is for heating/lighting on a domestic scale (also known as kerosene).</t>
        </r>
      </text>
    </comment>
    <comment ref="C45" authorId="0" shapeId="0" xr:uid="{00000000-0006-0000-0E00-00001A000000}">
      <text>
        <r>
          <rPr>
            <b/>
            <sz val="8"/>
            <rFont val="Tahoma"/>
            <family val="2"/>
          </rPr>
          <t>Standard diesel bought from any local filling station (across the board forecourt fuel typically contains biofuel content).</t>
        </r>
      </text>
    </comment>
    <comment ref="C49" authorId="0" shapeId="0" xr:uid="{00000000-0006-0000-0E00-00001B000000}">
      <text>
        <r>
          <rPr>
            <b/>
            <sz val="8"/>
            <rFont val="Tahoma"/>
            <family val="2"/>
          </rPr>
          <t>Diesel that has not been blended with biofuel (non-forecourt diesel).</t>
        </r>
      </text>
    </comment>
    <comment ref="C53" authorId="0" shapeId="0" xr:uid="{00000000-0006-0000-0E00-00001C000000}">
      <text>
        <r>
          <rPr>
            <b/>
            <sz val="8"/>
            <rFont val="Tahoma"/>
            <family val="2"/>
          </rPr>
          <t>Heavy oil used as fuel in furnaces and boilers of power stations, in industry, for industrial heating and in ships.</t>
        </r>
      </text>
    </comment>
    <comment ref="C57" authorId="0" shapeId="0" xr:uid="{00000000-0006-0000-0E00-00001D000000}">
      <text>
        <r>
          <rPr>
            <b/>
            <sz val="8"/>
            <rFont val="Tahoma"/>
            <family val="2"/>
          </rPr>
          <t>Medium oil used in diesel engines and heating systems (also known as red diesel).</t>
        </r>
      </text>
    </comment>
    <comment ref="C61" authorId="2" shapeId="0" xr:uid="{00000000-0006-0000-0E00-00001E000000}">
      <text>
        <r>
          <rPr>
            <b/>
            <sz val="8"/>
            <color indexed="81"/>
            <rFont val="Tahoma"/>
            <family val="2"/>
          </rPr>
          <t>Waste petroleum-based lubricating oils recovered for use as fuels</t>
        </r>
      </text>
    </comment>
    <comment ref="C65" authorId="0" shapeId="0" xr:uid="{00000000-0006-0000-0E00-00001F000000}">
      <text>
        <r>
          <rPr>
            <b/>
            <sz val="8"/>
            <rFont val="Tahoma"/>
            <family val="2"/>
          </rPr>
          <t>A product of crude oil refining - often used as a solvent.</t>
        </r>
      </text>
    </comment>
    <comment ref="C69" authorId="0" shapeId="0" xr:uid="{00000000-0006-0000-0E00-000020000000}">
      <text>
        <r>
          <rPr>
            <b/>
            <sz val="8"/>
            <rFont val="Tahoma"/>
            <family val="2"/>
          </rPr>
          <t>Standard petrol bought from any local filling station (across the board forecourt fuel typically contains biofuel content).</t>
        </r>
      </text>
    </comment>
    <comment ref="C73" authorId="0" shapeId="0" xr:uid="{00000000-0006-0000-0E00-000021000000}">
      <text>
        <r>
          <rPr>
            <b/>
            <sz val="8"/>
            <rFont val="Tahoma"/>
            <family val="2"/>
          </rPr>
          <t>Petrol that has not been blended with biofuel (non forecourt petrol).</t>
        </r>
      </text>
    </comment>
    <comment ref="C77" authorId="0" shapeId="0" xr:uid="{00000000-0006-0000-0E00-000022000000}">
      <text>
        <r>
          <rPr>
            <b/>
            <sz val="8"/>
            <rFont val="Tahoma"/>
            <family val="2"/>
          </rPr>
          <t>Waste oils meeting the 'residual' oil definition contained in the 'Processed Fuel Oil Quality Protocol'.</t>
        </r>
      </text>
    </comment>
    <comment ref="C81" authorId="0" shapeId="0" xr:uid="{00000000-0006-0000-0E00-000023000000}">
      <text>
        <r>
          <rPr>
            <b/>
            <sz val="8"/>
            <rFont val="Tahoma"/>
            <family val="2"/>
          </rPr>
          <t>Waste oils meeting the 'distillate' oil definition contained in the 'Processed Fuel Oil Quality Protocol'.</t>
        </r>
      </text>
    </comment>
    <comment ref="C85" authorId="2" shapeId="0" xr:uid="{00000000-0006-0000-0E00-000024000000}">
      <text>
        <r>
          <rPr>
            <b/>
            <sz val="8"/>
            <color indexed="81"/>
            <rFont val="Tahoma"/>
            <family val="2"/>
          </rPr>
          <t>Includes aromatic extracts, defoament solvents and other minor miscellaneous products</t>
        </r>
        <r>
          <rPr>
            <sz val="9"/>
            <color indexed="81"/>
            <rFont val="Tahoma"/>
            <family val="2"/>
          </rPr>
          <t xml:space="preserve">
</t>
        </r>
      </text>
    </comment>
    <comment ref="C89" authorId="0" shapeId="0" xr:uid="{00000000-0006-0000-0E00-000026000000}">
      <text>
        <r>
          <rPr>
            <b/>
            <sz val="8"/>
            <rFont val="Tahoma"/>
            <family val="2"/>
          </rPr>
          <t>Recycled oils outside of the 'Processed Fuel Oil Quality Protocol' definitions.</t>
        </r>
      </text>
    </comment>
    <comment ref="C93" authorId="0" shapeId="0" xr:uid="{00000000-0006-0000-0E00-000028000000}">
      <text>
        <r>
          <rPr>
            <b/>
            <sz val="8"/>
            <rFont val="Tahoma"/>
            <family val="2"/>
          </rPr>
          <t>Distillate fuels are commonly called "Marine gas oil". Distillate fuel is composed of petroleum fractions of crude oil that are separated in a refinery by a boiling or "distillation" process.</t>
        </r>
      </text>
    </comment>
    <comment ref="C97" authorId="0" shapeId="0" xr:uid="{00000000-0006-0000-0E00-000029000000}">
      <text>
        <r>
          <rPr>
            <b/>
            <sz val="8"/>
            <rFont val="Tahoma"/>
            <family val="2"/>
          </rPr>
          <t>Residual fuels are called "Marine fuel oil". Residual fuel or "residuum" is the fraction that did not boil, sometimes referred to as "tar" or "petroleum pitch".</t>
        </r>
      </text>
    </comment>
    <comment ref="C101" authorId="0" shapeId="0" xr:uid="{00000000-0006-0000-0E00-00002E000000}">
      <text>
        <r>
          <rPr>
            <b/>
            <sz val="8"/>
            <rFont val="Tahoma"/>
            <family val="2"/>
          </rPr>
          <t>Coal used in sources other than power stations and domestic use.</t>
        </r>
      </text>
    </comment>
    <comment ref="C104" authorId="0" shapeId="0" xr:uid="{00000000-0006-0000-0E00-00002F000000}">
      <text>
        <r>
          <rPr>
            <b/>
            <sz val="8"/>
            <rFont val="Tahoma"/>
            <family val="2"/>
          </rPr>
          <t>Coal used in power stations to generate electricity.</t>
        </r>
      </text>
    </comment>
    <comment ref="C107" authorId="0" shapeId="0" xr:uid="{00000000-0006-0000-0E00-000030000000}">
      <text>
        <r>
          <rPr>
            <b/>
            <sz val="8"/>
            <rFont val="Tahoma"/>
            <family val="2"/>
          </rPr>
          <t>Coal used domestically.</t>
        </r>
      </text>
    </comment>
    <comment ref="C110" authorId="0" shapeId="0" xr:uid="{00000000-0006-0000-0E00-000031000000}">
      <text>
        <r>
          <rPr>
            <b/>
            <sz val="8"/>
            <rFont val="Tahoma"/>
            <family val="2"/>
          </rPr>
          <t>Coke may be used as a heating fuel and as a reducing agent in a blast furnace.</t>
        </r>
      </text>
    </comment>
    <comment ref="C113" authorId="0" shapeId="0" xr:uid="{00000000-0006-0000-0E00-000032000000}">
      <text>
        <r>
          <rPr>
            <b/>
            <sz val="8"/>
            <rFont val="Tahoma"/>
            <family val="2"/>
          </rPr>
          <t>Normally used in cement manufacture and power plants.</t>
        </r>
      </text>
    </comment>
    <comment ref="C116" authorId="0" shapeId="0" xr:uid="{00000000-0006-0000-0E00-000033000000}">
      <text>
        <r>
          <rPr>
            <b/>
            <sz val="8"/>
            <rFont val="Tahoma"/>
            <family val="2"/>
          </rPr>
          <t>Coal used in power stations to generate electricity (only for coal produced in the UK).</t>
        </r>
      </text>
    </comment>
    <comment ref="E122" authorId="0" shapeId="0" xr:uid="{00000000-0006-0000-0E00-000038000000}">
      <text>
        <r>
          <rPr>
            <b/>
            <sz val="8"/>
            <rFont val="Tahoma"/>
            <family val="2"/>
          </rPr>
          <t>kg CO₂e per unit</t>
        </r>
      </text>
    </comment>
    <comment ref="F122" authorId="0" shapeId="0" xr:uid="{00000000-0006-0000-0E00-000039000000}">
      <text>
        <r>
          <rPr>
            <b/>
            <sz val="8"/>
            <rFont val="Tahoma"/>
            <family val="2"/>
          </rPr>
          <t>kg CO₂e of CO₂ per unit</t>
        </r>
      </text>
    </comment>
    <comment ref="G122" authorId="0" shapeId="0" xr:uid="{00000000-0006-0000-0E00-00003A000000}">
      <text>
        <r>
          <rPr>
            <b/>
            <sz val="8"/>
            <rFont val="Tahoma"/>
            <family val="2"/>
          </rPr>
          <t>kg CO₂e of CH₄ per unit</t>
        </r>
      </text>
    </comment>
    <comment ref="H122" authorId="0" shapeId="0" xr:uid="{00000000-0006-0000-0E00-00003B000000}">
      <text>
        <r>
          <rPr>
            <b/>
            <sz val="8"/>
            <rFont val="Tahoma"/>
            <family val="2"/>
          </rPr>
          <t>kg CO₂e of N₂O per unit</t>
        </r>
      </text>
    </comment>
    <comment ref="B123" authorId="0" shapeId="0" xr:uid="{00000000-0006-0000-0E00-00003C000000}">
      <text>
        <r>
          <rPr>
            <b/>
            <sz val="8"/>
            <rFont val="Tahoma"/>
            <family val="2"/>
          </rPr>
          <t>Emissions associated with the generation of electricity at a power station.  Electricity generation factors do not include transmission and distribution.</t>
        </r>
      </text>
    </comment>
    <comment ref="B124" authorId="0" shapeId="0" xr:uid="{00000000-0006-0000-0E00-000045000000}">
      <text>
        <r>
          <rPr>
            <b/>
            <sz val="8"/>
            <rFont val="Tahoma"/>
            <family val="2"/>
          </rPr>
          <t>Emissions impact of the efficiency losses experienced in getting electricity from the power plant to the end user.</t>
        </r>
      </text>
    </comment>
    <comment ref="D129" authorId="0" shapeId="0" xr:uid="{00000000-0006-0000-0E00-000047000000}">
      <text>
        <r>
          <rPr>
            <b/>
            <sz val="8"/>
            <rFont val="Tahoma"/>
            <family val="2"/>
          </rPr>
          <t>kg CO₂e per unit</t>
        </r>
      </text>
    </comment>
    <comment ref="B134" authorId="0" shapeId="0" xr:uid="{00000000-0006-0000-0E00-000048000000}">
      <text>
        <r>
          <rPr>
            <b/>
            <sz val="8"/>
            <rFont val="Tahoma"/>
            <family val="2"/>
          </rPr>
          <t>Compressed low quality wood (such as sawdust and shavings) made into pellet form.</t>
        </r>
      </text>
    </comment>
    <comment ref="B245" authorId="3" shapeId="0" xr:uid="{00000000-0006-0000-0E00-000025000000}">
      <text>
        <r>
          <rPr>
            <b/>
            <sz val="9"/>
            <color indexed="81"/>
            <rFont val="Tahoma"/>
            <family val="2"/>
          </rPr>
          <t>Standard natural gas received through the gas mains grid network in the UK. Note - contains limited biogas content.</t>
        </r>
      </text>
    </comment>
    <comment ref="B246" authorId="4" shapeId="0" xr:uid="{00000000-0006-0000-0E00-000027000000}">
      <text>
        <r>
          <rPr>
            <sz val="9"/>
            <color indexed="81"/>
            <rFont val="Tahoma"/>
            <family val="2"/>
          </rPr>
          <t>Standard natural gas received through the gas mains grid network in the UK. Note - contains limited biogas content</t>
        </r>
      </text>
    </comment>
  </commentList>
</comments>
</file>

<file path=xl/sharedStrings.xml><?xml version="1.0" encoding="utf-8"?>
<sst xmlns="http://schemas.openxmlformats.org/spreadsheetml/2006/main" count="2747" uniqueCount="843">
  <si>
    <t>London Energy and Greenhouse Gas Inventory (LEGGI), 2023</t>
  </si>
  <si>
    <t>Introduction</t>
  </si>
  <si>
    <t>LEGGI provides an estimate of energy consumption and GHG emissions for the Greater London area. It is produced by the Greater London Authority.</t>
  </si>
  <si>
    <t>Emission Sectors</t>
  </si>
  <si>
    <t>LEGGI provides estimates for greenhouse gases from the following sectors:
I. Stationary energy
II. Transport
III. Waste
IV. Industrial processes and product use (IPPU)
V. Agriculture, forestry, and other land use (AFOLU)</t>
  </si>
  <si>
    <t>Greenhouse gases</t>
  </si>
  <si>
    <r>
      <t>LEGGI estimates emissions in London of the following greenhouse gases (GHGs):
• Carbon dioxide (CO</t>
    </r>
    <r>
      <rPr>
        <vertAlign val="subscript"/>
        <sz val="11"/>
        <color theme="1"/>
        <rFont val="Calibri"/>
        <family val="2"/>
        <scheme val="minor"/>
      </rPr>
      <t>2</t>
    </r>
    <r>
      <rPr>
        <sz val="11"/>
        <color theme="1"/>
        <rFont val="Calibri"/>
        <family val="2"/>
        <scheme val="minor"/>
      </rPr>
      <t>)
• Methane (CH</t>
    </r>
    <r>
      <rPr>
        <vertAlign val="subscript"/>
        <sz val="11"/>
        <color theme="1"/>
        <rFont val="Calibri"/>
        <family val="2"/>
        <scheme val="minor"/>
      </rPr>
      <t>4</t>
    </r>
    <r>
      <rPr>
        <sz val="11"/>
        <color theme="1"/>
        <rFont val="Calibri"/>
        <family val="2"/>
        <scheme val="minor"/>
      </rPr>
      <t>)
• Nitrous oxide (N</t>
    </r>
    <r>
      <rPr>
        <vertAlign val="subscript"/>
        <sz val="11"/>
        <color theme="1"/>
        <rFont val="Calibri"/>
        <family val="2"/>
        <scheme val="minor"/>
      </rPr>
      <t>2</t>
    </r>
    <r>
      <rPr>
        <sz val="11"/>
        <color theme="1"/>
        <rFont val="Calibri"/>
        <family val="2"/>
        <scheme val="minor"/>
      </rPr>
      <t>O)
• Hydrofluorocarbons (HFCs)
• Perfluorocarbons (PFCs)
• Nitrogen Trifluoride (NF</t>
    </r>
    <r>
      <rPr>
        <vertAlign val="subscript"/>
        <sz val="11"/>
        <color theme="1"/>
        <rFont val="Calibri"/>
        <family val="2"/>
        <scheme val="minor"/>
      </rPr>
      <t>3</t>
    </r>
    <r>
      <rPr>
        <sz val="11"/>
        <color theme="1"/>
        <rFont val="Calibri"/>
        <family val="2"/>
        <scheme val="minor"/>
      </rPr>
      <t>)
• Sulphur Hexafluoride (SF</t>
    </r>
    <r>
      <rPr>
        <vertAlign val="subscript"/>
        <sz val="11"/>
        <color theme="1"/>
        <rFont val="Calibri"/>
        <family val="2"/>
        <scheme val="minor"/>
      </rPr>
      <t>6</t>
    </r>
    <r>
      <rPr>
        <sz val="11"/>
        <color theme="1"/>
        <rFont val="Calibri"/>
        <family val="2"/>
        <scheme val="minor"/>
      </rPr>
      <t>)</t>
    </r>
  </si>
  <si>
    <t>Geography</t>
  </si>
  <si>
    <r>
      <t>The geographical area covered by the LEGGI includes the 32 London boroughs and the City of London. The total area covered by the LEGGI is approximately 1,579 km</t>
    </r>
    <r>
      <rPr>
        <vertAlign val="superscript"/>
        <sz val="12"/>
        <color rgb="FF000000"/>
        <rFont val="Calibri"/>
        <family val="2"/>
        <scheme val="minor"/>
      </rPr>
      <t>2</t>
    </r>
    <r>
      <rPr>
        <sz val="12"/>
        <color rgb="FF000000"/>
        <rFont val="Calibri"/>
        <family val="2"/>
        <scheme val="minor"/>
      </rPr>
      <t>.</t>
    </r>
  </si>
  <si>
    <t>Scope of LEGGI</t>
  </si>
  <si>
    <t>LEGGI provides estimates of:
• All Scope 1 emissions physically occurring within the city boundary. These include emissions related to fuel combustion and fugitive emissions.
• Scope 2 emissions associated with the consumption of grid-supplied energy within the city boundary. Depending on where energy is generated, these emissions may physically occur inside or outside the city boundary. 
• Scope 3 emissions associated with the disposal or treatment of waste that is generated within the city boundary but disposed of outside the city boundary. 
LEGGI also provides estimates of energy consumption from domestic, industrial and commercial buildings and from transport.</t>
  </si>
  <si>
    <t>Data sources and method</t>
  </si>
  <si>
    <t>Further details on the input data and the methodology used to estimate emissions or energy consumption are provided in the Data sources and method worksheet.</t>
  </si>
  <si>
    <t>Change log</t>
  </si>
  <si>
    <t>Summary of energy consumption and emissions over time in London</t>
  </si>
  <si>
    <t>Version</t>
  </si>
  <si>
    <t>Interim</t>
  </si>
  <si>
    <t xml:space="preserve">Publication date: </t>
  </si>
  <si>
    <t>Key</t>
  </si>
  <si>
    <r>
      <t xml:space="preserve">C  </t>
    </r>
    <r>
      <rPr>
        <sz val="11"/>
        <rFont val="Calibri"/>
        <family val="2"/>
        <scheme val="minor"/>
      </rPr>
      <t>Confirmed figures</t>
    </r>
  </si>
  <si>
    <r>
      <t xml:space="preserve">I    </t>
    </r>
    <r>
      <rPr>
        <sz val="11"/>
        <rFont val="Calibri"/>
        <family val="2"/>
        <scheme val="minor"/>
      </rPr>
      <t>Interim figures, to be confirmed in next version when final data is published</t>
    </r>
  </si>
  <si>
    <r>
      <t xml:space="preserve">E  </t>
    </r>
    <r>
      <rPr>
        <sz val="11"/>
        <rFont val="Calibri"/>
        <family val="2"/>
        <scheme val="minor"/>
      </rPr>
      <t>Estimated figure</t>
    </r>
  </si>
  <si>
    <t>Table 0.1 Historical overview, MtCO2 (pre 2005) and MtCO2e (post 2005)</t>
  </si>
  <si>
    <t>CO2 Emissions (MtCO2)</t>
  </si>
  <si>
    <r>
      <t>GHG Emissions (MtCO2e)</t>
    </r>
    <r>
      <rPr>
        <b/>
        <vertAlign val="superscript"/>
        <sz val="10"/>
        <color indexed="9"/>
        <rFont val="Calibri"/>
        <family val="2"/>
        <scheme val="minor"/>
      </rPr>
      <t>1</t>
    </r>
  </si>
  <si>
    <t>I. ENERGY DOMESTIC</t>
  </si>
  <si>
    <t>E</t>
  </si>
  <si>
    <t>C</t>
  </si>
  <si>
    <t>I</t>
  </si>
  <si>
    <t>Gas</t>
  </si>
  <si>
    <t>Electricity</t>
  </si>
  <si>
    <t>Other</t>
  </si>
  <si>
    <t>Coal</t>
  </si>
  <si>
    <t>Oil</t>
  </si>
  <si>
    <t>Bioenergy and waste (not grid connected)</t>
  </si>
  <si>
    <t>SUB-TOTAL</t>
  </si>
  <si>
    <t>Reduction from 2000</t>
  </si>
  <si>
    <t>I. ENERGY INDUSTRIAL AND COMMERCIAL</t>
  </si>
  <si>
    <t xml:space="preserve">Large industrial gas </t>
  </si>
  <si>
    <r>
      <t>EfW (Incineration and open burning)</t>
    </r>
    <r>
      <rPr>
        <vertAlign val="superscript"/>
        <sz val="10"/>
        <rFont val="Calibri"/>
        <family val="2"/>
        <scheme val="minor"/>
      </rPr>
      <t>2</t>
    </r>
  </si>
  <si>
    <t>I. STATIONARY ENERGY: FUGITIVE</t>
  </si>
  <si>
    <t>Energy Domestic</t>
  </si>
  <si>
    <t>Energy Industrial and Commercial</t>
  </si>
  <si>
    <t>SUB-TOTAL: STATIONARY ENERGY</t>
  </si>
  <si>
    <t>II. TRANSPORT</t>
  </si>
  <si>
    <t>Please note that there was a change in methodology to calculate CO2 emissions from transport between the period 2010-2012 and 2013. The most significant change was to road transport (change from a 'Defra Company Reporting' approach to a methodology in line with the National Atmospheric Emissions Inventory). Direct comparison of CO2 emissions between these years is therefore not advised.
Transport emissions for 2013, 2016 and 2019 data have been updated following the latest publication of LAEI (2019). Transport emissions for interim years (2014, 2015, 2017, 2018, 2020, 2021) have been interpolated.</t>
  </si>
  <si>
    <t>Road transport (non electric)</t>
  </si>
  <si>
    <r>
      <t>Rail</t>
    </r>
    <r>
      <rPr>
        <sz val="10"/>
        <color theme="0"/>
        <rFont val="Calibri"/>
        <family val="2"/>
        <scheme val="minor"/>
      </rPr>
      <t>_</t>
    </r>
    <r>
      <rPr>
        <sz val="10"/>
        <rFont val="Calibri"/>
        <family val="2"/>
        <scheme val="minor"/>
      </rPr>
      <t>diesel</t>
    </r>
  </si>
  <si>
    <r>
      <t>Rail</t>
    </r>
    <r>
      <rPr>
        <sz val="10"/>
        <color theme="0"/>
        <rFont val="Calibri"/>
        <family val="2"/>
        <scheme val="minor"/>
      </rPr>
      <t>_</t>
    </r>
    <r>
      <rPr>
        <sz val="10"/>
        <rFont val="Calibri"/>
        <family val="2"/>
        <scheme val="minor"/>
      </rPr>
      <t>electric</t>
    </r>
  </si>
  <si>
    <t>Road transport (electric)</t>
  </si>
  <si>
    <t>Aviation</t>
  </si>
  <si>
    <t>Shipping</t>
  </si>
  <si>
    <t>NRMM</t>
  </si>
  <si>
    <t>III. WASTE</t>
  </si>
  <si>
    <t>Solid waste disposal</t>
  </si>
  <si>
    <t>Biological treatment of waste</t>
  </si>
  <si>
    <t>Wastewater treatment and discharge</t>
  </si>
  <si>
    <t xml:space="preserve">IV. INDUSTRIAL PROCESSES &amp; PRODUCT USE </t>
  </si>
  <si>
    <t>Industrial Processes</t>
  </si>
  <si>
    <t>NO</t>
  </si>
  <si>
    <t>Product Use</t>
  </si>
  <si>
    <t>V. AGRICULTURE</t>
  </si>
  <si>
    <t>Livestock</t>
  </si>
  <si>
    <t>Land</t>
  </si>
  <si>
    <t>Aggregate Sources and Non-CO2 Emissions Sources on Land</t>
  </si>
  <si>
    <r>
      <t>Land CO</t>
    </r>
    <r>
      <rPr>
        <b/>
        <vertAlign val="subscript"/>
        <sz val="10"/>
        <rFont val="Calibri"/>
        <family val="2"/>
        <scheme val="minor"/>
      </rPr>
      <t>2</t>
    </r>
    <r>
      <rPr>
        <b/>
        <sz val="10"/>
        <rFont val="Calibri"/>
        <family val="2"/>
        <scheme val="minor"/>
      </rPr>
      <t xml:space="preserve"> removals</t>
    </r>
  </si>
  <si>
    <t>TOTAL</t>
  </si>
  <si>
    <t>Reduction from 1990</t>
  </si>
  <si>
    <t>Population</t>
  </si>
  <si>
    <t>Reduction from 2015 (Accelerated Green)</t>
  </si>
  <si>
    <t>Please note that, due to historic data backcasting in Government datasets, the absolute emissions in the Accelerated Green pathway are no longer reflective of true historic emissions in London. Emissions reductions in London should be compared with the rate of change set by the Accelerated Green pathway, as shown here.</t>
  </si>
  <si>
    <t>Reduction from 2015 (LEGGI)</t>
  </si>
  <si>
    <r>
      <t>tCO</t>
    </r>
    <r>
      <rPr>
        <vertAlign val="subscript"/>
        <sz val="10"/>
        <rFont val="Calibri"/>
        <family val="2"/>
        <scheme val="minor"/>
      </rPr>
      <t>2</t>
    </r>
    <r>
      <rPr>
        <sz val="10"/>
        <rFont val="Calibri"/>
        <family val="2"/>
        <scheme val="minor"/>
      </rPr>
      <t xml:space="preserve"> per capita_all</t>
    </r>
  </si>
  <si>
    <r>
      <t>tCO</t>
    </r>
    <r>
      <rPr>
        <vertAlign val="subscript"/>
        <sz val="10"/>
        <rFont val="Calibri"/>
        <family val="2"/>
        <scheme val="minor"/>
      </rPr>
      <t>2</t>
    </r>
    <r>
      <rPr>
        <sz val="10"/>
        <rFont val="Calibri"/>
        <family val="2"/>
        <scheme val="minor"/>
      </rPr>
      <t xml:space="preserve"> per capita_domestic and transport only</t>
    </r>
  </si>
  <si>
    <t>Net CO2</t>
  </si>
  <si>
    <r>
      <t>1. Data is reported as CO</t>
    </r>
    <r>
      <rPr>
        <vertAlign val="subscript"/>
        <sz val="10"/>
        <rFont val="Calibri"/>
        <family val="2"/>
        <scheme val="minor"/>
      </rPr>
      <t>2</t>
    </r>
    <r>
      <rPr>
        <sz val="10"/>
        <rFont val="Calibri"/>
        <family val="2"/>
        <scheme val="minor"/>
      </rPr>
      <t xml:space="preserve"> equivalent (CO</t>
    </r>
    <r>
      <rPr>
        <vertAlign val="subscript"/>
        <sz val="10"/>
        <rFont val="Calibri"/>
        <family val="2"/>
        <scheme val="minor"/>
      </rPr>
      <t>2</t>
    </r>
    <r>
      <rPr>
        <sz val="10"/>
        <rFont val="Calibri"/>
        <family val="2"/>
        <scheme val="minor"/>
      </rPr>
      <t>e) where available. The data worksheets indicate where it is not available by stating 'CO</t>
    </r>
    <r>
      <rPr>
        <vertAlign val="subscript"/>
        <sz val="10"/>
        <rFont val="Calibri"/>
        <family val="2"/>
        <scheme val="minor"/>
      </rPr>
      <t>2</t>
    </r>
    <r>
      <rPr>
        <sz val="10"/>
        <rFont val="Calibri"/>
        <family val="2"/>
        <scheme val="minor"/>
      </rPr>
      <t>' in the data headings.</t>
    </r>
  </si>
  <si>
    <t>2. Emissions from EfW (Incineration) are shown here, but not included in the total to avoid double counting of emissions. Since EfW facilities are grid connected, emissions from EfW are accounted for in the UK grid mix.</t>
  </si>
  <si>
    <t>Table 0.2 Historical overview, GWh</t>
  </si>
  <si>
    <t>Energy Use (GWh)</t>
  </si>
  <si>
    <t>DOMESTIC</t>
  </si>
  <si>
    <t>Waste &amp; bioenergy (not grid connected)</t>
  </si>
  <si>
    <t>INDUSTRIAL AND COMMERCIAL</t>
  </si>
  <si>
    <t>Large industrial</t>
  </si>
  <si>
    <t>TRANSPORT</t>
  </si>
  <si>
    <t>Road transport (fossil fuels)</t>
  </si>
  <si>
    <t>Rail diesel</t>
  </si>
  <si>
    <t>Rail electric</t>
  </si>
  <si>
    <t>Borough Energy consumption - Building and Transport</t>
  </si>
  <si>
    <t>Table B.1 Energy consumption by borough, 2023 (kWh)</t>
  </si>
  <si>
    <t>Total Energy Consumption</t>
  </si>
  <si>
    <t>Sector</t>
  </si>
  <si>
    <t>Grand Total</t>
  </si>
  <si>
    <t>Domestic</t>
  </si>
  <si>
    <t>Industrial and Commercial</t>
  </si>
  <si>
    <t>Transport</t>
  </si>
  <si>
    <t>Bioenergy and waste*</t>
  </si>
  <si>
    <t>Total</t>
  </si>
  <si>
    <t>Electricity w/o transport</t>
  </si>
  <si>
    <t>Railways_Diesel</t>
  </si>
  <si>
    <t>Railways_Electric</t>
  </si>
  <si>
    <t>Road Transport - fossil fuels</t>
  </si>
  <si>
    <t>Road Transport - electric</t>
  </si>
  <si>
    <t>Year</t>
  </si>
  <si>
    <t>Barking and Dagenham</t>
  </si>
  <si>
    <t>Barnet</t>
  </si>
  <si>
    <t>Bexley</t>
  </si>
  <si>
    <t>Brent</t>
  </si>
  <si>
    <t>Bromley</t>
  </si>
  <si>
    <t>Camden</t>
  </si>
  <si>
    <t>City of London</t>
  </si>
  <si>
    <t>Croydon</t>
  </si>
  <si>
    <t>Ealing</t>
  </si>
  <si>
    <t>Enfield</t>
  </si>
  <si>
    <t>Greenwich</t>
  </si>
  <si>
    <t>Hackney</t>
  </si>
  <si>
    <t>Hammersmith and Fulham</t>
  </si>
  <si>
    <t>Haringey</t>
  </si>
  <si>
    <t>Harrow</t>
  </si>
  <si>
    <t>Havering</t>
  </si>
  <si>
    <t>Hillingdon</t>
  </si>
  <si>
    <t>Hounslow</t>
  </si>
  <si>
    <t>Islington</t>
  </si>
  <si>
    <t>Kensington and Chelsea</t>
  </si>
  <si>
    <t>Kingston</t>
  </si>
  <si>
    <t>Lambeth</t>
  </si>
  <si>
    <t>Lewisham</t>
  </si>
  <si>
    <t>Merton</t>
  </si>
  <si>
    <t>Newham</t>
  </si>
  <si>
    <t>Redbridge</t>
  </si>
  <si>
    <t>Richmond</t>
  </si>
  <si>
    <t>Southwark</t>
  </si>
  <si>
    <t>Sutton</t>
  </si>
  <si>
    <t>Tower Hamlets</t>
  </si>
  <si>
    <t>Waltham Forest</t>
  </si>
  <si>
    <t>Wandsworth</t>
  </si>
  <si>
    <t>Westminster</t>
  </si>
  <si>
    <t>Unapportioned</t>
  </si>
  <si>
    <t>Grand Total (kWh)</t>
  </si>
  <si>
    <t>Grand Total (GWh)</t>
  </si>
  <si>
    <t>*Not grid connected</t>
  </si>
  <si>
    <t>Borough GHG emissions - Building and Transport</t>
  </si>
  <si>
    <t>Table B.2 Greenhouse gas emissions by borough, 2023 (ktCO2e)</t>
  </si>
  <si>
    <t>IPPU</t>
  </si>
  <si>
    <t>AFOLU</t>
  </si>
  <si>
    <t>Waste</t>
  </si>
  <si>
    <t>Fugitive emissions</t>
  </si>
  <si>
    <t>Electricity w/o rail &amp; RT</t>
  </si>
  <si>
    <t>Railways diesel</t>
  </si>
  <si>
    <t>Railways electric</t>
  </si>
  <si>
    <t>Road transport - fossil fuels</t>
  </si>
  <si>
    <t>Road transport - electric</t>
  </si>
  <si>
    <t xml:space="preserve">Manufacturing industries </t>
  </si>
  <si>
    <t xml:space="preserve"> Construction</t>
  </si>
  <si>
    <t>Ground activities - aviation</t>
  </si>
  <si>
    <t>2022**</t>
  </si>
  <si>
    <t>Grand Total (kt)</t>
  </si>
  <si>
    <t>Grand Total (mt)</t>
  </si>
  <si>
    <t>**Data currently unavailable for 2023</t>
  </si>
  <si>
    <t>LEGGI 2023: key charts</t>
  </si>
  <si>
    <r>
      <t>Figure 1: CO</t>
    </r>
    <r>
      <rPr>
        <b/>
        <vertAlign val="subscript"/>
        <sz val="14"/>
        <rFont val="Calibri"/>
        <family val="2"/>
        <scheme val="minor"/>
      </rPr>
      <t>2</t>
    </r>
    <r>
      <rPr>
        <b/>
        <sz val="14"/>
        <rFont val="Calibri"/>
        <family val="2"/>
        <scheme val="minor"/>
      </rPr>
      <t>e emissions by sector in 2023</t>
    </r>
  </si>
  <si>
    <r>
      <t>Table C1: CO</t>
    </r>
    <r>
      <rPr>
        <b/>
        <vertAlign val="subscript"/>
        <sz val="14"/>
        <rFont val="Calibri"/>
        <family val="2"/>
        <scheme val="minor"/>
      </rPr>
      <t>2</t>
    </r>
    <r>
      <rPr>
        <b/>
        <sz val="14"/>
        <rFont val="Calibri"/>
        <family val="2"/>
        <scheme val="minor"/>
      </rPr>
      <t>e emissions by sector in 2023</t>
    </r>
  </si>
  <si>
    <t>(including fugitive emissions)</t>
  </si>
  <si>
    <t>EMISSION SECTOR</t>
  </si>
  <si>
    <r>
      <t>MtCO</t>
    </r>
    <r>
      <rPr>
        <b/>
        <vertAlign val="subscript"/>
        <sz val="12"/>
        <color theme="0"/>
        <rFont val="Calibri"/>
        <family val="2"/>
        <scheme val="minor"/>
      </rPr>
      <t>2</t>
    </r>
    <r>
      <rPr>
        <b/>
        <sz val="12"/>
        <color theme="0"/>
        <rFont val="Calibri"/>
        <family val="2"/>
        <scheme val="minor"/>
      </rPr>
      <t>e</t>
    </r>
  </si>
  <si>
    <t>%</t>
  </si>
  <si>
    <t>Industrial &amp; Commercial</t>
  </si>
  <si>
    <t>Transport (inc. NRMM)</t>
  </si>
  <si>
    <r>
      <t>Figure 2: CO</t>
    </r>
    <r>
      <rPr>
        <b/>
        <vertAlign val="subscript"/>
        <sz val="14"/>
        <rFont val="Calibri"/>
        <family val="2"/>
        <scheme val="minor"/>
      </rPr>
      <t>2</t>
    </r>
    <r>
      <rPr>
        <b/>
        <sz val="14"/>
        <rFont val="Calibri"/>
        <family val="2"/>
        <scheme val="minor"/>
      </rPr>
      <t>e emissions for Domestic sector split by fuel in 2023</t>
    </r>
  </si>
  <si>
    <r>
      <t>Table C2: CO</t>
    </r>
    <r>
      <rPr>
        <b/>
        <vertAlign val="subscript"/>
        <sz val="14"/>
        <rFont val="Calibri"/>
        <family val="2"/>
        <scheme val="minor"/>
      </rPr>
      <t>2</t>
    </r>
    <r>
      <rPr>
        <b/>
        <sz val="14"/>
        <rFont val="Calibri"/>
        <family val="2"/>
        <scheme val="minor"/>
      </rPr>
      <t>e emissions for Domestic sector split by fuel in 2023</t>
    </r>
  </si>
  <si>
    <t>(excluding fugitive emissions)</t>
  </si>
  <si>
    <r>
      <t>MtCO</t>
    </r>
    <r>
      <rPr>
        <b/>
        <vertAlign val="subscript"/>
        <sz val="10"/>
        <color theme="0"/>
        <rFont val="Calibri"/>
        <family val="2"/>
        <scheme val="minor"/>
      </rPr>
      <t>2</t>
    </r>
    <r>
      <rPr>
        <b/>
        <sz val="10"/>
        <color theme="0"/>
        <rFont val="Calibri"/>
        <family val="2"/>
        <scheme val="minor"/>
      </rPr>
      <t>e</t>
    </r>
  </si>
  <si>
    <r>
      <t>Figure 3: CO</t>
    </r>
    <r>
      <rPr>
        <b/>
        <vertAlign val="subscript"/>
        <sz val="14"/>
        <rFont val="Calibri"/>
        <family val="2"/>
        <scheme val="minor"/>
      </rPr>
      <t>2</t>
    </r>
    <r>
      <rPr>
        <b/>
        <sz val="14"/>
        <rFont val="Calibri"/>
        <family val="2"/>
        <scheme val="minor"/>
      </rPr>
      <t>e emissions for Industrial &amp; Commercial sector split by fuel in 2023</t>
    </r>
  </si>
  <si>
    <r>
      <t>Table C3: CO</t>
    </r>
    <r>
      <rPr>
        <b/>
        <vertAlign val="subscript"/>
        <sz val="14"/>
        <rFont val="Calibri"/>
        <family val="2"/>
        <scheme val="minor"/>
      </rPr>
      <t>2</t>
    </r>
    <r>
      <rPr>
        <b/>
        <sz val="14"/>
        <rFont val="Calibri"/>
        <family val="2"/>
        <scheme val="minor"/>
      </rPr>
      <t>e emissions for Industrial &amp; Commercial sector split by fuel in 2023</t>
    </r>
  </si>
  <si>
    <r>
      <t>Figure 4: CO</t>
    </r>
    <r>
      <rPr>
        <b/>
        <vertAlign val="subscript"/>
        <sz val="14"/>
        <rFont val="Calibri"/>
        <family val="2"/>
        <scheme val="minor"/>
      </rPr>
      <t>2</t>
    </r>
    <r>
      <rPr>
        <b/>
        <sz val="14"/>
        <rFont val="Calibri"/>
        <family val="2"/>
        <scheme val="minor"/>
      </rPr>
      <t>e emissions for Transport sector in 2023</t>
    </r>
  </si>
  <si>
    <r>
      <t>Table C4: CO</t>
    </r>
    <r>
      <rPr>
        <b/>
        <vertAlign val="subscript"/>
        <sz val="14"/>
        <rFont val="Calibri"/>
        <family val="2"/>
        <scheme val="minor"/>
      </rPr>
      <t>2</t>
    </r>
    <r>
      <rPr>
        <b/>
        <sz val="14"/>
        <rFont val="Calibri"/>
        <family val="2"/>
        <scheme val="minor"/>
      </rPr>
      <t>e emissions for Transport sector in 2023</t>
    </r>
  </si>
  <si>
    <t>Rail (electric)</t>
  </si>
  <si>
    <t>Rail (diesel)</t>
  </si>
  <si>
    <r>
      <t>Figure 5: CO</t>
    </r>
    <r>
      <rPr>
        <b/>
        <vertAlign val="subscript"/>
        <sz val="14"/>
        <rFont val="Calibri"/>
        <family val="2"/>
        <scheme val="minor"/>
      </rPr>
      <t>2</t>
    </r>
    <r>
      <rPr>
        <b/>
        <sz val="14"/>
        <rFont val="Calibri"/>
        <family val="2"/>
        <scheme val="minor"/>
      </rPr>
      <t>e emissions for Waste sector in 2023</t>
    </r>
  </si>
  <si>
    <r>
      <t>Table C5: CO</t>
    </r>
    <r>
      <rPr>
        <b/>
        <vertAlign val="subscript"/>
        <sz val="14"/>
        <rFont val="Calibri"/>
        <family val="2"/>
        <scheme val="minor"/>
      </rPr>
      <t>2</t>
    </r>
    <r>
      <rPr>
        <b/>
        <sz val="14"/>
        <rFont val="Calibri"/>
        <family val="2"/>
        <scheme val="minor"/>
      </rPr>
      <t>e emissions for Waste sector in 2023</t>
    </r>
  </si>
  <si>
    <t>Landfill</t>
  </si>
  <si>
    <r>
      <t>Figure 6: CO</t>
    </r>
    <r>
      <rPr>
        <b/>
        <vertAlign val="subscript"/>
        <sz val="14"/>
        <rFont val="Calibri"/>
        <family val="2"/>
        <scheme val="minor"/>
      </rPr>
      <t>2</t>
    </r>
    <r>
      <rPr>
        <b/>
        <sz val="14"/>
        <rFont val="Calibri"/>
        <family val="2"/>
        <scheme val="minor"/>
      </rPr>
      <t>e emissions for Industrial Processes &amp; Product Use sector in 2023</t>
    </r>
  </si>
  <si>
    <r>
      <t>Table C6: CO</t>
    </r>
    <r>
      <rPr>
        <b/>
        <vertAlign val="subscript"/>
        <sz val="14"/>
        <rFont val="Calibri"/>
        <family val="2"/>
        <scheme val="minor"/>
      </rPr>
      <t>2</t>
    </r>
    <r>
      <rPr>
        <b/>
        <sz val="14"/>
        <rFont val="Calibri"/>
        <family val="2"/>
        <scheme val="minor"/>
      </rPr>
      <t>e emissions for Industrial Processes &amp; Product Use sector in 2023</t>
    </r>
  </si>
  <si>
    <t>Refrigeration and stationary air conditioning (2.F.1.a)</t>
  </si>
  <si>
    <t>Aerosols (2.F.4)</t>
  </si>
  <si>
    <t>Foam blowing agents (2.F.2)</t>
  </si>
  <si>
    <t>SF6 and PFCs from other product uses (2.G.2)</t>
  </si>
  <si>
    <t>Fire protection (2.F.3)</t>
  </si>
  <si>
    <t>Electrical equipment (2.G.1)</t>
  </si>
  <si>
    <t>Other (2.F.6)</t>
  </si>
  <si>
    <t>Integrated circuit or semiconductor (2.E.1)</t>
  </si>
  <si>
    <t>Solvents (2.F.5)</t>
  </si>
  <si>
    <t>N2O from product uses (2.G.3)</t>
  </si>
  <si>
    <t>Other (2.G.4)</t>
  </si>
  <si>
    <r>
      <t>Figure 7: CO</t>
    </r>
    <r>
      <rPr>
        <b/>
        <vertAlign val="subscript"/>
        <sz val="14"/>
        <rFont val="Calibri"/>
        <family val="2"/>
        <scheme val="minor"/>
      </rPr>
      <t>2</t>
    </r>
    <r>
      <rPr>
        <b/>
        <sz val="14"/>
        <rFont val="Calibri"/>
        <family val="2"/>
        <scheme val="minor"/>
      </rPr>
      <t>e emissions for Agriculture sector in 2023</t>
    </r>
  </si>
  <si>
    <r>
      <t>Table C7: CO</t>
    </r>
    <r>
      <rPr>
        <b/>
        <vertAlign val="subscript"/>
        <sz val="14"/>
        <rFont val="Calibri"/>
        <family val="2"/>
        <scheme val="minor"/>
      </rPr>
      <t>2</t>
    </r>
    <r>
      <rPr>
        <b/>
        <sz val="14"/>
        <rFont val="Calibri"/>
        <family val="2"/>
        <scheme val="minor"/>
      </rPr>
      <t>e emissions for Agriculture sector in 2023</t>
    </r>
  </si>
  <si>
    <r>
      <t>Figure 8: Long term trends in CO</t>
    </r>
    <r>
      <rPr>
        <b/>
        <vertAlign val="subscript"/>
        <sz val="14"/>
        <rFont val="Calibri"/>
        <family val="2"/>
        <scheme val="minor"/>
      </rPr>
      <t>2</t>
    </r>
    <r>
      <rPr>
        <b/>
        <sz val="14"/>
        <rFont val="Calibri"/>
        <family val="2"/>
        <scheme val="minor"/>
      </rPr>
      <t>e emissions by sector, 1990 &amp; 2000-2023</t>
    </r>
  </si>
  <si>
    <r>
      <t>Table C8: Long term trends in CO</t>
    </r>
    <r>
      <rPr>
        <b/>
        <vertAlign val="subscript"/>
        <sz val="14"/>
        <rFont val="Calibri"/>
        <family val="2"/>
        <scheme val="minor"/>
      </rPr>
      <t>2</t>
    </r>
    <r>
      <rPr>
        <b/>
        <sz val="14"/>
        <rFont val="Calibri"/>
        <family val="2"/>
        <scheme val="minor"/>
      </rPr>
      <t>e emissions by sector, 1990 &amp; 2000-2023</t>
    </r>
  </si>
  <si>
    <t xml:space="preserve">Energy - Stationary </t>
  </si>
  <si>
    <t>Table 1.1 Electricity and gas consumption by borough, 2023 (kWh)</t>
  </si>
  <si>
    <t>LA name</t>
  </si>
  <si>
    <t>LA code</t>
  </si>
  <si>
    <t>Industrial and commercial</t>
  </si>
  <si>
    <t>Not weather corrected</t>
  </si>
  <si>
    <t>Economy 7</t>
  </si>
  <si>
    <t>Standard</t>
  </si>
  <si>
    <t>*</t>
  </si>
  <si>
    <t>UKI2101</t>
  </si>
  <si>
    <t>UKI2301</t>
  </si>
  <si>
    <t>UKI2102</t>
  </si>
  <si>
    <t>UKI2302</t>
  </si>
  <si>
    <t>UKI2201</t>
  </si>
  <si>
    <t>UKI1102</t>
  </si>
  <si>
    <t>UKI1101</t>
  </si>
  <si>
    <t>UKI2202</t>
  </si>
  <si>
    <t>UKI2303</t>
  </si>
  <si>
    <t>UKI2103</t>
  </si>
  <si>
    <t>UKI2104</t>
  </si>
  <si>
    <t>UKI1201</t>
  </si>
  <si>
    <t>UKI1103</t>
  </si>
  <si>
    <t>UKI1202</t>
  </si>
  <si>
    <t>UKI2304</t>
  </si>
  <si>
    <t>UKI2105</t>
  </si>
  <si>
    <t>UKI2305</t>
  </si>
  <si>
    <t>UKI2306</t>
  </si>
  <si>
    <t>UKI1203</t>
  </si>
  <si>
    <t>UKI1104</t>
  </si>
  <si>
    <t>Kingston upon Thames</t>
  </si>
  <si>
    <t>UKI2203</t>
  </si>
  <si>
    <t>UKI1204</t>
  </si>
  <si>
    <t>UKI1205</t>
  </si>
  <si>
    <t>UKI2204</t>
  </si>
  <si>
    <t>UKI1206</t>
  </si>
  <si>
    <t>UKI2106</t>
  </si>
  <si>
    <t>Richmond upon Thames</t>
  </si>
  <si>
    <t>UKI2307</t>
  </si>
  <si>
    <t>UKI1207</t>
  </si>
  <si>
    <t>UKI2205</t>
  </si>
  <si>
    <t>UKI1208</t>
  </si>
  <si>
    <t>UKI2107</t>
  </si>
  <si>
    <t>UKI1105</t>
  </si>
  <si>
    <t>UKI1106</t>
  </si>
  <si>
    <t>Large industrial users</t>
  </si>
  <si>
    <t>This borough contains at least one major power station or large industrial consumer whose consumption has not been included in the data</t>
  </si>
  <si>
    <t>Table 1.2 Non-transport residual fuel consumption by borough, 2023 (ktoe and kWh)</t>
  </si>
  <si>
    <t>Thousand tonnes of oil equivalent</t>
  </si>
  <si>
    <t>kWh</t>
  </si>
  <si>
    <t>Bioenergy and wastes</t>
  </si>
  <si>
    <t>Table 1.3 Sub-national estimates of non gas, non electricity and non road transport fuels, 2023 (ktoe)</t>
  </si>
  <si>
    <t xml:space="preserve">      Thousand tonnes of oil equivalent</t>
  </si>
  <si>
    <t>Petroleum</t>
  </si>
  <si>
    <t>Manufactured Solid Fuels</t>
  </si>
  <si>
    <t>Bioenergy and wastes (3)</t>
  </si>
  <si>
    <t>All Fuels</t>
  </si>
  <si>
    <t>Industrial</t>
  </si>
  <si>
    <t>Rail</t>
  </si>
  <si>
    <t>Public Administration</t>
  </si>
  <si>
    <t>Commercial</t>
  </si>
  <si>
    <t>Agriculture (1)</t>
  </si>
  <si>
    <t>Industrial &amp; Commercial (2)</t>
  </si>
  <si>
    <t>(1) Excludes the consumption of propane</t>
  </si>
  <si>
    <t>(2) Includes some coal consumption by auto-generators</t>
  </si>
  <si>
    <t>(3) Excludes bioenergy and wastes used for electricity generation</t>
  </si>
  <si>
    <t>Table 1.4 Emissions from grid connected incineration of London's waste, 2023 (tonnes)</t>
  </si>
  <si>
    <r>
      <t>GHGs (metric tonnes CO</t>
    </r>
    <r>
      <rPr>
        <b/>
        <vertAlign val="subscript"/>
        <sz val="10"/>
        <color theme="0"/>
        <rFont val="Calibri"/>
        <family val="2"/>
        <scheme val="minor"/>
      </rPr>
      <t>2</t>
    </r>
    <r>
      <rPr>
        <b/>
        <sz val="10"/>
        <color theme="0"/>
        <rFont val="Calibri"/>
        <family val="2"/>
        <scheme val="minor"/>
      </rPr>
      <t>e) (1)</t>
    </r>
  </si>
  <si>
    <t>Tonnes waste</t>
  </si>
  <si>
    <r>
      <t>CO</t>
    </r>
    <r>
      <rPr>
        <b/>
        <vertAlign val="subscript"/>
        <sz val="10"/>
        <color theme="0"/>
        <rFont val="Calibri"/>
        <family val="2"/>
        <scheme val="minor"/>
      </rPr>
      <t>2</t>
    </r>
  </si>
  <si>
    <r>
      <t>CH</t>
    </r>
    <r>
      <rPr>
        <b/>
        <vertAlign val="subscript"/>
        <sz val="10"/>
        <color theme="0"/>
        <rFont val="Calibri"/>
        <family val="2"/>
        <scheme val="minor"/>
      </rPr>
      <t>4</t>
    </r>
  </si>
  <si>
    <r>
      <t>N</t>
    </r>
    <r>
      <rPr>
        <b/>
        <vertAlign val="subscript"/>
        <sz val="10"/>
        <color theme="0"/>
        <rFont val="Calibri"/>
        <family val="2"/>
        <scheme val="minor"/>
      </rPr>
      <t>2</t>
    </r>
    <r>
      <rPr>
        <b/>
        <sz val="10"/>
        <color theme="0"/>
        <rFont val="Calibri"/>
        <family val="2"/>
        <scheme val="minor"/>
      </rPr>
      <t>O</t>
    </r>
  </si>
  <si>
    <r>
      <t>Total tCO</t>
    </r>
    <r>
      <rPr>
        <b/>
        <vertAlign val="subscript"/>
        <sz val="10"/>
        <color theme="0"/>
        <rFont val="Calibri"/>
        <family val="2"/>
        <scheme val="minor"/>
      </rPr>
      <t>2</t>
    </r>
    <r>
      <rPr>
        <b/>
        <sz val="10"/>
        <color theme="0"/>
        <rFont val="Calibri"/>
        <family val="2"/>
        <scheme val="minor"/>
      </rPr>
      <t>e</t>
    </r>
  </si>
  <si>
    <t>MSW &amp; Clinical waste incineration</t>
  </si>
  <si>
    <t>Sewage sludge incineration</t>
  </si>
  <si>
    <t>(1) Calculated using GPC waste emissions calculator</t>
  </si>
  <si>
    <t>Table 1.5 Fugitive emissions, 2023 (tonnes)</t>
  </si>
  <si>
    <r>
      <t>CO</t>
    </r>
    <r>
      <rPr>
        <b/>
        <vertAlign val="subscript"/>
        <sz val="10"/>
        <color theme="0"/>
        <rFont val="Calibri"/>
        <family val="2"/>
        <scheme val="minor"/>
      </rPr>
      <t>2</t>
    </r>
    <r>
      <rPr>
        <b/>
        <sz val="10"/>
        <color theme="0"/>
        <rFont val="Calibri"/>
        <family val="2"/>
        <scheme val="minor"/>
      </rPr>
      <t>e Emissions (tonnes)</t>
    </r>
  </si>
  <si>
    <t>GPC emission category</t>
  </si>
  <si>
    <t xml:space="preserve">Sub-category </t>
  </si>
  <si>
    <t xml:space="preserve">Fuel </t>
  </si>
  <si>
    <t>Activity data (kWh)</t>
  </si>
  <si>
    <r>
      <t>Total tCO</t>
    </r>
    <r>
      <rPr>
        <b/>
        <vertAlign val="subscript"/>
        <sz val="10"/>
        <color theme="0"/>
        <rFont val="Calibri"/>
        <family val="2"/>
        <scheme val="minor"/>
      </rPr>
      <t>2</t>
    </r>
    <r>
      <rPr>
        <b/>
        <sz val="10"/>
        <color theme="0"/>
        <rFont val="Calibri"/>
        <family val="2"/>
        <scheme val="minor"/>
      </rPr>
      <t>e emissions (1)</t>
    </r>
  </si>
  <si>
    <t>Oil and natural gas: Fugitive emissions from oil and natural gas systems</t>
  </si>
  <si>
    <t>Natural Gas</t>
  </si>
  <si>
    <t>Natural gas</t>
  </si>
  <si>
    <t>(1) Calculated using GPC Fugitive gas emissions calculator</t>
  </si>
  <si>
    <r>
      <t>Table 2.1 Transport energy consumption and</t>
    </r>
    <r>
      <rPr>
        <b/>
        <sz val="16"/>
        <rFont val="Calibri"/>
        <family val="2"/>
      </rPr>
      <t xml:space="preserve"> emissions by borough, 2023</t>
    </r>
    <r>
      <rPr>
        <b/>
        <sz val="16"/>
        <rFont val="Calibri"/>
        <family val="2"/>
        <scheme val="minor"/>
      </rPr>
      <t xml:space="preserve"> (tCO2, tCH4, tN2O, tCO2e and kWh)</t>
    </r>
  </si>
  <si>
    <r>
      <t>tCO</t>
    </r>
    <r>
      <rPr>
        <b/>
        <vertAlign val="subscript"/>
        <sz val="10"/>
        <color indexed="9"/>
        <rFont val="Calibri"/>
        <family val="2"/>
      </rPr>
      <t>2</t>
    </r>
    <r>
      <rPr>
        <b/>
        <sz val="10"/>
        <color indexed="9"/>
        <rFont val="Calibri"/>
        <family val="2"/>
        <scheme val="minor"/>
      </rPr>
      <t>e</t>
    </r>
  </si>
  <si>
    <t>NRMM (2022)</t>
  </si>
  <si>
    <t xml:space="preserve">Road </t>
  </si>
  <si>
    <t>Road</t>
  </si>
  <si>
    <t>tCO2</t>
  </si>
  <si>
    <t>tCH4</t>
  </si>
  <si>
    <t>tN2O</t>
  </si>
  <si>
    <t>Total tCO2e</t>
  </si>
  <si>
    <t>Diesel</t>
  </si>
  <si>
    <t>Electric</t>
  </si>
  <si>
    <t xml:space="preserve">Manufacturing Industries </t>
  </si>
  <si>
    <t>Construction</t>
  </si>
  <si>
    <t>Table 2.2 Aviation fuel use by borough, 2023 (tonnes, litres and kWh)</t>
  </si>
  <si>
    <t>Heathrow</t>
  </si>
  <si>
    <t>City</t>
  </si>
  <si>
    <t>Battersea</t>
  </si>
  <si>
    <t>Biggin Hill</t>
  </si>
  <si>
    <t>Northolt</t>
  </si>
  <si>
    <t>Denham</t>
  </si>
  <si>
    <t>Elstree</t>
  </si>
  <si>
    <t>Stapleford</t>
  </si>
  <si>
    <t>Ground level</t>
  </si>
  <si>
    <t>Elevated level</t>
  </si>
  <si>
    <t>Airside vehicle</t>
  </si>
  <si>
    <t>Landside vehicle</t>
  </si>
  <si>
    <t>Stationary</t>
  </si>
  <si>
    <t>t FU_ATF</t>
  </si>
  <si>
    <t>t FU_Diesel</t>
  </si>
  <si>
    <t>t FU_Gasoil</t>
  </si>
  <si>
    <t>t FU_HVO (1)</t>
  </si>
  <si>
    <t>t FU_Petrol</t>
  </si>
  <si>
    <t>Energy_Gas kWh</t>
  </si>
  <si>
    <t>Energy_Gasoil kWh</t>
  </si>
  <si>
    <t>litres_FU_LPG</t>
  </si>
  <si>
    <t>t FU_Biomass</t>
  </si>
  <si>
    <t>t FU_Gasoil (1)</t>
  </si>
  <si>
    <t>t FU_HVO (2)</t>
  </si>
  <si>
    <t>litres FU_Diesel</t>
  </si>
  <si>
    <t>litres FU_Petrol</t>
  </si>
  <si>
    <t>Energy_Gas (kWh)</t>
  </si>
  <si>
    <t>Energy_Gasoil (kWh)</t>
  </si>
  <si>
    <t>litres FU_LPG</t>
  </si>
  <si>
    <t>(1) HVO - Hydrotreated Vegetable Oil fuel</t>
  </si>
  <si>
    <r>
      <t>Table 2.3 Aviation emissions</t>
    </r>
    <r>
      <rPr>
        <b/>
        <sz val="16"/>
        <rFont val="Calibri"/>
        <family val="2"/>
      </rPr>
      <t xml:space="preserve"> by borough, 2023</t>
    </r>
    <r>
      <rPr>
        <b/>
        <sz val="16"/>
        <rFont val="Calibri"/>
        <family val="2"/>
        <scheme val="minor"/>
      </rPr>
      <t xml:space="preserve"> (tCO2e)</t>
    </r>
  </si>
  <si>
    <t>London City</t>
  </si>
  <si>
    <t>Total (excl Stationary) (2)</t>
  </si>
  <si>
    <t>Elevated Level</t>
  </si>
  <si>
    <t>Airside</t>
  </si>
  <si>
    <t>Landside</t>
  </si>
  <si>
    <t>Grand total</t>
  </si>
  <si>
    <r>
      <t>tCO</t>
    </r>
    <r>
      <rPr>
        <b/>
        <vertAlign val="subscript"/>
        <sz val="10"/>
        <color indexed="9"/>
        <rFont val="Calibri"/>
        <family val="2"/>
      </rPr>
      <t>2</t>
    </r>
    <r>
      <rPr>
        <b/>
        <sz val="10"/>
        <color indexed="9"/>
        <rFont val="Calibri"/>
        <family val="2"/>
      </rPr>
      <t>e</t>
    </r>
  </si>
  <si>
    <r>
      <t>tCO</t>
    </r>
    <r>
      <rPr>
        <b/>
        <vertAlign val="subscript"/>
        <sz val="10"/>
        <color indexed="9"/>
        <rFont val="Calibri"/>
        <family val="2"/>
      </rPr>
      <t>2</t>
    </r>
    <r>
      <rPr>
        <b/>
        <sz val="10"/>
        <color indexed="9"/>
        <rFont val="Calibri"/>
        <family val="2"/>
      </rPr>
      <t>e Diesel</t>
    </r>
  </si>
  <si>
    <t>Notes:</t>
  </si>
  <si>
    <t>(1) Emissions include CO2 and CH4 only</t>
  </si>
  <si>
    <t>(2) Stationary emissions are included under the total Industry and Commercial emissions as they pertain to emissions from airport buildings</t>
  </si>
  <si>
    <t>Table 2.4 Shipping energy use and CO2 emissions, 2023 (kWh, tCO2, tCH4, tN20 and tCO2e) (1)</t>
  </si>
  <si>
    <t>Passenger</t>
  </si>
  <si>
    <r>
      <t>tCO</t>
    </r>
    <r>
      <rPr>
        <b/>
        <vertAlign val="subscript"/>
        <sz val="10"/>
        <color indexed="9"/>
        <rFont val="Calibri"/>
        <family val="2"/>
      </rPr>
      <t>2</t>
    </r>
  </si>
  <si>
    <t>Total kWh</t>
  </si>
  <si>
    <t>Notes</t>
  </si>
  <si>
    <t>(1) Shipping data is forecasted data from Port of London Authority data in 2021.</t>
  </si>
  <si>
    <t>Table 2.5 Rail energy use and CO2e emissions, 2023 (kWh and tCO2e)</t>
  </si>
  <si>
    <t>TfL (Electric)</t>
  </si>
  <si>
    <t>Passenger_Diesel</t>
  </si>
  <si>
    <t>Passenger_Electric</t>
  </si>
  <si>
    <t>Passenger_Total</t>
  </si>
  <si>
    <t>Freight_Diesel</t>
  </si>
  <si>
    <t>Freight_Electric</t>
  </si>
  <si>
    <t>Freight_Total</t>
  </si>
  <si>
    <t>Rail_Total</t>
  </si>
  <si>
    <t>London Underground</t>
  </si>
  <si>
    <t>DLR</t>
  </si>
  <si>
    <t>London Tram</t>
  </si>
  <si>
    <t>Overall</t>
  </si>
  <si>
    <t>tCO2e</t>
  </si>
  <si>
    <r>
      <t>Table 2.6 Road CO</t>
    </r>
    <r>
      <rPr>
        <b/>
        <vertAlign val="subscript"/>
        <sz val="16"/>
        <rFont val="Calibri"/>
        <family val="2"/>
      </rPr>
      <t>2</t>
    </r>
    <r>
      <rPr>
        <b/>
        <sz val="16"/>
        <rFont val="Calibri"/>
        <family val="2"/>
      </rPr>
      <t xml:space="preserve"> emissions by borough, 2023</t>
    </r>
    <r>
      <rPr>
        <b/>
        <sz val="16"/>
        <rFont val="Calibri"/>
        <family val="2"/>
        <scheme val="minor"/>
      </rPr>
      <t xml:space="preserve"> (tCO2 and tCO2e)</t>
    </r>
  </si>
  <si>
    <t>Vehicle type (all vehicles excluding electric)</t>
  </si>
  <si>
    <t>Vehicle type (electric)</t>
  </si>
  <si>
    <t>Motorcycle</t>
  </si>
  <si>
    <t>Taxi</t>
  </si>
  <si>
    <t>Car</t>
  </si>
  <si>
    <t>PHV</t>
  </si>
  <si>
    <t>LGV</t>
  </si>
  <si>
    <t>Bus and Coach</t>
  </si>
  <si>
    <t>Rigid</t>
  </si>
  <si>
    <t>Artic</t>
  </si>
  <si>
    <t>All vehicles excluding electric</t>
  </si>
  <si>
    <t>Motorcycles</t>
  </si>
  <si>
    <t>Bus &amp; Coach</t>
  </si>
  <si>
    <t>Rigid HGVs</t>
  </si>
  <si>
    <t>Articulated HGVs</t>
  </si>
  <si>
    <t>Total (electric)</t>
  </si>
  <si>
    <r>
      <t>tCO</t>
    </r>
    <r>
      <rPr>
        <b/>
        <vertAlign val="subscript"/>
        <sz val="10"/>
        <color indexed="9"/>
        <rFont val="Calibri"/>
        <family val="2"/>
      </rPr>
      <t>2</t>
    </r>
    <r>
      <rPr>
        <sz val="10"/>
        <rFont val="Arial"/>
        <family val="2"/>
      </rPr>
      <t/>
    </r>
  </si>
  <si>
    <t>tCO2e - CH4</t>
  </si>
  <si>
    <t xml:space="preserve">tCO2e - N2O </t>
  </si>
  <si>
    <t>Table 2.7 Road energy use by borough, 2023 (litres and kWh)</t>
  </si>
  <si>
    <t>Total (all vehicles excluding electric)</t>
  </si>
  <si>
    <t>Motorcycle (petrol)</t>
  </si>
  <si>
    <t>Taxi (diesel)</t>
  </si>
  <si>
    <t>Car (petrol)</t>
  </si>
  <si>
    <t>Car (diesel)</t>
  </si>
  <si>
    <t>PHV (petrol)</t>
  </si>
  <si>
    <t>PHV (diesel)</t>
  </si>
  <si>
    <t>LGV (petrol)</t>
  </si>
  <si>
    <t>LGV (diesel)</t>
  </si>
  <si>
    <t>Bus (diesel)</t>
  </si>
  <si>
    <t>Coach (diesel)</t>
  </si>
  <si>
    <t>Rigid (diesel)</t>
  </si>
  <si>
    <t>Artic (diesel)</t>
  </si>
  <si>
    <t>litres</t>
  </si>
  <si>
    <t>Diesel litres</t>
  </si>
  <si>
    <t>Petrol litres</t>
  </si>
  <si>
    <t>Total litres</t>
  </si>
  <si>
    <t>Diesel and petrol (kWh)</t>
  </si>
  <si>
    <t>Total electric (kWh)</t>
  </si>
  <si>
    <t>Table 3.1 Landfill emissions, 2023 (tonnes, tCH4, and tCO2e)</t>
  </si>
  <si>
    <t>GHG Emissions Source</t>
  </si>
  <si>
    <t>Activity data (tonnes)</t>
  </si>
  <si>
    <r>
      <t>GHGs (metric tonnes CO</t>
    </r>
    <r>
      <rPr>
        <b/>
        <vertAlign val="subscript"/>
        <sz val="11"/>
        <color theme="0"/>
        <rFont val="Calibri"/>
        <family val="2"/>
      </rPr>
      <t>2</t>
    </r>
    <r>
      <rPr>
        <b/>
        <sz val="11"/>
        <color theme="0"/>
        <rFont val="Calibri"/>
        <family val="2"/>
      </rPr>
      <t>e)</t>
    </r>
  </si>
  <si>
    <t>Treatment activity</t>
  </si>
  <si>
    <t>Type of waste</t>
  </si>
  <si>
    <t>Amount</t>
  </si>
  <si>
    <r>
      <t>CO</t>
    </r>
    <r>
      <rPr>
        <b/>
        <vertAlign val="subscript"/>
        <sz val="11"/>
        <color theme="0"/>
        <rFont val="Calibri"/>
        <family val="2"/>
      </rPr>
      <t>2</t>
    </r>
  </si>
  <si>
    <r>
      <t>CH</t>
    </r>
    <r>
      <rPr>
        <b/>
        <vertAlign val="subscript"/>
        <sz val="11"/>
        <color theme="0"/>
        <rFont val="Calibri"/>
        <family val="2"/>
      </rPr>
      <t>4</t>
    </r>
  </si>
  <si>
    <r>
      <t>N</t>
    </r>
    <r>
      <rPr>
        <b/>
        <vertAlign val="subscript"/>
        <sz val="11"/>
        <color theme="0"/>
        <rFont val="Calibri"/>
        <family val="2"/>
      </rPr>
      <t>2</t>
    </r>
    <r>
      <rPr>
        <b/>
        <sz val="11"/>
        <color theme="0"/>
        <rFont val="Calibri"/>
        <family val="2"/>
      </rPr>
      <t>O</t>
    </r>
  </si>
  <si>
    <r>
      <t>Total tCO</t>
    </r>
    <r>
      <rPr>
        <b/>
        <vertAlign val="subscript"/>
        <sz val="11"/>
        <color theme="0"/>
        <rFont val="Calibri"/>
        <family val="2"/>
      </rPr>
      <t>2</t>
    </r>
    <r>
      <rPr>
        <b/>
        <sz val="11"/>
        <color theme="0"/>
        <rFont val="Calibri"/>
        <family val="2"/>
      </rPr>
      <t>e</t>
    </r>
  </si>
  <si>
    <t>Emissions from solid waste disposed in landfills in the city</t>
  </si>
  <si>
    <t>Landfill sites</t>
  </si>
  <si>
    <t>All waste</t>
  </si>
  <si>
    <t>-</t>
  </si>
  <si>
    <t>Emissions from solid waste disposed in landfills outside the city</t>
  </si>
  <si>
    <t>Table 3.2 Emissions from the biological treatement of waste, 2023 (tonnes, tCH4 and tCO2e)</t>
  </si>
  <si>
    <t>Emissions from solid waste generated in the city that is treated biologically in the city</t>
  </si>
  <si>
    <t>Anaerobic digestion</t>
  </si>
  <si>
    <t>Food waste</t>
  </si>
  <si>
    <t>Composting</t>
  </si>
  <si>
    <t>All organic waste</t>
  </si>
  <si>
    <t>Emissions from waste generated outside the city boundary but treated in the city</t>
  </si>
  <si>
    <t>Emissions from waste generated inside the city boundary but treated outside the city</t>
  </si>
  <si>
    <t>Table 3.3 Emissions from wastewater treatment and discharge, 2023 (tonnes, tCH4, tN2O and tCO2e)</t>
  </si>
  <si>
    <t>Emissions from wastewater</t>
  </si>
  <si>
    <t>All wastewater (4.D)</t>
  </si>
  <si>
    <t>NB: Emissions from incineration are provided in the "Energy - Stationary" worksheet</t>
  </si>
  <si>
    <t>Industrial Process and Product Use (IPPU)</t>
  </si>
  <si>
    <t>Table 4.1 Emissions from industrial processes, 2023 (tCO2e)</t>
  </si>
  <si>
    <r>
      <t>GHGs (metric tonnes CO</t>
    </r>
    <r>
      <rPr>
        <b/>
        <vertAlign val="subscript"/>
        <sz val="12"/>
        <color theme="0"/>
        <rFont val="Calibri"/>
        <family val="2"/>
      </rPr>
      <t>2</t>
    </r>
    <r>
      <rPr>
        <b/>
        <sz val="12"/>
        <color theme="0"/>
        <rFont val="Calibri"/>
        <family val="2"/>
      </rPr>
      <t>e)</t>
    </r>
  </si>
  <si>
    <t>Industry</t>
  </si>
  <si>
    <t>Industrial process</t>
  </si>
  <si>
    <t>Description</t>
  </si>
  <si>
    <r>
      <t>CO</t>
    </r>
    <r>
      <rPr>
        <b/>
        <vertAlign val="subscript"/>
        <sz val="12"/>
        <color theme="0"/>
        <rFont val="Calibri"/>
        <family val="2"/>
      </rPr>
      <t>2</t>
    </r>
  </si>
  <si>
    <r>
      <t>CH</t>
    </r>
    <r>
      <rPr>
        <b/>
        <vertAlign val="subscript"/>
        <sz val="12"/>
        <color theme="0"/>
        <rFont val="Calibri"/>
        <family val="2"/>
      </rPr>
      <t>4</t>
    </r>
  </si>
  <si>
    <r>
      <t>N</t>
    </r>
    <r>
      <rPr>
        <b/>
        <vertAlign val="subscript"/>
        <sz val="12"/>
        <color theme="0"/>
        <rFont val="Calibri"/>
        <family val="2"/>
      </rPr>
      <t>2</t>
    </r>
    <r>
      <rPr>
        <b/>
        <sz val="12"/>
        <color theme="0"/>
        <rFont val="Calibri"/>
        <family val="2"/>
      </rPr>
      <t>O</t>
    </r>
  </si>
  <si>
    <t>PFC</t>
  </si>
  <si>
    <t>HFC</t>
  </si>
  <si>
    <r>
      <t>SF</t>
    </r>
    <r>
      <rPr>
        <b/>
        <vertAlign val="subscript"/>
        <sz val="12"/>
        <color theme="0"/>
        <rFont val="Calibri"/>
        <family val="2"/>
      </rPr>
      <t>6</t>
    </r>
  </si>
  <si>
    <r>
      <t>NF</t>
    </r>
    <r>
      <rPr>
        <b/>
        <vertAlign val="subscript"/>
        <sz val="12"/>
        <color theme="0"/>
        <rFont val="Calibri"/>
        <family val="2"/>
      </rPr>
      <t>3</t>
    </r>
  </si>
  <si>
    <r>
      <t>Total tCO</t>
    </r>
    <r>
      <rPr>
        <b/>
        <vertAlign val="subscript"/>
        <sz val="12"/>
        <color theme="0"/>
        <rFont val="Calibri"/>
        <family val="2"/>
      </rPr>
      <t>2</t>
    </r>
    <r>
      <rPr>
        <b/>
        <sz val="12"/>
        <color theme="0"/>
        <rFont val="Calibri"/>
        <family val="2"/>
      </rPr>
      <t>e</t>
    </r>
  </si>
  <si>
    <t>Emissions from industrial processes occurring in the city boundary</t>
  </si>
  <si>
    <t>Table 4.2 Emissions from industrial product use, 2023 (tCO2e)</t>
  </si>
  <si>
    <t>Product use</t>
  </si>
  <si>
    <t>Emissions from product use occurring within the city boundary</t>
  </si>
  <si>
    <t>Electronics_industry</t>
  </si>
  <si>
    <t>Non-electricity - HFC23</t>
  </si>
  <si>
    <t>Non-electricity - NF3</t>
  </si>
  <si>
    <t>Product_uses_as_substitutes_for_ozone_depleting_substances</t>
  </si>
  <si>
    <t xml:space="preserve">  Refrigeration and stationary air conditioning (2.F.1.a)</t>
  </si>
  <si>
    <t>Commercial refrigeration - HFC125</t>
  </si>
  <si>
    <t>Commercial refrigeration - HFC134a</t>
  </si>
  <si>
    <t>Commercial refrigeration - HFC143a</t>
  </si>
  <si>
    <t>Commercial refrigeration - HFC32</t>
  </si>
  <si>
    <t>Domestic refrigeration - HFC134a</t>
  </si>
  <si>
    <t>Industrial refrigeration - HFC125</t>
  </si>
  <si>
    <t>Industrial refrigeration - HFC134a</t>
  </si>
  <si>
    <t>Industrial refrigeration - HFC143a</t>
  </si>
  <si>
    <t>Industrial refrigeration - HFC32</t>
  </si>
  <si>
    <t>Transport refrigeration - HFC125</t>
  </si>
  <si>
    <t>Transport refrigeration - HFC134a</t>
  </si>
  <si>
    <t>Transport refrigeration - HFC143a</t>
  </si>
  <si>
    <t>Transport refrigeration - HFC32</t>
  </si>
  <si>
    <t>Mobile air conditioning - HFC125</t>
  </si>
  <si>
    <t>Mobile air conditioning - HFC134a</t>
  </si>
  <si>
    <t>Mobile air conditioning - HFC32</t>
  </si>
  <si>
    <t>Stationary air conditioning - HFC125</t>
  </si>
  <si>
    <t>Stationary air conditioning - HFC134a</t>
  </si>
  <si>
    <t>Stationary air conditioning - HFC32</t>
  </si>
  <si>
    <t>Closed foam blowing agents - HFC134a</t>
  </si>
  <si>
    <t>Closed foam blowing agents - HFC152a</t>
  </si>
  <si>
    <t>Closed foam blowing agents - HFC227ea</t>
  </si>
  <si>
    <t>Closed foam blowing agents - HFC245fa</t>
  </si>
  <si>
    <t>Closed foam blowing agents - HFC365mfc</t>
  </si>
  <si>
    <t>Other_product_manufacture_and_use</t>
  </si>
  <si>
    <t>Other - Tracer gas - SF6</t>
  </si>
  <si>
    <t>Non-electricity - HFC227ea</t>
  </si>
  <si>
    <t>Metered dose inhalers - HFC134a</t>
  </si>
  <si>
    <t>Metered dose inhalers - HFC227ea</t>
  </si>
  <si>
    <t>Aerosols:Other - HFC134a</t>
  </si>
  <si>
    <t>Aerosols:Other - HFC152a</t>
  </si>
  <si>
    <t>Non-electricity - HFC-43-10mee</t>
  </si>
  <si>
    <t>Other (2.F.6) (please specify)</t>
  </si>
  <si>
    <t>Other Applications: Contained - refrigerant containers - HFC125</t>
  </si>
  <si>
    <t>Other Applications: Contained - refrigerant containers - HFC134a</t>
  </si>
  <si>
    <t>Other Applications: Contained - refrigerant containers - HFC143a</t>
  </si>
  <si>
    <t>Other Applications: Contained - refrigerant containers - HFC32</t>
  </si>
  <si>
    <t>Other Applications:contained-Refrigerant containers - HFC23</t>
  </si>
  <si>
    <t>Other Applications:contained-Refrigerant containers - HFC227ea</t>
  </si>
  <si>
    <t>Medical applications &amp; other - N20</t>
  </si>
  <si>
    <t>Other (2.G.4) (please specify)</t>
  </si>
  <si>
    <t>Chemical industry other processes sources</t>
  </si>
  <si>
    <t>Electrical equipment - SF6</t>
  </si>
  <si>
    <t>Military applications - SF6</t>
  </si>
  <si>
    <t>Particle accelerators - SF6</t>
  </si>
  <si>
    <t>Electronics and shoes - C2F6</t>
  </si>
  <si>
    <t>Electronics and shoes - C3F8</t>
  </si>
  <si>
    <t>Electronics and shoes - C4F8</t>
  </si>
  <si>
    <t>Electronics and shoes - CF4</t>
  </si>
  <si>
    <t>Electronics and shoes - SF6</t>
  </si>
  <si>
    <t/>
  </si>
  <si>
    <t>TOTAL:</t>
  </si>
  <si>
    <t>Agriculture, Forestry and Other Land Use Emissions</t>
  </si>
  <si>
    <t>Note: Emissions from this source have not been updated for 2023</t>
  </si>
  <si>
    <t>Table 5.1 Emissions from livestock, 2022 (tCO2, tCH4, tN2O and tCO2e)</t>
  </si>
  <si>
    <r>
      <t>Total CO</t>
    </r>
    <r>
      <rPr>
        <b/>
        <vertAlign val="subscript"/>
        <sz val="10"/>
        <color theme="0"/>
        <rFont val="Calibri"/>
        <family val="2"/>
        <scheme val="minor"/>
      </rPr>
      <t>2</t>
    </r>
    <r>
      <rPr>
        <b/>
        <sz val="10"/>
        <color theme="0"/>
        <rFont val="Calibri"/>
        <family val="2"/>
        <scheme val="minor"/>
      </rPr>
      <t xml:space="preserve">e emissions </t>
    </r>
  </si>
  <si>
    <t>Activity</t>
  </si>
  <si>
    <r>
      <t>CO</t>
    </r>
    <r>
      <rPr>
        <b/>
        <vertAlign val="subscript"/>
        <sz val="10"/>
        <color theme="0"/>
        <rFont val="Calibri"/>
        <family val="2"/>
        <scheme val="minor"/>
      </rPr>
      <t>2(b)</t>
    </r>
  </si>
  <si>
    <t>Dairy Cows</t>
  </si>
  <si>
    <t>Enteric Fermentation</t>
  </si>
  <si>
    <t>Other Cattle</t>
  </si>
  <si>
    <t>Sheep</t>
  </si>
  <si>
    <t>Swine</t>
  </si>
  <si>
    <t>Other: Minor livestock (Horses, goats &amp; deer)</t>
  </si>
  <si>
    <t xml:space="preserve">Cattle </t>
  </si>
  <si>
    <t>Manure Management</t>
  </si>
  <si>
    <t>Poultry</t>
  </si>
  <si>
    <t>Total (tonnes)</t>
  </si>
  <si>
    <t>Total (Mt)</t>
  </si>
  <si>
    <t>Table 5.2 Emissions from land, 2022 (tCO2, tCH4, tN2O and tCO2e)</t>
  </si>
  <si>
    <r>
      <t>CO</t>
    </r>
    <r>
      <rPr>
        <b/>
        <vertAlign val="subscript"/>
        <sz val="10"/>
        <color theme="0"/>
        <rFont val="Calibri"/>
        <family val="2"/>
        <scheme val="minor"/>
      </rPr>
      <t>2</t>
    </r>
    <r>
      <rPr>
        <b/>
        <sz val="10"/>
        <color theme="0"/>
        <rFont val="Calibri"/>
        <family val="2"/>
        <scheme val="minor"/>
      </rPr>
      <t>e Emissions &amp; Removals (tonnes)</t>
    </r>
  </si>
  <si>
    <t>Bioenergy crops</t>
  </si>
  <si>
    <t>Miscanthus</t>
  </si>
  <si>
    <t>Short rotation coppice</t>
  </si>
  <si>
    <t>Cropland mineral soils under LUC</t>
  </si>
  <si>
    <t>Cropland remaining cropland</t>
  </si>
  <si>
    <t>Grassland converted to cropland</t>
  </si>
  <si>
    <t>Settlement converted to cropland</t>
  </si>
  <si>
    <t>Forestry</t>
  </si>
  <si>
    <t>Forest land remaining forest land</t>
  </si>
  <si>
    <t>Land converted from forest land</t>
  </si>
  <si>
    <t>Land converted to forest land</t>
  </si>
  <si>
    <t>Grassland mineral soils under LUC</t>
  </si>
  <si>
    <t>Cropland converted to grassland</t>
  </si>
  <si>
    <t>Grassland remaining grassland</t>
  </si>
  <si>
    <t>Settlement converted to grassland</t>
  </si>
  <si>
    <t>Other LULUCF</t>
  </si>
  <si>
    <t>Cropland miscellaneous</t>
  </si>
  <si>
    <t>Forest miscellaneous</t>
  </si>
  <si>
    <t>Grassland miscellaneous</t>
  </si>
  <si>
    <t>Peatland</t>
  </si>
  <si>
    <t>Forest drained</t>
  </si>
  <si>
    <t>Settlement drained</t>
  </si>
  <si>
    <t>Settlement</t>
  </si>
  <si>
    <t>Land converted to settlement</t>
  </si>
  <si>
    <t>Settlement remaining settlement</t>
  </si>
  <si>
    <t>Table 5.3 Emissions from aggregate sources, 2022 (tCH4 and tCO2e)</t>
  </si>
  <si>
    <t>Burning</t>
  </si>
  <si>
    <t>Field Burning</t>
  </si>
  <si>
    <t>Table 5.4 Emissions from other sources, 2022 (tN2O and tCO2e)</t>
  </si>
  <si>
    <t>Cattle</t>
  </si>
  <si>
    <t>Soil (all other non manure management sources)</t>
  </si>
  <si>
    <t>Pigs</t>
  </si>
  <si>
    <t>Minor Livestock</t>
  </si>
  <si>
    <t>Non-livestock sources (inc. fertiliser)</t>
  </si>
  <si>
    <t>Total AFOLU</t>
  </si>
  <si>
    <t>Aviation Turbine Fuel</t>
  </si>
  <si>
    <t>MWh</t>
  </si>
  <si>
    <t>GWh</t>
  </si>
  <si>
    <t>km</t>
  </si>
  <si>
    <t>TWh</t>
  </si>
  <si>
    <t>MJ</t>
  </si>
  <si>
    <t>GJ</t>
  </si>
  <si>
    <t>TJ</t>
  </si>
  <si>
    <t>Mcal</t>
  </si>
  <si>
    <t>Coking coal</t>
  </si>
  <si>
    <t>Gcal</t>
  </si>
  <si>
    <t>Railways</t>
  </si>
  <si>
    <t>Gas oil</t>
  </si>
  <si>
    <t>Btu</t>
  </si>
  <si>
    <t>kBtu</t>
  </si>
  <si>
    <t>MMBtu</t>
  </si>
  <si>
    <t>Therm</t>
  </si>
  <si>
    <t>kg</t>
  </si>
  <si>
    <t>Mtoe</t>
  </si>
  <si>
    <t>lt</t>
  </si>
  <si>
    <t>BOE</t>
  </si>
  <si>
    <t>st</t>
  </si>
  <si>
    <t>lb</t>
  </si>
  <si>
    <t>Lubricants</t>
  </si>
  <si>
    <t>Naphtha</t>
  </si>
  <si>
    <t>Petroleum coke</t>
  </si>
  <si>
    <t>Emission Factors and conversion factors</t>
  </si>
  <si>
    <t>Emission factors are derived from emissions modelling or emissions measurements and are usually reported in terms of the amount of pollutant emitted per quantity of fuel consumed or per distance travelled.</t>
  </si>
  <si>
    <t xml:space="preserve">NB: DESNZ Emission Factors (EFs) are produced annually based on the national greenhouse gas inventory two years prior. E.g. 2025 EFs are calculated using national GHG emissions and energy use inventory data from 2023. So, for this 2023 version of LEGGI we have applied DESNZ 2025 EFs to 2023 energy use to provide a more accurate estimate of GHG emissions in 2023 that is consistent with UK inventory data for 2023. </t>
  </si>
  <si>
    <t>Table E1 Fuels emission factors</t>
  </si>
  <si>
    <t>Source: GHG conversion factors 2025. Available at: https://www.gov.uk/government/publications/greenhouse-gas-reporting-conversion-factors-2025</t>
  </si>
  <si>
    <t>Fuel</t>
  </si>
  <si>
    <t>Unit</t>
  </si>
  <si>
    <r>
      <t>kg CO</t>
    </r>
    <r>
      <rPr>
        <b/>
        <vertAlign val="subscript"/>
        <sz val="11"/>
        <color theme="0"/>
        <rFont val="Calibri"/>
        <family val="2"/>
      </rPr>
      <t>2</t>
    </r>
    <r>
      <rPr>
        <b/>
        <sz val="11"/>
        <color theme="0"/>
        <rFont val="Calibri"/>
        <family val="2"/>
      </rPr>
      <t>e</t>
    </r>
  </si>
  <si>
    <r>
      <t>kg CO</t>
    </r>
    <r>
      <rPr>
        <b/>
        <vertAlign val="subscript"/>
        <sz val="11"/>
        <color theme="0"/>
        <rFont val="Calibri"/>
        <family val="2"/>
      </rPr>
      <t>2</t>
    </r>
  </si>
  <si>
    <r>
      <t>kg CH</t>
    </r>
    <r>
      <rPr>
        <b/>
        <vertAlign val="subscript"/>
        <sz val="11"/>
        <color theme="0"/>
        <rFont val="Calibri"/>
        <family val="2"/>
      </rPr>
      <t>4</t>
    </r>
  </si>
  <si>
    <r>
      <t>kg N</t>
    </r>
    <r>
      <rPr>
        <b/>
        <vertAlign val="subscript"/>
        <sz val="11"/>
        <color theme="0"/>
        <rFont val="Calibri"/>
        <family val="2"/>
      </rPr>
      <t>2</t>
    </r>
    <r>
      <rPr>
        <b/>
        <sz val="11"/>
        <color theme="0"/>
        <rFont val="Calibri"/>
        <family val="2"/>
      </rPr>
      <t>O</t>
    </r>
  </si>
  <si>
    <t>Gaseous fuels</t>
  </si>
  <si>
    <t>CNG</t>
  </si>
  <si>
    <t>tonnes</t>
  </si>
  <si>
    <t>kWh (Net CV)</t>
  </si>
  <si>
    <t>kWh (Gross CV)</t>
  </si>
  <si>
    <t>LNG</t>
  </si>
  <si>
    <t>LPG</t>
  </si>
  <si>
    <t>cubic metres</t>
  </si>
  <si>
    <t>Natural gas (100% mineral blend)</t>
  </si>
  <si>
    <t>Other petroleum gas</t>
  </si>
  <si>
    <t>Liquid fuels</t>
  </si>
  <si>
    <t>Aviation spirit</t>
  </si>
  <si>
    <t>Aviation turbine fuel</t>
  </si>
  <si>
    <t>Burning oil</t>
  </si>
  <si>
    <t>Diesel (average biofuel blend)</t>
  </si>
  <si>
    <t>Diesel (100% mineral diesel)</t>
  </si>
  <si>
    <t>Fuel oil</t>
  </si>
  <si>
    <t>Petrol (average biofuel blend)</t>
  </si>
  <si>
    <t>Petrol (100% mineral petrol)</t>
  </si>
  <si>
    <t>Processed fuel oils - residual oil</t>
  </si>
  <si>
    <t>Processed fuel oils - distillate oil</t>
  </si>
  <si>
    <t>Refinery miscellaneous</t>
  </si>
  <si>
    <t>Waste oils</t>
  </si>
  <si>
    <t>Marine gas oil</t>
  </si>
  <si>
    <t>Marine fuel oil</t>
  </si>
  <si>
    <t>Solid fuels</t>
  </si>
  <si>
    <t>Coal (industrial)</t>
  </si>
  <si>
    <t>Coal (electricity generation)</t>
  </si>
  <si>
    <t>Coal (domestic)</t>
  </si>
  <si>
    <t>Coal (electricity generation - home produced coal only)</t>
  </si>
  <si>
    <t>Table E2 Electricity emission factors</t>
  </si>
  <si>
    <t>Source: GHG conversion factors 2025</t>
  </si>
  <si>
    <t>Country</t>
  </si>
  <si>
    <t>Electricity generated</t>
  </si>
  <si>
    <t>Electricity: UK</t>
  </si>
  <si>
    <t>T&amp;D- UK electricity</t>
  </si>
  <si>
    <t>Table E3 Biomass emission factors</t>
  </si>
  <si>
    <r>
      <t>kg CO</t>
    </r>
    <r>
      <rPr>
        <vertAlign val="subscript"/>
        <sz val="11"/>
        <color theme="0"/>
        <rFont val="Calibri"/>
        <family val="2"/>
      </rPr>
      <t>2</t>
    </r>
    <r>
      <rPr>
        <sz val="11"/>
        <color theme="0"/>
        <rFont val="Calibri"/>
        <family val="2"/>
      </rPr>
      <t>e</t>
    </r>
  </si>
  <si>
    <t>Wood logs</t>
  </si>
  <si>
    <t>Wood chips</t>
  </si>
  <si>
    <t>Wood pellets</t>
  </si>
  <si>
    <t>Grass/straw</t>
  </si>
  <si>
    <t>Table E4 Emissions from non-grid connect waste and bioenergy at commercial and industrial sites</t>
  </si>
  <si>
    <t>Fuel type or activity</t>
  </si>
  <si>
    <t>EF Unit</t>
  </si>
  <si>
    <t>CO2e Emission Factors</t>
  </si>
  <si>
    <t>Source</t>
  </si>
  <si>
    <t>CO2</t>
  </si>
  <si>
    <t>CH4</t>
  </si>
  <si>
    <t>N2O</t>
  </si>
  <si>
    <t>CO2e</t>
  </si>
  <si>
    <t>Waste and Bioenergy (not grid connected)</t>
  </si>
  <si>
    <t>kg/kWh</t>
  </si>
  <si>
    <t>Data provided by Ricardo</t>
  </si>
  <si>
    <t>Table E5 Global warming potentials</t>
  </si>
  <si>
    <t>Source: IPCC</t>
  </si>
  <si>
    <t xml:space="preserve">Greenhouse gas </t>
  </si>
  <si>
    <t>IPCC Assessment Report</t>
  </si>
  <si>
    <t>Formula</t>
  </si>
  <si>
    <t>Name</t>
  </si>
  <si>
    <t>5AR</t>
  </si>
  <si>
    <t>4AR</t>
  </si>
  <si>
    <t>3AR</t>
  </si>
  <si>
    <t>2AR</t>
  </si>
  <si>
    <t>Carbon Dioxide</t>
  </si>
  <si>
    <t>Methane</t>
  </si>
  <si>
    <t>Nitrous Oxide</t>
  </si>
  <si>
    <t>SF6</t>
  </si>
  <si>
    <t>Sulphur hexafluoride</t>
  </si>
  <si>
    <t>CF4</t>
  </si>
  <si>
    <t>Carbon tetrafluoride</t>
  </si>
  <si>
    <t>C2F6</t>
  </si>
  <si>
    <t>Hexafluoroethane</t>
  </si>
  <si>
    <t>CHF3</t>
  </si>
  <si>
    <t>HFC-23</t>
  </si>
  <si>
    <t>CH2F2</t>
  </si>
  <si>
    <t>HFC-32</t>
  </si>
  <si>
    <t>CH3F</t>
  </si>
  <si>
    <t>HFC-41</t>
  </si>
  <si>
    <t>C2HF5</t>
  </si>
  <si>
    <t>HFC-125</t>
  </si>
  <si>
    <t>C2H2F4</t>
  </si>
  <si>
    <t>HFC-134</t>
  </si>
  <si>
    <t>CH2FCF3</t>
  </si>
  <si>
    <t>HFC-134a</t>
  </si>
  <si>
    <t>C2H3F3</t>
  </si>
  <si>
    <t>HFC-143</t>
  </si>
  <si>
    <t>C2H4F3</t>
  </si>
  <si>
    <t>HFC-143a</t>
  </si>
  <si>
    <t>C2H4F2</t>
  </si>
  <si>
    <t>HFC-152a</t>
  </si>
  <si>
    <t>C3HF7</t>
  </si>
  <si>
    <t>HFC-227ea</t>
  </si>
  <si>
    <t>C3H2F6</t>
  </si>
  <si>
    <t>HFC-236fa</t>
  </si>
  <si>
    <t>C3H3F5</t>
  </si>
  <si>
    <t>HFC-245ca</t>
  </si>
  <si>
    <t>NF3</t>
  </si>
  <si>
    <t>Nitrogen trifluoride</t>
  </si>
  <si>
    <t>NB: The IPCC 4AR emission factors have been used for consistency with previous years, unless otherwise stated.</t>
  </si>
  <si>
    <t>Table E6 Typical conversion factors - mass</t>
  </si>
  <si>
    <t>g</t>
  </si>
  <si>
    <t>t</t>
  </si>
  <si>
    <t>kt</t>
  </si>
  <si>
    <t>gramme (g)</t>
  </si>
  <si>
    <t>Kilogramme (kg)</t>
  </si>
  <si>
    <t>Metric tonne (t)</t>
  </si>
  <si>
    <t>Kiloton (kt)</t>
  </si>
  <si>
    <t>Long ton (lt)</t>
  </si>
  <si>
    <t>Short ton (st)</t>
  </si>
  <si>
    <t>Pound (lb)</t>
  </si>
  <si>
    <t>Table E7 Typical conversion factors - Energy</t>
  </si>
  <si>
    <t>Table E8 Typical conversion factors - Volume</t>
  </si>
  <si>
    <t>L</t>
  </si>
  <si>
    <r>
      <t>m</t>
    </r>
    <r>
      <rPr>
        <b/>
        <vertAlign val="superscript"/>
        <sz val="11"/>
        <color theme="0"/>
        <rFont val="Calibri"/>
        <family val="2"/>
      </rPr>
      <t>3</t>
    </r>
  </si>
  <si>
    <t>cu ft</t>
  </si>
  <si>
    <t>Imp. gallon</t>
  </si>
  <si>
    <t>US gallon</t>
  </si>
  <si>
    <t>Bbl (US,P)</t>
  </si>
  <si>
    <t>Litres, L</t>
  </si>
  <si>
    <r>
      <t>Cubic metres, m</t>
    </r>
    <r>
      <rPr>
        <b/>
        <vertAlign val="superscript"/>
        <sz val="11"/>
        <rFont val="Calibri"/>
        <family val="2"/>
      </rPr>
      <t>3</t>
    </r>
  </si>
  <si>
    <t>Cubic feet, cu ft</t>
  </si>
  <si>
    <t>Imperial gallon</t>
  </si>
  <si>
    <t>Barrel (US, petroleum), bbl</t>
  </si>
  <si>
    <t>Table E9 Typical conversion factors - length/distance</t>
  </si>
  <si>
    <t>m</t>
  </si>
  <si>
    <t>ft</t>
  </si>
  <si>
    <t>mi</t>
  </si>
  <si>
    <t>nmi</t>
  </si>
  <si>
    <t>Metre, m</t>
  </si>
  <si>
    <t>Feet, ft</t>
  </si>
  <si>
    <t>Miles, mi</t>
  </si>
  <si>
    <t>Kilometres, km</t>
  </si>
  <si>
    <t>Nautical miles, nmi or NM</t>
  </si>
  <si>
    <t>Table E10 Fuel properties</t>
  </si>
  <si>
    <t>Net CV</t>
  </si>
  <si>
    <t>Gross CV</t>
  </si>
  <si>
    <t>Density</t>
  </si>
  <si>
    <t>Density*</t>
  </si>
  <si>
    <t>GJ/tonne</t>
  </si>
  <si>
    <r>
      <t>kg/m</t>
    </r>
    <r>
      <rPr>
        <vertAlign val="superscript"/>
        <sz val="11"/>
        <color theme="0"/>
        <rFont val="Calibri"/>
        <family val="2"/>
      </rPr>
      <t>3</t>
    </r>
  </si>
  <si>
    <t>litres/tonne</t>
  </si>
  <si>
    <t>kWh/kg</t>
  </si>
  <si>
    <t>kWh/litre</t>
  </si>
  <si>
    <t>Aviation Spirit</t>
  </si>
  <si>
    <t>Burning Oil</t>
  </si>
  <si>
    <t>Coking Coal</t>
  </si>
  <si>
    <t>Fuel Oil</t>
  </si>
  <si>
    <t>Gas Oil</t>
  </si>
  <si>
    <t>Natural Gas (100% mineral blend)</t>
  </si>
  <si>
    <t>Biodiesel (ME)</t>
  </si>
  <si>
    <t>Biodiesel (BtL or HVO)</t>
  </si>
  <si>
    <t>Bioethanol</t>
  </si>
  <si>
    <t>BioETBE</t>
  </si>
  <si>
    <t>Biogas</t>
  </si>
  <si>
    <t xml:space="preserve">Biomethane </t>
  </si>
  <si>
    <t>Grasses/Straw</t>
  </si>
  <si>
    <t>Landfill Gas</t>
  </si>
  <si>
    <t>Wood Chips</t>
  </si>
  <si>
    <t>Wood Logs</t>
  </si>
  <si>
    <t>Wood Pellets</t>
  </si>
  <si>
    <r>
      <t>Methane (CH</t>
    </r>
    <r>
      <rPr>
        <vertAlign val="subscript"/>
        <sz val="11"/>
        <rFont val="Arial"/>
        <family val="2"/>
      </rPr>
      <t>4</t>
    </r>
    <r>
      <rPr>
        <sz val="11"/>
        <rFont val="Arial"/>
        <family val="2"/>
      </rPr>
      <t>)</t>
    </r>
  </si>
  <si>
    <r>
      <t>Carbon Dioxide (CO</t>
    </r>
    <r>
      <rPr>
        <vertAlign val="subscript"/>
        <sz val="11"/>
        <rFont val="Arial"/>
        <family val="2"/>
      </rPr>
      <t>2</t>
    </r>
    <r>
      <rPr>
        <sz val="11"/>
        <rFont val="Arial"/>
        <family val="2"/>
      </rPr>
      <t>)</t>
    </r>
  </si>
  <si>
    <t>Data sources and methods</t>
  </si>
  <si>
    <t>Dataset</t>
  </si>
  <si>
    <t>Link</t>
  </si>
  <si>
    <t>Methodology</t>
  </si>
  <si>
    <t>Table Number</t>
  </si>
  <si>
    <t>Electricity use and greenhouse gas (GHG) emissions calculated from actual or estimated meter reading at domestic premises.</t>
  </si>
  <si>
    <t>Sub-national electricity sales and numbers of customers</t>
  </si>
  <si>
    <t>https://www.gov.uk/government/collections/sub-national-electricity-consumption-data</t>
  </si>
  <si>
    <t>Energy use and GHG emissions from natural gas supplied to homes, where it is used for cooking in natural gas-powered ranges and ovens, natural gas-heated clothes dryers, water and central heating, and domestic boilers, etc. Data is not weather corrected.</t>
  </si>
  <si>
    <t>Sub-national gas consumption statistics  (not weather corrected)</t>
  </si>
  <si>
    <t>Regional and local authority gas consumption statistics - GOV.UK (www.gov.uk)</t>
  </si>
  <si>
    <t>Energy use and GHG emissions from smokeless solid fuels (SSF) - coke and anthracite - burnt exclusively within Smoke Control Areas and used for room heaters, cookers, boilers, open fires and stoves.</t>
  </si>
  <si>
    <t xml:space="preserve">Sub-national residual fuel consumption in the United Kingdom
</t>
  </si>
  <si>
    <t>https://www.gov.uk/government/collections/total-final-energy-consumption-at-sub-national-level</t>
  </si>
  <si>
    <t>Oil [Petroleum]</t>
  </si>
  <si>
    <t>Energy use and GHG emissions from domestic oil (e.g., heating oil, gas oils, kerosene, etc) used for oil- fired central heating in residential homes.</t>
  </si>
  <si>
    <t>Commercial and industrial</t>
  </si>
  <si>
    <t>Energy use and GHG emissions associated with industrial and commercial electricity consumption, including electricity consumption by overground electric trains and the London Underground trains.</t>
  </si>
  <si>
    <t xml:space="preserve">Sub-national electricity sales and numbers of customers </t>
  </si>
  <si>
    <t>Energy use and GHG emissions from industrial (excluding gas-fired electricity generation and power stations), commercial (e.g., hotel and catering, warehouses, retail, sport and leisure, etc) and public services (e.g., education, Government, health, etc) gas use. Data is not weather corrected after 2015. Weather corrected data for prior years will be updated once available, and is expected to have a minor impact on trends.</t>
  </si>
  <si>
    <t>Sub-national gas consumption statistics  (2015+ not weather corrected, 2005-2014 weather corrected)</t>
  </si>
  <si>
    <t>Energy use and GHG emissions from industrial (e.g., iron and steel production, excluding coal-fired electricity generation at power stations) and commercial/ public (e.g., as feedstock for boilers providing heating and hot water in public buildings such as hospitals and schools) coal consumption.</t>
  </si>
  <si>
    <t>Sub-national residual fuel consumption in the United Kingdom</t>
  </si>
  <si>
    <t>Energy use and GHG emissions from oil (e.g., heavy, medium and light fuel oil) used in general industrial and commercial applications, including boiler firing for hot water and steam raising, furnaces and large air heater and dryers but excluding petrol and gas oil/diesel (DERV) used by road and rail transport as well as oil used for electricity generation at power stations.</t>
  </si>
  <si>
    <t>Waste and bioenergy (not grid connected)</t>
  </si>
  <si>
    <r>
      <t>Energy use and GHG emissions from wastes (excluding greenhouse gases from waste incinerated and/or used to generate energy) and renewables (including, landfill gas, sewage gas, wood, municipal solid waste, scrap tyres, waste oils, clinical waste, waste solvents, etc,). CO</t>
    </r>
    <r>
      <rPr>
        <vertAlign val="subscript"/>
        <sz val="10"/>
        <rFont val="Calibri"/>
        <family val="2"/>
      </rPr>
      <t>2</t>
    </r>
    <r>
      <rPr>
        <sz val="10"/>
        <rFont val="Calibri"/>
        <family val="2"/>
      </rPr>
      <t xml:space="preserve"> emissions from biomass are excluded but non-carbon dioxide greenhouse gases (methane and nitrous oxide) are included.</t>
    </r>
  </si>
  <si>
    <t>Large industrial gas consumption</t>
  </si>
  <si>
    <t>Total gas use by large industrial consumers in London. Data is not weather corrected.</t>
  </si>
  <si>
    <t>Provided by Ricardo based on DESNZ data</t>
  </si>
  <si>
    <t>Incineration</t>
  </si>
  <si>
    <t>Grid connected incineration of London's waste</t>
  </si>
  <si>
    <t>Emissions from waste incinerators in London. Emissions are provided for information only and not included in the estimate of London's overall emissions as the emissions associated with grid connected incinerators are included in the grid emissions factors.</t>
  </si>
  <si>
    <t>Environment Agency Waste Data Interrogator</t>
  </si>
  <si>
    <t>2023 Waste Data Interrogator - data.gov.uk</t>
  </si>
  <si>
    <t>Tonnes waste from Environment Agency Waste Data Interrogator. Emissions estimaed using calculator in GPC CIRIS file (IPCC methodology).</t>
  </si>
  <si>
    <t>Domestic aviation - Heathrow</t>
  </si>
  <si>
    <t>Energy use and GHG emissions from fuel use in civil aviation (i.e. domestic and international flights and aircrafts in the landing and take-off flight phases up to 1,000m) and management of airports (including airside support vehicles, stationary heating and auxiliary power units, etc) at London Heathrow, London City, Battersea, Biggin Hill, Denham, Elstree, Lippits Hill, Northolt and Stapleford airports.</t>
  </si>
  <si>
    <t>London Atmospheric Emissions Inventory - data has been extrapolated from the 2022 LAEI by Transport for London (for all transport modes excluding shipping, which has been extrapolated from 2021 data by the Port of London Authority). In the Non-Road and Mobile Machinery (NRMM) emissions category, it is not possible to extrapolate construction and manufacturing related NRMM emissions and so the data provided is from the LAEI for 2022. For aviation related NRMM emissions, 2022 LAEI data has been extrapolated by TfL to provide an update for 2023.</t>
  </si>
  <si>
    <t>https://data.london.gov.uk/dataset/london-atmospheric-emissions-inventory-laei-2022-2lg5g/</t>
  </si>
  <si>
    <t>Domestic aviation - London City</t>
  </si>
  <si>
    <t>Domestic aviation - other</t>
  </si>
  <si>
    <t>Domestic shipping</t>
  </si>
  <si>
    <t>Energy use and GHG emissions from domestic and international shipping/marine vessels operating on the River Thames (i.e. including the 33 ports and terminals on the River Thames, starting from the breakwater at the M25 Motorway eastern boundary and then about 43 km westward towards Teddington) in Greater London.</t>
  </si>
  <si>
    <t xml:space="preserve">Fossil fuel and electric rail energy consumption and emissions. </t>
  </si>
  <si>
    <t>Road Transport</t>
  </si>
  <si>
    <t>Energy consumption and emissions from electric and non-electric road transport.</t>
  </si>
  <si>
    <t>2.6, 2.7</t>
  </si>
  <si>
    <t xml:space="preserve">Off-road vehicles are those designed or adapted for travel on unpaved terrain. This category typically includes airport ground support equipment, all-terrain vehicles, landscaping and construction equipment, bulldozers, forklifts, snowmobiles etc. </t>
  </si>
  <si>
    <t>2022 / 2023</t>
  </si>
  <si>
    <t>Landfilled waste</t>
  </si>
  <si>
    <t>GHG emissions from landfill sites in London and from London's waste landfilled outside London.</t>
  </si>
  <si>
    <t>Tonnes of waste landfilled inside/outside London extracted from Environment Agency Waste Data Interrogator.
 London landfill sites: Methane emissions estimated using methane First Order Decay method and IPCC Waste tool, using England average waste composition data. 
Waste landfilled outside London: Methane emissions estimated using methane commitment method and EA data on types of waste exported outside London used.</t>
  </si>
  <si>
    <t>Biologically treated waste</t>
  </si>
  <si>
    <t>GHG emissions from the biological treatment of waste. This refers to composting and anaerobic digestion of organic waste, such as food waste, garden and park waste, sludge, and other organic waste sources. Includes emissions from the biological treatment of waste in London, and the emissions from London's waste biologically treated outside London.</t>
  </si>
  <si>
    <t>Tonnages from Environment Agency Waste Data Interrogator. Emissions estimated using GPC CIRIS file calculator (based on emission factors from the 2006 IPCC Methodology, Ch 5 on Waste, Table 4.1)</t>
  </si>
  <si>
    <t>Wastewater</t>
  </si>
  <si>
    <t>GHG emissions from wastewater treatment.</t>
  </si>
  <si>
    <t>London Population data</t>
  </si>
  <si>
    <t xml:space="preserve">https://data.london.gov.uk/dataset/londons-population </t>
  </si>
  <si>
    <t xml:space="preserve">Estimated using the GPC CIRIS file calculator (contains UK default factors in the 2006 IPCC methodology) and based on London population. </t>
  </si>
  <si>
    <t>GPC CIRIS file</t>
  </si>
  <si>
    <t>https://resourcecentre.c40.org/resources/reporting-ghg-emissions-inventories</t>
  </si>
  <si>
    <t>CIRIS (City Inventory Reporting and Information System) is an excel tool for managing and reporting city GHG inventory data. It is based on the Global Protocol for Community Scale Greenhouse Gas Emissions Invntories (GPC) standard. Within the tool are calculators for estimating emissions from waste, based on the 2006 IPCC Methodology.</t>
  </si>
  <si>
    <t>3.1, 3.2, 3.3</t>
  </si>
  <si>
    <t>GHG emissions from industrial processes, e.g. mineral, chemical, metal industry.</t>
  </si>
  <si>
    <t>Not estimated</t>
  </si>
  <si>
    <t>Products such as refrigerants, foams or aerosol cans can release potent GHG emissions.</t>
  </si>
  <si>
    <t xml:space="preserve">UK Greenhouse Gas Inventory, 1990 to 2023: Annual Report for Submission under the Framework Convention on Climate Change </t>
  </si>
  <si>
    <t>United Kingdom. 2025 Common Reporting Table (CRT). Convention | UNFCCC</t>
  </si>
  <si>
    <t xml:space="preserve">Product Use GHG emissions were extracted from the UK GHG emission inventory for England and scaled to the LEGGI area using population data for London. 
</t>
  </si>
  <si>
    <t>Livestock production emits CH4 through enteric fermentation, and both CH4 and N2O through management of their manure.</t>
  </si>
  <si>
    <t>Provided by the UK Centre for Ecology &amp; Hydrology. Methodology can be found at:
Carnell E.J., Tomlinson S.J., Leaver D. and Dragosits U. (2018) The spatial distribution of ammonia, methane and nitrous oxide emissions from agriculture in the UK 2016. (Contribution to the UK National Atmospheric Emission Inventory and Greenhouse Gas Inventory). Annual Report on Defra Project SCF0107. CEH Report. 14pp. (June 2018)</t>
  </si>
  <si>
    <t>http://nora.nerc.ac.uk/id/eprint/529857/</t>
  </si>
  <si>
    <t xml:space="preserve">Agriculture emissions were extracted from the UK GHG emission inventory for the LEGGI area for the IPCC sub-categories. The agricultural emission estimates of CH4 and N2O are derived using a statistical approach to estimate local emissions by combining high-resolution agricultural statistics (at a parish level) with land cover data, agricultural practice information and emission factors. 
</t>
  </si>
  <si>
    <t>Emissions and removals of CO2 are based on changes in ecosystem C stocks and are estimated for each land-use category. C stocks consist of above-ground and below-ground biomass, dead organic matter, and soil organic matter.</t>
  </si>
  <si>
    <t xml:space="preserve">Mapping Carbon Emissions &amp; Removals for the Land Use, Land-Use Change &amp; Forestry Sector, Hannah Clilverd, Gwen Buys, Amanda Thomson, Heath Malcolm, Paul Henshall &amp; Robert Matthews (2020), </t>
  </si>
  <si>
    <t>https://assets.publishing.service.gov.uk/government/uploads/system/uploads/attachment_data/file/812153/LULUCF_Local_Authority_mapping_report_2017.pdf</t>
  </si>
  <si>
    <t>The LULUCF sector differs from other sectors in the London Greenhouse Gas Inventory in that it contains both sources and sinks of greenhouse gases. The sources, or emissions to the atmosphere, are given as positive values; the sinks, or removals from the atmosphere, are given as negative values.
The UK Centre for Ecology and Hydrology (CEH) prepared LULUCF estimates, which are made using dynamic models of changes in stored carbon, driven by land use change data. For forestry, the model deals with plant carbon, dead organic matter, soil and harvested wood products and is driven by the area of land newly afforested each year, management practices and harvesting. Changes in soil carbon are driven by estimated time series of land use transitions between semi-natural grassland, improved pasture, cropland, forest land and settlement land uses.</t>
  </si>
  <si>
    <t>Aggregates</t>
  </si>
  <si>
    <t>Emissions from field burning sub-category.</t>
  </si>
  <si>
    <t>Other agriculture</t>
  </si>
  <si>
    <t>Other sources of GHG emissions from land include rice cultivation, fertilizer use, liming, and urea application.</t>
  </si>
  <si>
    <t>London population</t>
  </si>
  <si>
    <t>Population estimates for  London</t>
  </si>
  <si>
    <t>https://www.ons.gov.uk/peoplepopulationandcommunity/populationandmigration/populationestimates/datasets/estimatesofthepopulationforenglandandwales</t>
  </si>
  <si>
    <t>Office for National Statistics, MYE2: Population Estimates by single year of age and sex for local authorities in the UK</t>
  </si>
  <si>
    <t>The historic (2000-2022) emissions trajectory has been revised in the 2023 LEGGI, due to the publication of revised versions of datasets used to produce LEGGI. This means the historic emissions trajectory no longer aligns with the historic trajectory in previous versions of LEGGI. Updated input data includes:
- Historic road transport energy and GHG emissions have been updated to match the latest update to the London Air Emissions Inventory, LAEI, published in 2025
- Historic IPPU trajectory has been updated following an update to government's historic dataset of common reporting tables of emissions to the UNFCCC
- Historic residual fuels consumption and emissions data has been updated following an update to the government's historic dataset of subnational total final energy consumption
- 2022 NRMM construction and manufacturing emissions data has been updated using the latest data available in the 2022 LAEI, published in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</si>
</sst>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41" formatCode="_-* #,##0_-;\-* #,##0_-;_-* &quot;-&quot;_-;_-@_-"/>
    <numFmt numFmtId="43" formatCode="_-* #,##0.00_-;\-* #,##0.00_-;_-* &quot;-&quot;??_-;_-@_-"/>
    <numFmt numFmtId="164" formatCode="_-&quot;£&quot;* #,##0_-;\-&quot;£&quot;* #,##0_-;_-&quot;£&quot;* &quot;-&quot;_-;_-@_-"/>
    <numFmt numFmtId="165" formatCode="_-&quot;£&quot;* #,##0.00_-;\-&quot;£&quot;* #,##0.00_-;_-&quot;£&quot;* &quot;-&quot;??_-;_-@_-"/>
    <numFmt numFmtId="166" formatCode="_(* #,##0.00_);_(* \(#,##0.00\);_(* &quot;-&quot;??_);_(@_)"/>
    <numFmt numFmtId="167" formatCode="??0.0?????"/>
    <numFmt numFmtId="168" formatCode="0.00000"/>
    <numFmt numFmtId="169" formatCode="??0.00000"/>
    <numFmt numFmtId="170" formatCode="0.0000"/>
    <numFmt numFmtId="171" formatCode="??0.00"/>
    <numFmt numFmtId="172" formatCode="0.0"/>
    <numFmt numFmtId="173" formatCode="_-* #,##0_-;\-* #,##0_-;_-* &quot;-&quot;??_-;_-@_-"/>
    <numFmt numFmtId="174" formatCode="#,##0.0"/>
    <numFmt numFmtId="175" formatCode="0.000%"/>
    <numFmt numFmtId="176" formatCode="0.0%"/>
    <numFmt numFmtId="177" formatCode="_-* #,##0.000_-;\-* #,##0.000_-;_-* &quot;-&quot;??_-;_-@_-"/>
    <numFmt numFmtId="178" formatCode="0.00000000000"/>
    <numFmt numFmtId="179" formatCode="_-* #,##0.0000_-;\-* #,##0.0000_-;_-* &quot;-&quot;??_-;_-@_-"/>
    <numFmt numFmtId="180" formatCode="#,##0.000"/>
    <numFmt numFmtId="181" formatCode="0.000"/>
    <numFmt numFmtId="182" formatCode="0.0000000"/>
    <numFmt numFmtId="183" formatCode="0.000000"/>
    <numFmt numFmtId="184" formatCode="0.00000000"/>
    <numFmt numFmtId="185" formatCode="#,##0.00_ ;\-#,##0.00\ "/>
    <numFmt numFmtId="186" formatCode="[$-F800]dddd\,\ mmmm\ dd\,\ yyyy"/>
    <numFmt numFmtId="187" formatCode="#,##0.00000000000"/>
    <numFmt numFmtId="188" formatCode="#,##0.0000000000000"/>
    <numFmt numFmtId="189" formatCode="#,##0_ ;\-#,##0\ "/>
    <numFmt numFmtId="190" formatCode="_-* #,##0.000_-;\-* #,##0.000_-;_-* &quot;-&quot;???_-;_-@_-"/>
    <numFmt numFmtId="191" formatCode="_-* #,##0.00000000000000_-;\-* #,##0.00000000000000_-;_-* &quot;-&quot;??????????????_-;_-@_-"/>
    <numFmt numFmtId="192" formatCode="#,##0.0_ ;\-#,##0.0\ "/>
    <numFmt numFmtId="193" formatCode="#,##0.0000"/>
    <numFmt numFmtId="194" formatCode="#,##0.0000000000_ ;\-#,##0.0000000000\ "/>
    <numFmt numFmtId="195" formatCode="_(* #,##0_);_(* \(#,##0\);_(* &quot;-&quot;??_);_(@_)"/>
    <numFmt numFmtId="196" formatCode="#,##0.00000"/>
    <numFmt numFmtId="197" formatCode="_(* #,##0.0_);_(* \(#,##0.0\);_(* &quot;-&quot;??_);_(@_)"/>
    <numFmt numFmtId="198" formatCode="0.0000%"/>
    <numFmt numFmtId="199" formatCode="[$-809]General"/>
    <numFmt numFmtId="200" formatCode="[&gt;0.5]#,##0;[&lt;-0.5]\-#,##0;\-"/>
    <numFmt numFmtId="201" formatCode="_-[$€-2]* #,##0.00_-;\-[$€-2]* #,##0.00_-;_-[$€-2]* &quot;-&quot;??_-"/>
    <numFmt numFmtId="202" formatCode="_-* #,##0\ _F_-;\-* #,##0\ _F_-;_-* &quot;-&quot;\ _F_-;_-@_-"/>
    <numFmt numFmtId="203" formatCode="_-* #,##0.00\ _F_-;\-* #,##0.00\ _F_-;_-* &quot;-&quot;??\ _F_-;_-@_-"/>
    <numFmt numFmtId="204" formatCode="_-* #,##0\ &quot;F&quot;_-;\-* #,##0\ &quot;F&quot;_-;_-* &quot;-&quot;\ &quot;F&quot;_-;_-@_-"/>
    <numFmt numFmtId="205" formatCode="_-* #,##0.00\ &quot;F&quot;_-;\-* #,##0.00\ &quot;F&quot;_-;_-* &quot;-&quot;??\ &quot;F&quot;_-;_-@_-"/>
    <numFmt numFmtId="206" formatCode="###.0"/>
    <numFmt numFmtId="207" formatCode="##.0"/>
    <numFmt numFmtId="208" formatCode="#,###,##0"/>
    <numFmt numFmtId="209" formatCode="_-&quot;öS&quot;\ * #,##0_-;\-&quot;öS&quot;\ * #,##0_-;_-&quot;öS&quot;\ * &quot;-&quot;_-;_-@_-"/>
    <numFmt numFmtId="210" formatCode="_-&quot;öS&quot;\ * #,##0.00_-;\-&quot;öS&quot;\ * #,##0.00_-;_-&quot;öS&quot;\ * &quot;-&quot;??_-;_-@_-"/>
    <numFmt numFmtId="211" formatCode="_(* #,##0.000_);_(* \(#,##0.000\);_(* &quot;-&quot;??_);_(@_)"/>
    <numFmt numFmtId="212" formatCode="#,##0.000000"/>
    <numFmt numFmtId="213" formatCode="_(* #,##0.000000_);_(* \(#,##0.000000\);_(* &quot;-&quot;??_);_(@_)"/>
  </numFmts>
  <fonts count="192"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0"/>
      <name val="Arial"/>
      <family val="2"/>
    </font>
    <font>
      <sz val="12"/>
      <color rgb="FF000000"/>
      <name val="Calibri"/>
      <family val="2"/>
      <scheme val="minor"/>
    </font>
    <font>
      <sz val="11"/>
      <color theme="1"/>
      <name val="Arial"/>
      <family val="2"/>
    </font>
    <font>
      <b/>
      <sz val="12"/>
      <color rgb="FF000000"/>
      <name val="Calibri"/>
      <family val="2"/>
      <scheme val="minor"/>
    </font>
    <font>
      <b/>
      <sz val="12"/>
      <color theme="0"/>
      <name val="Calibri"/>
      <family val="2"/>
      <scheme val="minor"/>
    </font>
    <font>
      <b/>
      <sz val="12"/>
      <color rgb="FFFFFFFF"/>
      <name val="Calibri"/>
      <family val="2"/>
      <scheme val="minor"/>
    </font>
    <font>
      <b/>
      <sz val="10"/>
      <name val="Arial"/>
      <family val="2"/>
    </font>
    <font>
      <sz val="10"/>
      <name val="Arial"/>
      <family val="2"/>
    </font>
    <font>
      <b/>
      <sz val="10"/>
      <name val="Calibri"/>
      <family val="2"/>
    </font>
    <font>
      <sz val="10"/>
      <name val="Calibri"/>
      <family val="2"/>
    </font>
    <font>
      <u/>
      <sz val="11"/>
      <color theme="10"/>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name val="Calibri"/>
      <family val="2"/>
      <scheme val="minor"/>
    </font>
    <font>
      <b/>
      <sz val="12"/>
      <color rgb="FFFFFFFF"/>
      <name val="Calibri"/>
      <family val="2"/>
    </font>
    <font>
      <sz val="12"/>
      <color rgb="FF000000"/>
      <name val="Calibri"/>
      <family val="2"/>
    </font>
    <font>
      <b/>
      <sz val="10"/>
      <color indexed="9"/>
      <name val="Calibri"/>
      <family val="2"/>
      <scheme val="minor"/>
    </font>
    <font>
      <b/>
      <sz val="10"/>
      <color indexed="9"/>
      <name val="Calibri"/>
      <family val="2"/>
    </font>
    <font>
      <b/>
      <vertAlign val="subscript"/>
      <sz val="10"/>
      <color indexed="9"/>
      <name val="Calibri"/>
      <family val="2"/>
    </font>
    <font>
      <b/>
      <sz val="10"/>
      <name val="Calibri"/>
      <family val="2"/>
      <scheme val="minor"/>
    </font>
    <font>
      <sz val="11"/>
      <name val="Calibri"/>
      <family val="2"/>
      <scheme val="minor"/>
    </font>
    <font>
      <sz val="10"/>
      <color indexed="10"/>
      <name val="Calibri"/>
      <family val="2"/>
    </font>
    <font>
      <b/>
      <sz val="10"/>
      <color rgb="FFFF0000"/>
      <name val="Calibri"/>
      <family val="2"/>
      <scheme val="minor"/>
    </font>
    <font>
      <b/>
      <sz val="16"/>
      <name val="Calibri"/>
      <family val="2"/>
      <scheme val="minor"/>
    </font>
    <font>
      <b/>
      <vertAlign val="subscript"/>
      <sz val="16"/>
      <name val="Calibri"/>
      <family val="2"/>
    </font>
    <font>
      <b/>
      <sz val="16"/>
      <name val="Calibri"/>
      <family val="2"/>
    </font>
    <font>
      <sz val="12"/>
      <name val="Arial"/>
      <family val="2"/>
    </font>
    <font>
      <sz val="10"/>
      <color indexed="10"/>
      <name val="Calibri"/>
      <family val="2"/>
      <scheme val="minor"/>
    </font>
    <font>
      <b/>
      <sz val="10"/>
      <color indexed="10"/>
      <name val="Calibri"/>
      <family val="2"/>
      <scheme val="minor"/>
    </font>
    <font>
      <sz val="10"/>
      <color indexed="8"/>
      <name val="Arial"/>
      <family val="2"/>
    </font>
    <font>
      <b/>
      <sz val="16"/>
      <color theme="1"/>
      <name val="Calibri"/>
      <family val="2"/>
      <scheme val="minor"/>
    </font>
    <font>
      <sz val="10"/>
      <color rgb="FFFF0000"/>
      <name val="Calibri"/>
      <family val="2"/>
      <scheme val="minor"/>
    </font>
    <font>
      <sz val="10"/>
      <color theme="1"/>
      <name val="Arial"/>
      <family val="2"/>
    </font>
    <font>
      <i/>
      <sz val="10"/>
      <name val="Calibri"/>
      <family val="2"/>
      <scheme val="minor"/>
    </font>
    <font>
      <sz val="10"/>
      <color theme="1"/>
      <name val="Calibri"/>
      <family val="2"/>
      <scheme val="minor"/>
    </font>
    <font>
      <sz val="11"/>
      <color indexed="8"/>
      <name val="Calibri"/>
      <family val="2"/>
    </font>
    <font>
      <sz val="12"/>
      <name val="Calibri"/>
      <family val="2"/>
    </font>
    <font>
      <sz val="9"/>
      <color indexed="81"/>
      <name val="Tahoma"/>
      <family val="2"/>
    </font>
    <font>
      <b/>
      <sz val="9"/>
      <color indexed="81"/>
      <name val="Tahoma"/>
      <family val="2"/>
    </font>
    <font>
      <b/>
      <sz val="14"/>
      <name val="Calibri"/>
      <family val="2"/>
      <scheme val="minor"/>
    </font>
    <font>
      <b/>
      <sz val="10"/>
      <color theme="1"/>
      <name val="Calibri"/>
      <family val="2"/>
      <scheme val="minor"/>
    </font>
    <font>
      <sz val="11"/>
      <color rgb="FF053D5F"/>
      <name val="Calibri"/>
      <family val="2"/>
      <scheme val="minor"/>
    </font>
    <font>
      <b/>
      <sz val="8"/>
      <name val="Tahoma"/>
      <family val="2"/>
    </font>
    <font>
      <b/>
      <sz val="8"/>
      <color indexed="81"/>
      <name val="Tahoma"/>
      <family val="2"/>
    </font>
    <font>
      <i/>
      <sz val="11"/>
      <color theme="1"/>
      <name val="Calibri"/>
      <family val="2"/>
      <scheme val="minor"/>
    </font>
    <font>
      <sz val="11"/>
      <name val="Arial"/>
      <family val="2"/>
    </font>
    <font>
      <sz val="10"/>
      <name val="MS Sans Serif"/>
    </font>
    <font>
      <b/>
      <sz val="12"/>
      <color theme="0"/>
      <name val="Calibri"/>
      <family val="2"/>
    </font>
    <font>
      <sz val="12"/>
      <color theme="1"/>
      <name val="Calibri"/>
      <family val="2"/>
    </font>
    <font>
      <b/>
      <sz val="12"/>
      <color rgb="FF000000"/>
      <name val="Calibri"/>
      <family val="2"/>
    </font>
    <font>
      <b/>
      <sz val="12"/>
      <name val="Calibri"/>
      <family val="2"/>
      <scheme val="minor"/>
    </font>
    <font>
      <sz val="12"/>
      <color theme="1"/>
      <name val="Calibri"/>
      <family val="2"/>
      <scheme val="minor"/>
    </font>
    <font>
      <b/>
      <sz val="12"/>
      <color theme="1"/>
      <name val="Arial"/>
      <family val="2"/>
    </font>
    <font>
      <sz val="10"/>
      <name val="Arial"/>
      <family val="2"/>
    </font>
    <font>
      <b/>
      <sz val="10"/>
      <color theme="0"/>
      <name val="Calibri"/>
      <family val="2"/>
      <scheme val="minor"/>
    </font>
    <font>
      <vertAlign val="subscript"/>
      <sz val="10"/>
      <name val="Calibri"/>
      <family val="2"/>
    </font>
    <font>
      <sz val="10"/>
      <color theme="0"/>
      <name val="Calibri"/>
      <family val="2"/>
      <scheme val="minor"/>
    </font>
    <font>
      <sz val="9"/>
      <color indexed="81"/>
      <name val="Calibri"/>
      <family val="2"/>
    </font>
    <font>
      <b/>
      <sz val="14"/>
      <name val="Arial"/>
      <family val="2"/>
    </font>
    <font>
      <sz val="10"/>
      <color theme="1"/>
      <name val="Calibri"/>
      <family val="2"/>
    </font>
    <font>
      <sz val="10"/>
      <color theme="0" tint="-0.249977111117893"/>
      <name val="Calibri"/>
      <family val="2"/>
    </font>
    <font>
      <sz val="10"/>
      <color rgb="FFFF0000"/>
      <name val="Arial"/>
      <family val="2"/>
    </font>
    <font>
      <sz val="11"/>
      <color rgb="FFFF0000"/>
      <name val="Calibri"/>
      <family val="2"/>
      <scheme val="minor"/>
    </font>
    <font>
      <b/>
      <sz val="10"/>
      <color rgb="FFFF0000"/>
      <name val="Calibri"/>
      <family val="2"/>
    </font>
    <font>
      <sz val="11"/>
      <color theme="0"/>
      <name val="Calibri"/>
      <family val="2"/>
      <scheme val="minor"/>
    </font>
    <font>
      <b/>
      <vertAlign val="subscript"/>
      <sz val="10"/>
      <name val="Calibri"/>
      <family val="2"/>
      <scheme val="minor"/>
    </font>
    <font>
      <sz val="12"/>
      <name val="Calibri"/>
      <family val="2"/>
      <scheme val="minor"/>
    </font>
    <font>
      <b/>
      <sz val="10"/>
      <color theme="1"/>
      <name val="Calibri"/>
      <family val="2"/>
    </font>
    <font>
      <b/>
      <sz val="11"/>
      <name val="Calibri"/>
      <family val="2"/>
      <scheme val="minor"/>
    </font>
    <font>
      <vertAlign val="subscript"/>
      <sz val="11"/>
      <color theme="1"/>
      <name val="Calibri"/>
      <family val="2"/>
      <scheme val="minor"/>
    </font>
    <font>
      <sz val="12"/>
      <color theme="9"/>
      <name val="Calibri"/>
      <family val="2"/>
      <scheme val="minor"/>
    </font>
    <font>
      <sz val="11"/>
      <color theme="8" tint="0.79998168889431442"/>
      <name val="Calibri"/>
      <family val="2"/>
      <scheme val="minor"/>
    </font>
    <font>
      <sz val="12"/>
      <color rgb="FFFF0000"/>
      <name val="Calibri"/>
      <family val="2"/>
      <scheme val="minor"/>
    </font>
    <font>
      <b/>
      <sz val="10"/>
      <color theme="0"/>
      <name val="Calibri"/>
      <family val="2"/>
    </font>
    <font>
      <sz val="10"/>
      <color theme="0"/>
      <name val="Calibri"/>
      <family val="2"/>
    </font>
    <font>
      <sz val="12"/>
      <color theme="0"/>
      <name val="Calibri"/>
      <family val="2"/>
    </font>
    <font>
      <sz val="11"/>
      <color theme="0"/>
      <name val="Calibri"/>
      <family val="2"/>
    </font>
    <font>
      <sz val="10"/>
      <color theme="0"/>
      <name val="Arial"/>
      <family val="2"/>
    </font>
    <font>
      <sz val="10"/>
      <color theme="0"/>
      <name val="MS Sans Serif"/>
    </font>
    <font>
      <i/>
      <sz val="9"/>
      <name val="Arial"/>
      <family val="2"/>
    </font>
    <font>
      <sz val="10"/>
      <color theme="0" tint="-0.34998626667073579"/>
      <name val="Calibri"/>
      <family val="2"/>
      <scheme val="minor"/>
    </font>
    <font>
      <sz val="10"/>
      <color rgb="FFFFFFCC"/>
      <name val="Calibri"/>
      <family val="2"/>
      <scheme val="minor"/>
    </font>
    <font>
      <vertAlign val="superscript"/>
      <sz val="10"/>
      <name val="Calibri"/>
      <family val="2"/>
      <scheme val="minor"/>
    </font>
    <font>
      <b/>
      <vertAlign val="subscript"/>
      <sz val="12"/>
      <color theme="0"/>
      <name val="Calibri"/>
      <family val="2"/>
    </font>
    <font>
      <sz val="10"/>
      <name val="Arial"/>
      <family val="2"/>
    </font>
    <font>
      <b/>
      <sz val="11"/>
      <color theme="0"/>
      <name val="Calibri"/>
      <family val="2"/>
    </font>
    <font>
      <b/>
      <vertAlign val="subscript"/>
      <sz val="11"/>
      <color theme="0"/>
      <name val="Calibri"/>
      <family val="2"/>
    </font>
    <font>
      <b/>
      <sz val="11"/>
      <color rgb="FF000000"/>
      <name val="Calibri"/>
      <family val="2"/>
    </font>
    <font>
      <sz val="11"/>
      <color rgb="FF000000"/>
      <name val="Calibri"/>
      <family val="2"/>
    </font>
    <font>
      <sz val="11"/>
      <name val="Calibri"/>
      <family val="2"/>
    </font>
    <font>
      <sz val="8"/>
      <name val="Calibri"/>
      <family val="2"/>
      <scheme val="minor"/>
    </font>
    <font>
      <b/>
      <vertAlign val="subscript"/>
      <sz val="14"/>
      <name val="Calibri"/>
      <family val="2"/>
      <scheme val="minor"/>
    </font>
    <font>
      <b/>
      <sz val="18"/>
      <name val="Calibri"/>
      <family val="2"/>
      <scheme val="minor"/>
    </font>
    <font>
      <b/>
      <vertAlign val="subscript"/>
      <sz val="10"/>
      <color theme="0"/>
      <name val="Calibri"/>
      <family val="2"/>
      <scheme val="minor"/>
    </font>
    <font>
      <i/>
      <sz val="11"/>
      <name val="Calibri"/>
      <family val="2"/>
      <scheme val="minor"/>
    </font>
    <font>
      <b/>
      <sz val="16"/>
      <color rgb="FF000000"/>
      <name val="Calibri"/>
      <family val="2"/>
    </font>
    <font>
      <vertAlign val="superscript"/>
      <sz val="11"/>
      <name val="Calibri"/>
      <family val="2"/>
      <scheme val="minor"/>
    </font>
    <font>
      <i/>
      <sz val="11"/>
      <color rgb="FF000000"/>
      <name val="Calibri"/>
      <family val="2"/>
    </font>
    <font>
      <b/>
      <vertAlign val="superscript"/>
      <sz val="11"/>
      <name val="Calibri"/>
      <family val="2"/>
    </font>
    <font>
      <vertAlign val="subscript"/>
      <sz val="11"/>
      <name val="Arial"/>
      <family val="2"/>
    </font>
    <font>
      <b/>
      <vertAlign val="superscript"/>
      <sz val="10"/>
      <color indexed="9"/>
      <name val="Calibri"/>
      <family val="2"/>
      <scheme val="minor"/>
    </font>
    <font>
      <vertAlign val="subscript"/>
      <sz val="10"/>
      <name val="Calibri"/>
      <family val="2"/>
      <scheme val="minor"/>
    </font>
    <font>
      <vertAlign val="superscript"/>
      <sz val="12"/>
      <color rgb="FF000000"/>
      <name val="Calibri"/>
      <family val="2"/>
      <scheme val="minor"/>
    </font>
    <font>
      <b/>
      <vertAlign val="subscript"/>
      <sz val="12"/>
      <color theme="0"/>
      <name val="Calibri"/>
      <family val="2"/>
      <scheme val="minor"/>
    </font>
    <font>
      <vertAlign val="subscript"/>
      <sz val="11"/>
      <color theme="0"/>
      <name val="Calibri"/>
      <family val="2"/>
    </font>
    <font>
      <b/>
      <i/>
      <sz val="11"/>
      <color theme="0"/>
      <name val="Calibri"/>
      <family val="2"/>
      <scheme val="minor"/>
    </font>
    <font>
      <b/>
      <vertAlign val="superscript"/>
      <sz val="11"/>
      <color theme="0"/>
      <name val="Calibri"/>
      <family val="2"/>
    </font>
    <font>
      <sz val="11"/>
      <color theme="0"/>
      <name val="Arial"/>
      <family val="2"/>
    </font>
    <font>
      <vertAlign val="superscript"/>
      <sz val="11"/>
      <color theme="0"/>
      <name val="Calibri"/>
      <family val="2"/>
    </font>
    <font>
      <sz val="10"/>
      <color theme="0" tint="-0.14999847407452621"/>
      <name val="Calibri"/>
      <family val="2"/>
      <scheme val="minor"/>
    </font>
    <font>
      <b/>
      <sz val="9"/>
      <color indexed="9"/>
      <name val="Calibri"/>
      <family val="2"/>
    </font>
    <font>
      <sz val="18"/>
      <color theme="3"/>
      <name val="Calibri Light"/>
      <family val="2"/>
      <scheme val="major"/>
    </font>
    <font>
      <sz val="11"/>
      <color rgb="FF006100"/>
      <name val="Calibri"/>
      <family val="2"/>
      <scheme val="minor"/>
    </font>
    <font>
      <sz val="11"/>
      <color rgb="FF9C0006"/>
      <name val="Calibri"/>
      <family val="2"/>
      <scheme val="minor"/>
    </font>
    <font>
      <sz val="11"/>
      <color rgb="FF9C5700"/>
      <name val="Calibri"/>
      <family val="2"/>
      <scheme val="minor"/>
    </font>
    <font>
      <u/>
      <sz val="11"/>
      <color indexed="12"/>
      <name val="Calibri"/>
      <family val="2"/>
    </font>
    <font>
      <sz val="10"/>
      <color theme="9" tint="-0.499984740745262"/>
      <name val="Arial"/>
      <family val="2"/>
    </font>
    <font>
      <i/>
      <sz val="10"/>
      <color rgb="FFFF0000"/>
      <name val="Arial"/>
      <family val="2"/>
    </font>
    <font>
      <u/>
      <sz val="10"/>
      <color theme="11"/>
      <name val="Arial"/>
      <family val="2"/>
    </font>
    <font>
      <b/>
      <sz val="10"/>
      <color theme="0"/>
      <name val="Arial"/>
      <family val="2"/>
    </font>
    <font>
      <sz val="8"/>
      <name val="Arial"/>
      <family val="2"/>
    </font>
    <font>
      <sz val="10"/>
      <color rgb="FFFF0000"/>
      <name val="Calibri"/>
      <family val="2"/>
    </font>
    <font>
      <b/>
      <sz val="16"/>
      <color rgb="FFFF0000"/>
      <name val="Calibri"/>
      <family val="2"/>
      <scheme val="minor"/>
    </font>
    <font>
      <u/>
      <sz val="10"/>
      <color indexed="12"/>
      <name val="MS Sans Serif"/>
      <family val="2"/>
    </font>
    <font>
      <u/>
      <sz val="10"/>
      <color indexed="12"/>
      <name val="Arial"/>
      <family val="2"/>
    </font>
    <font>
      <sz val="10"/>
      <name val="MS Sans Serif"/>
      <family val="2"/>
    </font>
    <font>
      <b/>
      <sz val="15"/>
      <color theme="3"/>
      <name val="Calibri"/>
      <family val="2"/>
      <scheme val="minor"/>
    </font>
    <font>
      <b/>
      <sz val="15"/>
      <color rgb="FF000000"/>
      <name val="Calibri"/>
      <family val="2"/>
    </font>
    <font>
      <b/>
      <sz val="15"/>
      <name val="Calibri"/>
      <family val="2"/>
      <scheme val="minor"/>
    </font>
    <font>
      <b/>
      <sz val="13"/>
      <color rgb="FF000000"/>
      <name val="Calibri"/>
      <family val="2"/>
    </font>
    <font>
      <u/>
      <sz val="10"/>
      <color rgb="FF0000FF"/>
      <name val="MS Sans Serif"/>
    </font>
    <font>
      <sz val="10"/>
      <color rgb="FF000000"/>
      <name val="Arial"/>
      <family val="2"/>
    </font>
    <font>
      <sz val="10"/>
      <color rgb="FF000000"/>
      <name val="MS Sans Serif"/>
    </font>
    <font>
      <sz val="8"/>
      <color theme="1"/>
      <name val="Arial"/>
      <family val="2"/>
    </font>
    <font>
      <sz val="12"/>
      <color rgb="FF3F3F76"/>
      <name val="Arial"/>
      <family val="2"/>
    </font>
    <font>
      <sz val="10"/>
      <color rgb="FF9C0006"/>
      <name val="Arial"/>
      <family val="2"/>
    </font>
    <font>
      <u/>
      <sz val="9"/>
      <color indexed="12"/>
      <name val="Arial"/>
      <family val="2"/>
    </font>
    <font>
      <sz val="11"/>
      <color indexed="8"/>
      <name val="Calibri"/>
      <family val="2"/>
      <scheme val="minor"/>
    </font>
    <font>
      <sz val="11"/>
      <color rgb="FF3F3F76"/>
      <name val="Calibri"/>
      <family val="2"/>
      <scheme val="minor"/>
    </font>
    <font>
      <sz val="10"/>
      <name val="Arial Cyr"/>
      <charset val="204"/>
    </font>
    <font>
      <sz val="9"/>
      <name val="Times New Roman"/>
      <family val="1"/>
    </font>
    <font>
      <b/>
      <sz val="9"/>
      <name val="Times New Roman"/>
      <family val="1"/>
    </font>
    <font>
      <sz val="14"/>
      <name val="Arial"/>
      <family val="2"/>
    </font>
    <font>
      <sz val="10"/>
      <name val="Times New Roman"/>
      <family val="1"/>
    </font>
    <font>
      <u/>
      <sz val="10"/>
      <color theme="10"/>
      <name val="Arial"/>
      <family val="2"/>
    </font>
    <font>
      <u/>
      <sz val="8.6"/>
      <color theme="10"/>
      <name val="Arial"/>
      <family val="2"/>
    </font>
    <font>
      <u/>
      <sz val="12"/>
      <color rgb="FF0000FF"/>
      <name val="Arial"/>
      <family val="2"/>
    </font>
    <font>
      <sz val="8"/>
      <color theme="1"/>
      <name val="Verdana"/>
      <family val="2"/>
    </font>
    <font>
      <b/>
      <sz val="13"/>
      <color theme="3"/>
      <name val="Calibri"/>
      <family val="2"/>
      <scheme val="minor"/>
    </font>
    <font>
      <b/>
      <sz val="13"/>
      <color indexed="62"/>
      <name val="Calibri"/>
      <family val="2"/>
    </font>
    <font>
      <b/>
      <sz val="22"/>
      <color rgb="FF000000"/>
      <name val="Calibri"/>
      <family val="2"/>
    </font>
    <font>
      <b/>
      <sz val="18"/>
      <color rgb="FF000000"/>
      <name val="Calibri"/>
      <family val="2"/>
    </font>
    <font>
      <u/>
      <sz val="12"/>
      <color rgb="FF0000FF"/>
      <name val="Calibri"/>
      <family val="2"/>
    </font>
    <font>
      <b/>
      <sz val="14"/>
      <color rgb="FF000000"/>
      <name val="Calibri"/>
      <family val="2"/>
    </font>
    <font>
      <b/>
      <sz val="20"/>
      <color rgb="FF000000"/>
      <name val="Calibri"/>
      <family val="2"/>
    </font>
    <font>
      <u/>
      <sz val="10"/>
      <color rgb="FF0563C1"/>
      <name val="Arial"/>
      <family val="2"/>
    </font>
    <font>
      <b/>
      <sz val="20"/>
      <name val="Calibri"/>
      <family val="2"/>
    </font>
    <font>
      <b/>
      <sz val="14"/>
      <name val="Calibri"/>
      <family val="2"/>
    </font>
    <font>
      <sz val="11"/>
      <color rgb="FF002060"/>
      <name val="Calibri"/>
      <family val="2"/>
      <scheme val="minor"/>
    </font>
    <font>
      <b/>
      <sz val="12"/>
      <name val="Helv"/>
    </font>
    <font>
      <sz val="12"/>
      <color indexed="10"/>
      <name val="Arial"/>
      <family val="2"/>
    </font>
    <font>
      <b/>
      <sz val="18"/>
      <color indexed="56"/>
      <name val="Cambria"/>
      <family val="2"/>
    </font>
    <font>
      <sz val="8"/>
      <name val="Helv"/>
    </font>
    <font>
      <sz val="11"/>
      <color indexed="8"/>
      <name val="Arial"/>
      <family val="2"/>
    </font>
    <font>
      <i/>
      <sz val="12"/>
      <name val="Times New Roman"/>
      <family val="1"/>
    </font>
    <font>
      <b/>
      <sz val="12"/>
      <color indexed="8"/>
      <name val="Arial"/>
      <family val="2"/>
    </font>
    <font>
      <b/>
      <sz val="10"/>
      <color indexed="18"/>
      <name val="Arial"/>
      <family val="2"/>
    </font>
    <font>
      <sz val="12"/>
      <color indexed="62"/>
      <name val="Arial"/>
      <family val="2"/>
    </font>
    <font>
      <b/>
      <sz val="13"/>
      <color indexed="56"/>
      <name val="Arial"/>
      <family val="2"/>
    </font>
    <font>
      <sz val="12"/>
      <color indexed="8"/>
      <name val="Arial"/>
      <family val="2"/>
    </font>
    <font>
      <i/>
      <sz val="12"/>
      <color indexed="23"/>
      <name val="Arial"/>
      <family val="2"/>
    </font>
    <font>
      <b/>
      <sz val="14"/>
      <name val="Helv"/>
    </font>
    <font>
      <sz val="12"/>
      <color indexed="17"/>
      <name val="Arial"/>
      <family val="2"/>
    </font>
    <font>
      <b/>
      <sz val="12"/>
      <color indexed="63"/>
      <name val="Arial"/>
      <family val="2"/>
    </font>
    <font>
      <sz val="12"/>
      <color indexed="20"/>
      <name val="Arial"/>
      <family val="2"/>
    </font>
    <font>
      <sz val="12"/>
      <color indexed="60"/>
      <name val="Arial"/>
      <family val="2"/>
    </font>
    <font>
      <b/>
      <sz val="12"/>
      <color indexed="9"/>
      <name val="Arial"/>
      <family val="2"/>
    </font>
    <font>
      <b/>
      <sz val="12"/>
      <color indexed="12"/>
      <name val="Arial"/>
      <family val="2"/>
    </font>
    <font>
      <b/>
      <sz val="12"/>
      <color indexed="52"/>
      <name val="Arial"/>
      <family val="2"/>
    </font>
    <font>
      <sz val="12"/>
      <color indexed="9"/>
      <name val="Arial"/>
      <family val="2"/>
    </font>
    <font>
      <sz val="12"/>
      <color indexed="52"/>
      <name val="Arial"/>
      <family val="2"/>
    </font>
    <font>
      <b/>
      <sz val="10"/>
      <color indexed="8"/>
      <name val="Arial"/>
      <family val="2"/>
    </font>
    <font>
      <b/>
      <sz val="15"/>
      <color indexed="56"/>
      <name val="Arial"/>
      <family val="2"/>
    </font>
    <font>
      <b/>
      <sz val="11"/>
      <color indexed="56"/>
      <name val="Arial"/>
      <family val="2"/>
    </font>
    <font>
      <u/>
      <sz val="11"/>
      <color theme="10"/>
      <name val="Calibri"/>
      <family val="2"/>
    </font>
    <font>
      <u/>
      <sz val="10"/>
      <name val="Calibri"/>
      <family val="2"/>
      <scheme val="minor"/>
    </font>
    <font>
      <sz val="11"/>
      <color rgb="FF000000"/>
      <name val="Calibri"/>
      <family val="2"/>
      <scheme val="minor"/>
    </font>
  </fonts>
  <fills count="82">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bgColor indexed="64"/>
      </patternFill>
    </fill>
    <fill>
      <patternFill patternType="solid">
        <fgColor rgb="FFFF0000"/>
        <bgColor indexed="64"/>
      </patternFill>
    </fill>
    <fill>
      <patternFill patternType="solid">
        <fgColor indexed="22"/>
        <bgColor indexed="64"/>
      </patternFill>
    </fill>
    <fill>
      <patternFill patternType="solid">
        <fgColor theme="0" tint="-0.249977111117893"/>
        <bgColor indexed="64"/>
      </patternFill>
    </fill>
    <fill>
      <patternFill patternType="solid">
        <fgColor rgb="FFD9D9D9"/>
        <bgColor indexed="64"/>
      </patternFill>
    </fill>
    <fill>
      <patternFill patternType="solid">
        <fgColor rgb="FFCC99FF"/>
        <bgColor indexed="64"/>
      </patternFill>
    </fill>
    <fill>
      <patternFill patternType="solid">
        <fgColor theme="0"/>
        <bgColor rgb="FF000000"/>
      </patternFill>
    </fill>
    <fill>
      <patternFill patternType="solid">
        <fgColor theme="0"/>
        <bgColor theme="4" tint="0.79998168889431442"/>
      </patternFill>
    </fill>
    <fill>
      <patternFill patternType="solid">
        <fgColor theme="0"/>
        <bgColor indexed="0"/>
      </patternFill>
    </fill>
    <fill>
      <patternFill patternType="solid">
        <fgColor rgb="FF0070C0"/>
        <bgColor indexed="64"/>
      </patternFill>
    </fill>
    <fill>
      <patternFill patternType="solid">
        <fgColor rgb="FFB8CDE7"/>
        <bgColor indexed="64"/>
      </patternFill>
    </fill>
    <fill>
      <patternFill patternType="solid">
        <fgColor rgb="FFF9F9F9"/>
        <bgColor indexed="64"/>
      </patternFill>
    </fill>
    <fill>
      <patternFill patternType="solid">
        <fgColor theme="0"/>
        <bgColor theme="0" tint="-0.499984740745262"/>
      </patternFill>
    </fill>
    <fill>
      <patternFill patternType="solid">
        <fgColor theme="0" tint="-0.1498764000366222"/>
        <bgColor theme="0" tint="-0.499984740745262"/>
      </patternFill>
    </fill>
    <fill>
      <patternFill patternType="solid">
        <fgColor rgb="FFC6EFCE"/>
      </patternFill>
    </fill>
    <fill>
      <patternFill patternType="solid">
        <fgColor rgb="FFFFC7CE"/>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7" tint="0.39997558519241921"/>
        <bgColor rgb="FF000000"/>
      </patternFill>
    </fill>
    <fill>
      <patternFill patternType="solid">
        <fgColor rgb="FFFFFF99"/>
        <bgColor indexed="64"/>
      </patternFill>
    </fill>
    <fill>
      <patternFill patternType="solid">
        <fgColor rgb="FFFFFF99"/>
        <bgColor rgb="FF000000"/>
      </patternFill>
    </fill>
    <fill>
      <patternFill patternType="solid">
        <fgColor rgb="FF002060"/>
        <bgColor indexed="64"/>
      </patternFill>
    </fill>
    <fill>
      <patternFill patternType="solid">
        <fgColor theme="4" tint="0.79998168889431442"/>
        <bgColor rgb="FF000000"/>
      </patternFill>
    </fill>
    <fill>
      <patternFill patternType="lightGray">
        <bgColor theme="0"/>
      </patternFill>
    </fill>
    <fill>
      <patternFill patternType="gray125">
        <bgColor theme="0"/>
      </patternFill>
    </fill>
    <fill>
      <patternFill patternType="solid">
        <fgColor theme="0" tint="-0.14999847407452621"/>
        <bgColor theme="0" tint="-0.499984740745262"/>
      </patternFill>
    </fill>
    <fill>
      <patternFill patternType="solid">
        <fgColor rgb="FFFFCC99"/>
      </patternFill>
    </fill>
    <fill>
      <patternFill patternType="solid">
        <fgColor theme="4" tint="0.59996337778862885"/>
        <bgColor indexed="64"/>
      </patternFill>
    </fill>
    <fill>
      <patternFill patternType="solid">
        <fgColor indexed="27"/>
        <bgColor indexed="64"/>
      </patternFill>
    </fill>
    <fill>
      <patternFill patternType="solid">
        <fgColor indexed="55"/>
        <bgColor indexed="64"/>
      </patternFill>
    </fill>
    <fill>
      <patternFill patternType="solid">
        <fgColor indexed="30"/>
        <bgColor indexed="64"/>
      </patternFill>
    </fill>
    <fill>
      <patternFill patternType="solid">
        <fgColor indexed="44"/>
        <bgColor indexed="64"/>
      </patternFill>
    </fill>
    <fill>
      <patternFill patternType="solid">
        <fgColor indexed="49"/>
        <bgColor indexed="64"/>
      </patternFill>
    </fill>
    <fill>
      <patternFill patternType="solid">
        <fgColor indexed="47"/>
        <bgColor indexed="64"/>
      </patternFill>
    </fill>
    <fill>
      <patternFill patternType="solid">
        <fgColor indexed="29"/>
        <bgColor indexed="64"/>
      </patternFill>
    </fill>
    <fill>
      <patternFill patternType="solid">
        <fgColor indexed="62"/>
        <bgColor indexed="64"/>
      </patternFill>
    </fill>
    <fill>
      <patternFill patternType="solid">
        <fgColor indexed="51"/>
        <bgColor indexed="64"/>
      </patternFill>
    </fill>
    <fill>
      <patternFill patternType="solid">
        <fgColor indexed="11"/>
        <bgColor indexed="64"/>
      </patternFill>
    </fill>
    <fill>
      <patternFill patternType="solid">
        <fgColor indexed="43"/>
        <bgColor indexed="64"/>
      </patternFill>
    </fill>
    <fill>
      <patternFill patternType="solid">
        <fgColor indexed="45"/>
        <bgColor indexed="64"/>
      </patternFill>
    </fill>
    <fill>
      <patternFill patternType="solid">
        <fgColor indexed="36"/>
        <bgColor indexed="64"/>
      </patternFill>
    </fill>
    <fill>
      <patternFill patternType="solid">
        <fgColor indexed="26"/>
        <bgColor indexed="64"/>
      </patternFill>
    </fill>
    <fill>
      <patternFill patternType="solid">
        <fgColor indexed="31"/>
        <bgColor indexed="64"/>
      </patternFill>
    </fill>
    <fill>
      <patternFill patternType="solid">
        <fgColor indexed="53"/>
        <bgColor indexed="64"/>
      </patternFill>
    </fill>
    <fill>
      <patternFill patternType="solid">
        <fgColor indexed="42"/>
        <bgColor indexed="64"/>
      </patternFill>
    </fill>
    <fill>
      <patternFill patternType="solid">
        <fgColor indexed="52"/>
        <bgColor indexed="64"/>
      </patternFill>
    </fill>
    <fill>
      <patternFill patternType="solid">
        <fgColor indexed="46"/>
        <bgColor indexed="64"/>
      </patternFill>
    </fill>
    <fill>
      <patternFill patternType="solid">
        <fgColor indexed="57"/>
        <bgColor indexed="64"/>
      </patternFill>
    </fill>
    <fill>
      <patternFill patternType="solid">
        <fgColor indexed="10"/>
        <bgColor indexed="64"/>
      </patternFill>
    </fill>
    <fill>
      <patternFill patternType="lightGray">
        <fgColor indexed="9"/>
      </patternFill>
    </fill>
    <fill>
      <patternFill patternType="gray0625">
        <fgColor indexed="9"/>
      </patternFill>
    </fill>
    <fill>
      <patternFill patternType="darkDown">
        <bgColor rgb="FFD9D9D9"/>
      </patternFill>
    </fill>
  </fills>
  <borders count="185">
    <border>
      <left/>
      <right/>
      <top/>
      <bottom/>
      <diagonal/>
    </border>
    <border>
      <left style="thin">
        <color theme="0"/>
      </left>
      <right style="thin">
        <color theme="0"/>
      </right>
      <top style="thin">
        <color theme="0"/>
      </top>
      <bottom style="thin">
        <color theme="0"/>
      </bottom>
      <diagonal/>
    </border>
    <border>
      <left/>
      <right/>
      <top/>
      <bottom style="thin">
        <color theme="0"/>
      </bottom>
      <diagonal/>
    </border>
    <border>
      <left style="medium">
        <color indexed="64"/>
      </left>
      <right/>
      <top/>
      <bottom/>
      <diagonal/>
    </border>
    <border>
      <left/>
      <right style="medium">
        <color indexed="64"/>
      </right>
      <top/>
      <bottom/>
      <diagonal/>
    </border>
    <border>
      <left/>
      <right/>
      <top style="medium">
        <color indexed="64"/>
      </top>
      <bottom/>
      <diagonal/>
    </border>
    <border>
      <left style="thin">
        <color auto="1"/>
      </left>
      <right style="thin">
        <color auto="1"/>
      </right>
      <top style="medium">
        <color auto="1"/>
      </top>
      <bottom style="medium">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9"/>
      </right>
      <top style="medium">
        <color indexed="64"/>
      </top>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ck">
        <color indexed="64"/>
      </right>
      <top/>
      <bottom/>
      <diagonal/>
    </border>
    <border>
      <left style="thin">
        <color indexed="64"/>
      </left>
      <right style="thick">
        <color indexed="64"/>
      </right>
      <top style="medium">
        <color indexed="64"/>
      </top>
      <bottom style="medium">
        <color indexed="64"/>
      </bottom>
      <diagonal/>
    </border>
    <border>
      <left style="thin">
        <color indexed="64"/>
      </left>
      <right style="thick">
        <color indexed="64"/>
      </right>
      <top style="medium">
        <color indexed="64"/>
      </top>
      <bottom style="thin">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top style="medium">
        <color indexed="64"/>
      </top>
      <bottom/>
      <diagonal/>
    </border>
    <border>
      <left style="thick">
        <color indexed="64"/>
      </left>
      <right/>
      <top style="medium">
        <color indexed="64"/>
      </top>
      <bottom style="thin">
        <color auto="1"/>
      </bottom>
      <diagonal/>
    </border>
    <border>
      <left/>
      <right style="thick">
        <color indexed="64"/>
      </right>
      <top style="medium">
        <color indexed="64"/>
      </top>
      <bottom style="medium">
        <color indexed="64"/>
      </bottom>
      <diagonal/>
    </border>
    <border>
      <left/>
      <right style="thick">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053D5F"/>
      </left>
      <right style="thin">
        <color rgb="FF053D5F"/>
      </right>
      <top style="thin">
        <color rgb="FF053D5F"/>
      </top>
      <bottom style="thin">
        <color rgb="FF053D5F"/>
      </bottom>
      <diagonal/>
    </border>
    <border>
      <left style="thin">
        <color indexed="64"/>
      </left>
      <right style="medium">
        <color indexed="64"/>
      </right>
      <top/>
      <bottom style="thin">
        <color indexed="64"/>
      </bottom>
      <diagonal/>
    </border>
    <border>
      <left style="thin">
        <color auto="1"/>
      </left>
      <right style="thin">
        <color auto="1"/>
      </right>
      <top style="medium">
        <color indexed="64"/>
      </top>
      <bottom style="thin">
        <color indexed="64"/>
      </bottom>
      <diagonal/>
    </border>
    <border>
      <left style="thin">
        <color auto="1"/>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thick">
        <color theme="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top/>
      <bottom/>
      <diagonal/>
    </border>
    <border>
      <left style="medium">
        <color theme="1"/>
      </left>
      <right/>
      <top/>
      <bottom style="thin">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right style="medium">
        <color theme="1"/>
      </right>
      <top style="thin">
        <color theme="1"/>
      </top>
      <bottom/>
      <diagonal/>
    </border>
    <border>
      <left style="thin">
        <color theme="0"/>
      </left>
      <right style="medium">
        <color theme="1"/>
      </right>
      <top style="thin">
        <color theme="0"/>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medium">
        <color theme="1"/>
      </top>
      <bottom/>
      <diagonal/>
    </border>
    <border>
      <left style="thin">
        <color indexed="64"/>
      </left>
      <right/>
      <top/>
      <bottom style="medium">
        <color theme="1"/>
      </bottom>
      <diagonal/>
    </border>
    <border>
      <left/>
      <right/>
      <top/>
      <bottom style="thin">
        <color theme="1"/>
      </bottom>
      <diagonal/>
    </border>
    <border>
      <left/>
      <right/>
      <top style="thin">
        <color theme="1"/>
      </top>
      <bottom/>
      <diagonal/>
    </border>
    <border>
      <left style="medium">
        <color theme="1"/>
      </left>
      <right/>
      <top style="thin">
        <color theme="1"/>
      </top>
      <bottom/>
      <diagonal/>
    </border>
    <border>
      <left style="thin">
        <color indexed="64"/>
      </left>
      <right/>
      <top style="thin">
        <color theme="1"/>
      </top>
      <bottom/>
      <diagonal/>
    </border>
    <border>
      <left style="thin">
        <color indexed="9"/>
      </left>
      <right/>
      <top style="medium">
        <color indexed="64"/>
      </top>
      <bottom/>
      <diagonal/>
    </border>
    <border>
      <left style="thin">
        <color indexed="64"/>
      </left>
      <right/>
      <top/>
      <bottom style="thin">
        <color theme="1"/>
      </bottom>
      <diagonal/>
    </border>
    <border>
      <left/>
      <right/>
      <top/>
      <bottom style="thick">
        <color theme="4" tint="0.499984740745262"/>
      </bottom>
      <diagonal/>
    </border>
    <border>
      <left style="thin">
        <color indexed="64"/>
      </left>
      <right style="thin">
        <color indexed="64"/>
      </right>
      <top/>
      <bottom style="thin">
        <color indexed="64"/>
      </bottom>
      <diagonal/>
    </border>
    <border>
      <left/>
      <right/>
      <top/>
      <bottom style="thick">
        <color indexed="27"/>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thick">
        <color indexed="62"/>
      </bottom>
      <diagonal/>
    </border>
    <border>
      <left/>
      <right/>
      <top style="thin">
        <color indexed="62"/>
      </top>
      <bottom style="double">
        <color indexed="62"/>
      </bottom>
      <diagonal/>
    </border>
    <border>
      <left/>
      <right/>
      <top/>
      <bottom style="medium">
        <color indexed="30"/>
      </bottom>
      <diagonal/>
    </border>
    <border>
      <left/>
      <right/>
      <top/>
      <bottom style="medium">
        <color indexed="64"/>
      </bottom>
      <diagonal/>
    </border>
    <border>
      <left style="thin">
        <color indexed="9"/>
      </left>
      <right/>
      <top style="medium">
        <color indexed="64"/>
      </top>
      <bottom style="thin">
        <color indexed="9"/>
      </bottom>
      <diagonal/>
    </border>
    <border>
      <left/>
      <right/>
      <top style="medium">
        <color indexed="64"/>
      </top>
      <bottom style="thin">
        <color indexed="9"/>
      </bottom>
      <diagonal/>
    </border>
    <border>
      <left/>
      <right style="thin">
        <color indexed="9"/>
      </right>
      <top style="medium">
        <color indexed="64"/>
      </top>
      <bottom style="thin">
        <color indexed="9"/>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auto="1"/>
      </left>
      <right/>
      <top/>
      <bottom style="thin">
        <color auto="1"/>
      </bottom>
      <diagonal/>
    </border>
    <border>
      <left/>
      <right style="thick">
        <color indexed="64"/>
      </right>
      <top/>
      <bottom style="thin">
        <color indexed="64"/>
      </bottom>
      <diagonal/>
    </border>
    <border>
      <left style="thin">
        <color indexed="64"/>
      </left>
      <right style="thin">
        <color indexed="9"/>
      </right>
      <top/>
      <bottom/>
      <diagonal/>
    </border>
    <border>
      <left style="thin">
        <color indexed="64"/>
      </left>
      <right style="thin">
        <color indexed="9"/>
      </right>
      <top/>
      <bottom style="thin">
        <color indexed="9"/>
      </bottom>
      <diagonal/>
    </border>
    <border>
      <left style="thin">
        <color indexed="9"/>
      </left>
      <right style="thin">
        <color indexed="9"/>
      </right>
      <top/>
      <bottom style="thin">
        <color indexed="9"/>
      </bottom>
      <diagonal/>
    </border>
    <border>
      <left/>
      <right style="thin">
        <color indexed="64"/>
      </right>
      <top/>
      <bottom style="thin">
        <color indexed="9"/>
      </bottom>
      <diagonal/>
    </border>
    <border>
      <left style="thin">
        <color indexed="64"/>
      </left>
      <right style="thin">
        <color indexed="64"/>
      </right>
      <top/>
      <bottom style="thin">
        <color auto="1"/>
      </bottom>
      <diagonal/>
    </border>
    <border>
      <left style="thin">
        <color auto="1"/>
      </left>
      <right/>
      <top/>
      <bottom/>
      <diagonal/>
    </border>
    <border>
      <left/>
      <right style="medium">
        <color indexed="64"/>
      </right>
      <top style="medium">
        <color theme="1"/>
      </top>
      <bottom/>
      <diagonal/>
    </border>
    <border>
      <left/>
      <right style="medium">
        <color indexed="64"/>
      </right>
      <top style="thin">
        <color theme="1"/>
      </top>
      <bottom/>
      <diagonal/>
    </border>
    <border>
      <left/>
      <right style="medium">
        <color indexed="64"/>
      </right>
      <top/>
      <bottom style="thin">
        <color theme="1"/>
      </bottom>
      <diagonal/>
    </border>
    <border>
      <left style="medium">
        <color theme="1"/>
      </left>
      <right/>
      <top/>
      <bottom style="medium">
        <color indexed="64"/>
      </bottom>
      <diagonal/>
    </border>
    <border>
      <left style="thin">
        <color indexed="9"/>
      </left>
      <right style="thin">
        <color indexed="9"/>
      </right>
      <top style="thin">
        <color indexed="9"/>
      </top>
      <bottom/>
      <diagonal/>
    </border>
    <border>
      <left style="thin">
        <color indexed="9"/>
      </left>
      <right/>
      <top style="thin">
        <color indexed="9"/>
      </top>
      <bottom/>
      <diagonal/>
    </border>
    <border>
      <left style="thin">
        <color theme="0"/>
      </left>
      <right style="medium">
        <color indexed="64"/>
      </right>
      <top style="thin">
        <color indexed="9"/>
      </top>
      <bottom/>
      <diagonal/>
    </border>
    <border>
      <left/>
      <right/>
      <top/>
      <bottom style="thin">
        <color indexed="64"/>
      </bottom>
      <diagonal/>
    </border>
    <border>
      <left style="medium">
        <color indexed="64"/>
      </left>
      <right/>
      <top style="thin">
        <color indexed="64"/>
      </top>
      <bottom/>
      <diagonal/>
    </border>
    <border>
      <left style="medium">
        <color theme="1"/>
      </left>
      <right/>
      <top style="thin">
        <color indexed="64"/>
      </top>
      <bottom/>
      <diagonal/>
    </border>
    <border>
      <left/>
      <right/>
      <top style="thin">
        <color indexed="64"/>
      </top>
      <bottom/>
      <diagonal/>
    </border>
    <border>
      <left style="thin">
        <color indexed="64"/>
      </left>
      <right/>
      <top style="thin">
        <color auto="1"/>
      </top>
      <bottom/>
      <diagonal/>
    </border>
    <border>
      <left style="thin">
        <color auto="1"/>
      </left>
      <right/>
      <top/>
      <bottom style="thin">
        <color auto="1"/>
      </bottom>
      <diagonal/>
    </border>
    <border>
      <left/>
      <right style="medium">
        <color indexed="64"/>
      </right>
      <top/>
      <bottom style="thin">
        <color indexed="64"/>
      </bottom>
      <diagonal/>
    </border>
    <border>
      <left style="medium">
        <color theme="1"/>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64"/>
      </left>
      <right/>
      <top/>
      <bottom style="medium">
        <color indexed="64"/>
      </bottom>
      <diagonal/>
    </border>
    <border>
      <left style="medium">
        <color theme="1"/>
      </left>
      <right style="thin">
        <color indexed="9"/>
      </right>
      <top style="thin">
        <color indexed="9"/>
      </top>
      <bottom/>
      <diagonal/>
    </border>
    <border>
      <left/>
      <right style="medium">
        <color theme="1"/>
      </right>
      <top/>
      <bottom style="thin">
        <color indexed="64"/>
      </bottom>
      <diagonal/>
    </border>
    <border>
      <left style="thin">
        <color indexed="9"/>
      </left>
      <right/>
      <top style="thin">
        <color indexed="64"/>
      </top>
      <bottom/>
      <diagonal/>
    </border>
    <border>
      <left style="thin">
        <color indexed="9"/>
      </left>
      <right style="thin">
        <color indexed="64"/>
      </right>
      <top style="thin">
        <color indexed="64"/>
      </top>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64"/>
      </right>
      <top/>
      <bottom/>
      <diagonal/>
    </border>
    <border>
      <left style="thin">
        <color indexed="64"/>
      </left>
      <right/>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indexed="64"/>
      </top>
      <bottom style="thin">
        <color indexed="64"/>
      </bottom>
      <diagonal/>
    </border>
    <border>
      <left style="thin">
        <color indexed="8"/>
      </left>
      <right/>
      <top/>
      <bottom/>
      <diagonal/>
    </border>
    <border>
      <left style="thin">
        <color auto="1"/>
      </left>
      <right style="thin">
        <color indexed="64"/>
      </right>
      <top/>
      <bottom/>
      <diagonal/>
    </border>
    <border>
      <left style="thin">
        <color auto="1"/>
      </left>
      <right style="thin">
        <color auto="1"/>
      </right>
      <top/>
      <bottom style="thin">
        <color auto="1"/>
      </bottom>
      <diagonal/>
    </border>
    <border>
      <left style="thin">
        <color indexed="64"/>
      </left>
      <right/>
      <top style="thin">
        <color indexed="8"/>
      </top>
      <bottom style="thin">
        <color indexed="64"/>
      </bottom>
      <diagonal/>
    </border>
    <border>
      <left/>
      <right style="thin">
        <color indexed="64"/>
      </right>
      <top style="thin">
        <color indexed="64"/>
      </top>
      <bottom style="thin">
        <color indexed="64"/>
      </bottom>
      <diagonal/>
    </border>
    <border>
      <left style="thin">
        <color indexed="64"/>
      </left>
      <right style="thin">
        <color indexed="9"/>
      </right>
      <top style="thin">
        <color indexed="64"/>
      </top>
      <bottom/>
      <diagonal/>
    </border>
    <border>
      <left style="thin">
        <color indexed="9"/>
      </left>
      <right/>
      <top style="thin">
        <color indexed="64"/>
      </top>
      <bottom style="thin">
        <color indexed="9"/>
      </bottom>
      <diagonal/>
    </border>
    <border>
      <left/>
      <right/>
      <top style="thin">
        <color indexed="64"/>
      </top>
      <bottom style="thin">
        <color indexed="9"/>
      </bottom>
      <diagonal/>
    </border>
    <border>
      <left/>
      <right style="thin">
        <color indexed="64"/>
      </right>
      <top style="thin">
        <color indexed="64"/>
      </top>
      <bottom/>
      <diagonal/>
    </border>
    <border>
      <left style="thin">
        <color indexed="64"/>
      </left>
      <right/>
      <top style="thin">
        <color indexed="9"/>
      </top>
      <bottom style="thin">
        <color indexed="64"/>
      </bottom>
      <diagonal/>
    </border>
    <border>
      <left style="thin">
        <color indexed="64"/>
      </left>
      <right style="thin">
        <color indexed="64"/>
      </right>
      <top style="thin">
        <color indexed="9"/>
      </top>
      <bottom style="thin">
        <color indexed="64"/>
      </bottom>
      <diagonal/>
    </border>
    <border>
      <left style="thin">
        <color indexed="64"/>
      </left>
      <right style="thin">
        <color indexed="64"/>
      </right>
      <top style="thin">
        <color auto="1"/>
      </top>
      <bottom/>
      <diagonal/>
    </border>
    <border>
      <left style="thin">
        <color indexed="64"/>
      </left>
      <right/>
      <top style="thin">
        <color indexed="8"/>
      </top>
      <bottom/>
      <diagonal/>
    </border>
    <border>
      <left style="thin">
        <color indexed="64"/>
      </left>
      <right style="thin">
        <color indexed="64"/>
      </right>
      <top style="thin">
        <color auto="1"/>
      </top>
      <bottom/>
      <diagonal/>
    </border>
    <border>
      <left style="thin">
        <color auto="1"/>
      </left>
      <right/>
      <top style="medium">
        <color indexed="64"/>
      </top>
      <bottom style="thin">
        <color auto="1"/>
      </bottom>
      <diagonal/>
    </border>
    <border>
      <left/>
      <right/>
      <top style="medium">
        <color indexed="64"/>
      </top>
      <bottom style="thin">
        <color indexed="64"/>
      </bottom>
      <diagonal/>
    </border>
    <border>
      <left/>
      <right style="medium">
        <color indexed="64"/>
      </right>
      <top style="medium">
        <color indexed="64"/>
      </top>
      <bottom style="thin">
        <color auto="1"/>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thin">
        <color auto="1"/>
      </top>
      <bottom/>
      <diagonal/>
    </border>
    <border>
      <left style="thin">
        <color indexed="64"/>
      </left>
      <right style="thin">
        <color indexed="64"/>
      </right>
      <top/>
      <bottom style="medium">
        <color auto="1"/>
      </bottom>
      <diagonal/>
    </border>
    <border>
      <left style="thin">
        <color indexed="64"/>
      </left>
      <right style="thin">
        <color indexed="64"/>
      </right>
      <top style="thin">
        <color indexed="64"/>
      </top>
      <bottom style="medium">
        <color indexed="64"/>
      </bottom>
      <diagonal/>
    </border>
    <border>
      <left/>
      <right style="thin">
        <color auto="1"/>
      </right>
      <top style="thin">
        <color auto="1"/>
      </top>
      <bottom style="medium">
        <color auto="1"/>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ck">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auto="1"/>
      </top>
      <bottom style="thin">
        <color indexed="64"/>
      </bottom>
      <diagonal/>
    </border>
    <border>
      <left/>
      <right style="thick">
        <color indexed="64"/>
      </right>
      <top style="thin">
        <color indexed="64"/>
      </top>
      <bottom style="medium">
        <color indexed="64"/>
      </bottom>
      <diagonal/>
    </border>
    <border>
      <left style="thick">
        <color indexed="64"/>
      </left>
      <right style="thin">
        <color auto="1"/>
      </right>
      <top style="thin">
        <color auto="1"/>
      </top>
      <bottom style="medium">
        <color auto="1"/>
      </bottom>
      <diagonal/>
    </border>
    <border>
      <left/>
      <right style="thick">
        <color indexed="64"/>
      </right>
      <top/>
      <bottom style="medium">
        <color indexed="64"/>
      </bottom>
      <diagonal/>
    </border>
    <border>
      <left/>
      <right style="medium">
        <color indexed="64"/>
      </right>
      <top style="thin">
        <color indexed="64"/>
      </top>
      <bottom style="medium">
        <color indexed="64"/>
      </bottom>
      <diagonal/>
    </border>
  </borders>
  <cellStyleXfs count="638">
    <xf numFmtId="0" fontId="0" fillId="0" borderId="0"/>
    <xf numFmtId="0" fontId="4" fillId="0" borderId="0"/>
    <xf numFmtId="0" fontId="14" fillId="0" borderId="0" applyNumberFormat="0" applyFill="0" applyBorder="0" applyAlignment="0" applyProtection="0"/>
    <xf numFmtId="166" fontId="15" fillId="0" borderId="0" applyFont="0" applyFill="0" applyBorder="0" applyAlignment="0" applyProtection="0"/>
    <xf numFmtId="9" fontId="15" fillId="0" borderId="0" applyFont="0" applyFill="0" applyBorder="0" applyAlignment="0" applyProtection="0"/>
    <xf numFmtId="0" fontId="31" fillId="0" borderId="0"/>
    <xf numFmtId="0" fontId="31" fillId="0" borderId="0"/>
    <xf numFmtId="0" fontId="34" fillId="0" borderId="0"/>
    <xf numFmtId="166" fontId="11" fillId="0" borderId="0" applyFont="0" applyFill="0" applyBorder="0" applyAlignment="0" applyProtection="0"/>
    <xf numFmtId="0" fontId="11" fillId="0" borderId="0"/>
    <xf numFmtId="166" fontId="15" fillId="0" borderId="0" applyFont="0" applyFill="0" applyBorder="0" applyAlignment="0" applyProtection="0"/>
    <xf numFmtId="0" fontId="51" fillId="0" borderId="0"/>
    <xf numFmtId="0" fontId="58" fillId="0" borderId="0"/>
    <xf numFmtId="0" fontId="4" fillId="0" borderId="0"/>
    <xf numFmtId="9" fontId="58" fillId="0" borderId="0" applyFont="0" applyFill="0" applyBorder="0" applyAlignment="0" applyProtection="0"/>
    <xf numFmtId="166" fontId="58" fillId="0" borderId="0" applyFont="0" applyFill="0" applyBorder="0" applyAlignment="0" applyProtection="0"/>
    <xf numFmtId="0" fontId="34" fillId="0" borderId="0"/>
    <xf numFmtId="9" fontId="56" fillId="0" borderId="0" applyFont="0" applyFill="0" applyBorder="0" applyAlignment="0" applyProtection="0"/>
    <xf numFmtId="0" fontId="40" fillId="0" borderId="0"/>
    <xf numFmtId="166" fontId="15" fillId="0" borderId="0" applyFont="0" applyFill="0" applyBorder="0" applyAlignment="0" applyProtection="0"/>
    <xf numFmtId="0" fontId="31" fillId="0" borderId="0"/>
    <xf numFmtId="0" fontId="31" fillId="0" borderId="0"/>
    <xf numFmtId="0" fontId="4" fillId="0" borderId="0">
      <alignment horizontal="left" vertical="center"/>
    </xf>
    <xf numFmtId="0" fontId="31" fillId="0" borderId="0"/>
    <xf numFmtId="0" fontId="31" fillId="0" borderId="0"/>
    <xf numFmtId="0" fontId="15" fillId="0" borderId="0"/>
    <xf numFmtId="0" fontId="116" fillId="0" borderId="0" applyNumberFormat="0" applyFill="0" applyBorder="0" applyAlignment="0" applyProtection="0"/>
    <xf numFmtId="0" fontId="117" fillId="18" borderId="0" applyNumberFormat="0" applyBorder="0" applyAlignment="0" applyProtection="0"/>
    <xf numFmtId="0" fontId="118" fillId="19" borderId="0" applyNumberFormat="0" applyBorder="0" applyAlignment="0" applyProtection="0"/>
    <xf numFmtId="0" fontId="119" fillId="20" borderId="0" applyNumberFormat="0" applyBorder="0" applyAlignment="0" applyProtection="0"/>
    <xf numFmtId="0" fontId="16" fillId="21" borderId="48" applyNumberFormat="0" applyAlignment="0" applyProtection="0"/>
    <xf numFmtId="0" fontId="69"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5" fillId="26" borderId="0" applyNumberFormat="0" applyBorder="0" applyAlignment="0" applyProtection="0"/>
    <xf numFmtId="0" fontId="69"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15" fillId="30" borderId="0" applyNumberFormat="0" applyBorder="0" applyAlignment="0" applyProtection="0"/>
    <xf numFmtId="0" fontId="69"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15" fillId="34" borderId="0" applyNumberFormat="0" applyBorder="0" applyAlignment="0" applyProtection="0"/>
    <xf numFmtId="0" fontId="69" fillId="35"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15" fillId="38" borderId="0" applyNumberFormat="0" applyBorder="0" applyAlignment="0" applyProtection="0"/>
    <xf numFmtId="0" fontId="69" fillId="39" borderId="0" applyNumberFormat="0" applyBorder="0" applyAlignment="0" applyProtection="0"/>
    <xf numFmtId="0" fontId="15" fillId="40" borderId="0" applyNumberFormat="0" applyBorder="0" applyAlignment="0" applyProtection="0"/>
    <xf numFmtId="0" fontId="15" fillId="41" borderId="0" applyNumberFormat="0" applyBorder="0" applyAlignment="0" applyProtection="0"/>
    <xf numFmtId="0" fontId="15" fillId="42" borderId="0" applyNumberFormat="0" applyBorder="0" applyAlignment="0" applyProtection="0"/>
    <xf numFmtId="0" fontId="69" fillId="43" borderId="0" applyNumberFormat="0" applyBorder="0" applyAlignment="0" applyProtection="0"/>
    <xf numFmtId="0" fontId="15" fillId="44" borderId="0" applyNumberFormat="0" applyBorder="0" applyAlignment="0" applyProtection="0"/>
    <xf numFmtId="0" fontId="15" fillId="45" borderId="0" applyNumberFormat="0" applyBorder="0" applyAlignment="0" applyProtection="0"/>
    <xf numFmtId="0" fontId="15" fillId="46" borderId="0" applyNumberFormat="0" applyBorder="0" applyAlignment="0" applyProtection="0"/>
    <xf numFmtId="0" fontId="37" fillId="0" borderId="0"/>
    <xf numFmtId="0" fontId="4" fillId="9" borderId="50" applyNumberFormat="0" applyAlignment="0" applyProtection="0"/>
    <xf numFmtId="0" fontId="121" fillId="48" borderId="51" applyNumberFormat="0" applyProtection="0">
      <alignment vertical="center"/>
    </xf>
    <xf numFmtId="166" fontId="37" fillId="0" borderId="0" applyFont="0" applyFill="0" applyBorder="0" applyAlignment="0" applyProtection="0"/>
    <xf numFmtId="166" fontId="37" fillId="0" borderId="0" applyFont="0" applyFill="0" applyBorder="0" applyAlignment="0" applyProtection="0"/>
    <xf numFmtId="0" fontId="122" fillId="0" borderId="0" applyNumberFormat="0" applyFill="0" applyBorder="0" applyAlignment="0" applyProtection="0"/>
    <xf numFmtId="0" fontId="123" fillId="0" borderId="0" applyNumberFormat="0" applyFill="0" applyBorder="0" applyAlignment="0" applyProtection="0"/>
    <xf numFmtId="0" fontId="120" fillId="0" borderId="0" applyNumberFormat="0" applyFill="0" applyBorder="0" applyAlignment="0" applyProtection="0">
      <alignment vertical="top"/>
      <protection locked="0"/>
    </xf>
    <xf numFmtId="0" fontId="4" fillId="49" borderId="47" applyNumberFormat="0" applyBorder="0" applyAlignment="0" applyProtection="0"/>
    <xf numFmtId="0" fontId="4" fillId="50" borderId="0">
      <alignment vertical="center"/>
    </xf>
    <xf numFmtId="0" fontId="4" fillId="47" borderId="52" applyNumberFormat="0" applyAlignment="0" applyProtection="0"/>
    <xf numFmtId="0" fontId="37" fillId="22" borderId="49" applyNumberFormat="0" applyFont="0" applyAlignment="0" applyProtection="0"/>
    <xf numFmtId="0" fontId="124" fillId="51" borderId="53" applyNumberFormat="0" applyAlignment="0" applyProtection="0"/>
    <xf numFmtId="9" fontId="6" fillId="0" borderId="0" applyFont="0" applyFill="0" applyBorder="0" applyAlignment="0" applyProtection="0"/>
    <xf numFmtId="0" fontId="4" fillId="52" borderId="54" applyNumberFormat="0" applyProtection="0">
      <alignment vertical="center"/>
    </xf>
    <xf numFmtId="0" fontId="124" fillId="5" borderId="0" applyNumberFormat="0" applyBorder="0" applyAlignment="0" applyProtection="0"/>
    <xf numFmtId="166" fontId="15" fillId="0" borderId="0" applyFont="0" applyFill="0" applyBorder="0" applyAlignment="0" applyProtection="0"/>
    <xf numFmtId="0" fontId="37" fillId="0" borderId="0"/>
    <xf numFmtId="43"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99" fontId="93" fillId="0" borderId="0"/>
    <xf numFmtId="0" fontId="131" fillId="0" borderId="60" applyNumberFormat="0" applyFill="0" applyAlignment="0" applyProtection="0"/>
    <xf numFmtId="0" fontId="132" fillId="0" borderId="0" applyNumberFormat="0" applyFill="0" applyBorder="0" applyAlignment="0" applyProtection="0"/>
    <xf numFmtId="0" fontId="133" fillId="0" borderId="60" applyNumberFormat="0" applyFill="0" applyBorder="0" applyAlignment="0" applyProtection="0"/>
    <xf numFmtId="0" fontId="134" fillId="0" borderId="0" applyNumberFormat="0" applyFill="0" applyBorder="0" applyAlignment="0" applyProtection="0"/>
    <xf numFmtId="0" fontId="128" fillId="0" borderId="0" applyNumberFormat="0" applyFill="0" applyBorder="0" applyAlignment="0" applyProtection="0"/>
    <xf numFmtId="0" fontId="129" fillId="0" borderId="0" applyNumberFormat="0" applyFill="0" applyBorder="0" applyAlignment="0" applyProtection="0">
      <alignment vertical="top"/>
      <protection locked="0"/>
    </xf>
    <xf numFmtId="0" fontId="128" fillId="0" borderId="0" applyNumberFormat="0" applyFill="0" applyBorder="0" applyAlignment="0" applyProtection="0"/>
    <xf numFmtId="0" fontId="135" fillId="0" borderId="0" applyNumberFormat="0" applyFill="0" applyBorder="0" applyAlignment="0" applyProtection="0"/>
    <xf numFmtId="0" fontId="14" fillId="0" borderId="0" applyNumberFormat="0" applyFill="0" applyBorder="0" applyAlignment="0" applyProtection="0"/>
    <xf numFmtId="0" fontId="93" fillId="0" borderId="0" applyNumberFormat="0" applyFont="0" applyBorder="0" applyProtection="0"/>
    <xf numFmtId="0" fontId="130" fillId="0" borderId="0"/>
    <xf numFmtId="0" fontId="136" fillId="0" borderId="0" applyNumberFormat="0" applyBorder="0" applyProtection="0"/>
    <xf numFmtId="0" fontId="15" fillId="0" borderId="0"/>
    <xf numFmtId="0" fontId="137" fillId="0" borderId="0" applyNumberFormat="0" applyBorder="0" applyProtection="0"/>
    <xf numFmtId="0" fontId="4" fillId="0" borderId="0"/>
    <xf numFmtId="0" fontId="130" fillId="0" borderId="0"/>
    <xf numFmtId="0" fontId="136" fillId="0" borderId="0" applyNumberFormat="0" applyFill="0" applyBorder="0" applyAlignment="0" applyProtection="0"/>
    <xf numFmtId="9" fontId="3" fillId="0" borderId="0" applyFont="0" applyFill="0" applyBorder="0" applyAlignment="0" applyProtection="0"/>
    <xf numFmtId="199" fontId="138" fillId="0" borderId="0">
      <alignment horizontal="right"/>
    </xf>
    <xf numFmtId="43" fontId="15" fillId="0" borderId="0" applyFont="0" applyFill="0" applyBorder="0" applyAlignment="0" applyProtection="0"/>
    <xf numFmtId="0" fontId="4" fillId="0" borderId="0"/>
    <xf numFmtId="0" fontId="37" fillId="0" borderId="0"/>
    <xf numFmtId="43" fontId="4" fillId="0" borderId="0" applyFont="0" applyFill="0" applyBorder="0" applyAlignment="0" applyProtection="0"/>
    <xf numFmtId="9" fontId="4" fillId="0" borderId="0" applyFont="0" applyFill="0" applyBorder="0" applyAlignment="0" applyProtection="0"/>
    <xf numFmtId="0" fontId="140" fillId="19" borderId="0" applyNumberFormat="0" applyBorder="0" applyAlignment="0" applyProtection="0"/>
    <xf numFmtId="0" fontId="129" fillId="0" borderId="0" applyNumberFormat="0" applyFill="0" applyBorder="0" applyAlignment="0" applyProtection="0">
      <alignment vertical="top"/>
      <protection locked="0"/>
    </xf>
    <xf numFmtId="0" fontId="4" fillId="0" borderId="0"/>
    <xf numFmtId="0" fontId="6" fillId="0" borderId="0"/>
    <xf numFmtId="0" fontId="141"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4" fillId="0" borderId="0"/>
    <xf numFmtId="43" fontId="15" fillId="0" borderId="0" applyFont="0" applyFill="0" applyBorder="0" applyAlignment="0" applyProtection="0"/>
    <xf numFmtId="43" fontId="4" fillId="0" borderId="0" applyFont="0" applyFill="0" applyBorder="0" applyAlignment="0" applyProtection="0"/>
    <xf numFmtId="0" fontId="129" fillId="0" borderId="0" applyNumberFormat="0" applyFill="0" applyBorder="0" applyAlignment="0" applyProtection="0">
      <alignment vertical="top"/>
      <protection locked="0"/>
    </xf>
    <xf numFmtId="43" fontId="4" fillId="0" borderId="0" applyFont="0" applyFill="0" applyBorder="0" applyAlignment="0" applyProtection="0"/>
    <xf numFmtId="9" fontId="15" fillId="0" borderId="0" applyFont="0" applyFill="0" applyBorder="0" applyAlignment="0" applyProtection="0"/>
    <xf numFmtId="0" fontId="4" fillId="0" borderId="0"/>
    <xf numFmtId="43" fontId="4" fillId="0" borderId="0" applyFont="0" applyFill="0" applyBorder="0" applyAlignment="0" applyProtection="0"/>
    <xf numFmtId="0" fontId="130" fillId="0" borderId="0"/>
    <xf numFmtId="0" fontId="130" fillId="0" borderId="0"/>
    <xf numFmtId="0" fontId="37" fillId="0" borderId="0"/>
    <xf numFmtId="3" fontId="4" fillId="57" borderId="0" applyNumberFormat="0"/>
    <xf numFmtId="0" fontId="142" fillId="0" borderId="0"/>
    <xf numFmtId="0" fontId="143" fillId="56" borderId="47" applyNumberFormat="0" applyAlignment="0" applyProtection="0"/>
    <xf numFmtId="0" fontId="159" fillId="0" borderId="0" applyNumberFormat="0" applyFill="0" applyBorder="0" applyProtection="0">
      <alignment horizontal="left" vertical="center"/>
    </xf>
    <xf numFmtId="0" fontId="144" fillId="0" borderId="0" applyNumberFormat="0" applyFont="0" applyFill="0" applyBorder="0" applyProtection="0">
      <alignment horizontal="left" vertical="center" indent="5"/>
    </xf>
    <xf numFmtId="4" fontId="145" fillId="58" borderId="73">
      <alignment horizontal="right" vertical="center"/>
    </xf>
    <xf numFmtId="4" fontId="146" fillId="0" borderId="83" applyFill="0" applyBorder="0" applyProtection="0">
      <alignment horizontal="right" vertical="center"/>
    </xf>
    <xf numFmtId="43" fontId="31" fillId="0" borderId="0" applyFont="0" applyFill="0" applyBorder="0" applyAlignment="0" applyProtection="0"/>
    <xf numFmtId="43" fontId="15" fillId="0" borderId="0" applyFont="0" applyFill="0" applyBorder="0" applyAlignment="0" applyProtection="0"/>
    <xf numFmtId="200" fontId="147" fillId="0" borderId="0">
      <alignment horizontal="left" vertical="center"/>
    </xf>
    <xf numFmtId="4" fontId="145" fillId="0" borderId="59">
      <alignment horizontal="right" vertical="center"/>
    </xf>
    <xf numFmtId="0" fontId="31" fillId="0" borderId="0"/>
    <xf numFmtId="0" fontId="15" fillId="0" borderId="0"/>
    <xf numFmtId="0" fontId="4" fillId="0" borderId="0"/>
    <xf numFmtId="0" fontId="4" fillId="0" borderId="0"/>
    <xf numFmtId="0" fontId="4" fillId="0" borderId="0"/>
    <xf numFmtId="0" fontId="130" fillId="0" borderId="0"/>
    <xf numFmtId="0" fontId="4" fillId="0" borderId="0"/>
    <xf numFmtId="0" fontId="144" fillId="59" borderId="0" applyNumberFormat="0" applyFont="0" applyBorder="0" applyAlignment="0" applyProtection="0"/>
    <xf numFmtId="200" fontId="148" fillId="0" borderId="0" applyFill="0" applyBorder="0" applyAlignment="0" applyProtection="0"/>
    <xf numFmtId="0" fontId="4" fillId="0" borderId="0"/>
    <xf numFmtId="0" fontId="4" fillId="0" borderId="0"/>
    <xf numFmtId="0" fontId="145" fillId="59" borderId="73"/>
    <xf numFmtId="0" fontId="4" fillId="0" borderId="0"/>
    <xf numFmtId="4" fontId="145" fillId="0" borderId="0"/>
    <xf numFmtId="43" fontId="15" fillId="0" borderId="0" applyFont="0" applyFill="0" applyBorder="0" applyAlignment="0" applyProtection="0"/>
    <xf numFmtId="0" fontId="149" fillId="0" borderId="0" applyNumberFormat="0" applyFill="0" applyBorder="0" applyAlignment="0" applyProtection="0">
      <alignment vertical="top"/>
      <protection locked="0"/>
    </xf>
    <xf numFmtId="9" fontId="37" fillId="0" borderId="0" applyFont="0" applyFill="0" applyBorder="0" applyAlignment="0" applyProtection="0"/>
    <xf numFmtId="0" fontId="15" fillId="0" borderId="0"/>
    <xf numFmtId="43" fontId="4" fillId="0" borderId="0" applyFont="0" applyFill="0" applyBorder="0" applyAlignment="0" applyProtection="0"/>
    <xf numFmtId="4" fontId="146" fillId="0" borderId="83" applyFill="0" applyBorder="0" applyProtection="0">
      <alignment horizontal="right" vertical="center"/>
    </xf>
    <xf numFmtId="0" fontId="37" fillId="0" borderId="0"/>
    <xf numFmtId="0" fontId="150" fillId="0" borderId="0" applyNumberFormat="0" applyFill="0" applyBorder="0" applyAlignment="0" applyProtection="0">
      <alignment vertical="top"/>
      <protection locked="0"/>
    </xf>
    <xf numFmtId="0" fontId="152" fillId="0" borderId="0"/>
    <xf numFmtId="43" fontId="31" fillId="0" borderId="0" applyFont="0" applyFill="0" applyBorder="0" applyAlignment="0" applyProtection="0"/>
    <xf numFmtId="43" fontId="3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4" fillId="0" borderId="0"/>
    <xf numFmtId="0" fontId="145" fillId="59" borderId="73"/>
    <xf numFmtId="4" fontId="146" fillId="0" borderId="83" applyFill="0" applyBorder="0" applyProtection="0">
      <alignment horizontal="right" vertical="center"/>
    </xf>
    <xf numFmtId="4" fontId="146" fillId="0" borderId="83" applyFill="0" applyBorder="0" applyProtection="0">
      <alignment horizontal="right" vertical="center"/>
    </xf>
    <xf numFmtId="0" fontId="14" fillId="0" borderId="0" applyNumberFormat="0" applyFill="0" applyBorder="0" applyAlignment="0" applyProtection="0"/>
    <xf numFmtId="0" fontId="37" fillId="0" borderId="0"/>
    <xf numFmtId="0" fontId="153" fillId="0" borderId="82" applyNumberFormat="0" applyFill="0" applyAlignment="0" applyProtection="0"/>
    <xf numFmtId="0" fontId="154" fillId="0" borderId="84" applyNumberFormat="0" applyFill="0" applyAlignment="0" applyProtection="0"/>
    <xf numFmtId="0" fontId="136" fillId="0" borderId="0" applyNumberFormat="0" applyBorder="0" applyProtection="0"/>
    <xf numFmtId="43" fontId="15" fillId="0" borderId="0" applyFont="0" applyFill="0" applyBorder="0" applyAlignment="0" applyProtection="0"/>
    <xf numFmtId="43" fontId="15" fillId="0" borderId="0" applyFont="0" applyFill="0" applyBorder="0" applyAlignment="0" applyProtection="0"/>
    <xf numFmtId="43" fontId="4" fillId="0" borderId="0" applyFont="0" applyFill="0" applyBorder="0" applyAlignment="0" applyProtection="0"/>
    <xf numFmtId="0" fontId="129" fillId="0" borderId="0" applyNumberFormat="0" applyFill="0" applyBorder="0" applyAlignment="0" applyProtection="0">
      <alignment vertical="top"/>
      <protection locked="0"/>
    </xf>
    <xf numFmtId="0" fontId="100" fillId="0" borderId="0" applyNumberFormat="0" applyFill="0" applyBorder="0" applyProtection="0">
      <alignment horizontal="left"/>
    </xf>
    <xf numFmtId="0" fontId="141" fillId="0" borderId="0" applyNumberFormat="0" applyFill="0" applyBorder="0" applyAlignment="0" applyProtection="0">
      <alignment vertical="top"/>
      <protection locked="0"/>
    </xf>
    <xf numFmtId="43" fontId="4" fillId="0" borderId="0" applyFont="0" applyFill="0" applyBorder="0" applyAlignment="0" applyProtection="0"/>
    <xf numFmtId="43" fontId="15" fillId="0" borderId="0" applyFont="0" applyFill="0" applyBorder="0" applyAlignment="0" applyProtection="0"/>
    <xf numFmtId="43" fontId="4" fillId="0" borderId="0" applyFont="0" applyFill="0" applyBorder="0" applyAlignment="0" applyProtection="0"/>
    <xf numFmtId="0" fontId="129" fillId="0" borderId="0" applyNumberFormat="0" applyFill="0" applyBorder="0" applyAlignment="0" applyProtection="0">
      <alignment vertical="top"/>
      <protection locked="0"/>
    </xf>
    <xf numFmtId="43" fontId="4" fillId="0" borderId="0" applyFont="0" applyFill="0" applyBorder="0" applyAlignment="0" applyProtection="0"/>
    <xf numFmtId="43" fontId="4" fillId="0" borderId="0" applyFont="0" applyFill="0" applyBorder="0" applyAlignment="0" applyProtection="0"/>
    <xf numFmtId="0" fontId="37" fillId="0" borderId="0"/>
    <xf numFmtId="0" fontId="142" fillId="0" borderId="0"/>
    <xf numFmtId="0" fontId="143" fillId="56" borderId="47" applyNumberFormat="0" applyAlignment="0" applyProtection="0"/>
    <xf numFmtId="0" fontId="4" fillId="0" borderId="0"/>
    <xf numFmtId="0" fontId="156" fillId="0" borderId="0" applyNumberFormat="0" applyFill="0" applyBorder="0" applyProtection="0"/>
    <xf numFmtId="0" fontId="151" fillId="0" borderId="0" applyNumberFormat="0" applyFill="0" applyBorder="0" applyAlignment="0" applyProtection="0"/>
    <xf numFmtId="0" fontId="160" fillId="0" borderId="0" applyNumberFormat="0" applyFill="0" applyBorder="0" applyAlignment="0" applyProtection="0"/>
    <xf numFmtId="0" fontId="37" fillId="0" borderId="0"/>
    <xf numFmtId="0" fontId="162" fillId="0" borderId="0" applyNumberFormat="0" applyFill="0" applyProtection="0">
      <alignment horizontal="left"/>
    </xf>
    <xf numFmtId="0" fontId="157" fillId="0" borderId="0" applyNumberFormat="0" applyFill="0" applyBorder="0" applyAlignment="0" applyProtection="0"/>
    <xf numFmtId="43" fontId="31" fillId="0" borderId="0" applyFont="0" applyFill="0" applyBorder="0" applyAlignment="0" applyProtection="0"/>
    <xf numFmtId="43" fontId="15" fillId="0" borderId="0" applyFont="0" applyFill="0" applyBorder="0" applyAlignment="0" applyProtection="0"/>
    <xf numFmtId="0" fontId="158" fillId="0" borderId="0" applyNumberFormat="0" applyFill="0" applyBorder="0" applyProtection="0"/>
    <xf numFmtId="0" fontId="15" fillId="0" borderId="0"/>
    <xf numFmtId="0" fontId="145" fillId="59" borderId="73"/>
    <xf numFmtId="43" fontId="15"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45" fillId="59" borderId="73"/>
    <xf numFmtId="0" fontId="155" fillId="0" borderId="0" applyNumberFormat="0" applyFill="0" applyBorder="0" applyProtection="0">
      <alignment vertical="center"/>
    </xf>
    <xf numFmtId="0" fontId="15" fillId="0" borderId="0"/>
    <xf numFmtId="0" fontId="161" fillId="0" borderId="0" applyNumberFormat="0" applyFill="0" applyProtection="0">
      <alignment horizontal="left" vertical="center"/>
    </xf>
    <xf numFmtId="0" fontId="130" fillId="0" borderId="0"/>
    <xf numFmtId="0" fontId="31" fillId="0" borderId="0"/>
    <xf numFmtId="0" fontId="28" fillId="0" borderId="0" applyNumberFormat="0" applyFill="0" applyAlignment="0">
      <protection locked="0"/>
    </xf>
    <xf numFmtId="0" fontId="100" fillId="0" borderId="0" applyNumberFormat="0" applyFill="0" applyBorder="0" applyAlignment="0">
      <protection locked="0"/>
    </xf>
    <xf numFmtId="0" fontId="20" fillId="0" borderId="0" applyNumberFormat="0" applyBorder="0" applyProtection="0">
      <alignment vertical="center"/>
    </xf>
    <xf numFmtId="0" fontId="137" fillId="0" borderId="0" applyNumberFormat="0" applyBorder="0" applyProtection="0"/>
    <xf numFmtId="0" fontId="20" fillId="0" borderId="0" applyNumberFormat="0" applyBorder="0" applyProtection="0">
      <alignment vertical="center" wrapText="1"/>
    </xf>
    <xf numFmtId="0" fontId="93" fillId="0" borderId="0"/>
    <xf numFmtId="0" fontId="136" fillId="0" borderId="0" applyNumberFormat="0" applyBorder="0" applyProtection="0"/>
    <xf numFmtId="0" fontId="139" fillId="56" borderId="47" applyNumberFormat="0" applyAlignment="0" applyProtection="0"/>
    <xf numFmtId="0" fontId="172" fillId="63" borderId="85" applyNumberFormat="0" applyAlignment="0" applyProtection="0"/>
    <xf numFmtId="9" fontId="15" fillId="0" borderId="0"/>
    <xf numFmtId="9" fontId="15" fillId="0" borderId="0"/>
    <xf numFmtId="43" fontId="15" fillId="0" borderId="0" applyFont="0" applyFill="0" applyBorder="0" applyAlignment="0" applyProtection="0"/>
    <xf numFmtId="0" fontId="174" fillId="71" borderId="88" applyNumberFormat="0" applyFont="0" applyAlignment="0" applyProtection="0"/>
    <xf numFmtId="210" fontId="148" fillId="0" borderId="0" applyFont="0" applyFill="0" applyBorder="0" applyAlignment="0" applyProtection="0"/>
    <xf numFmtId="0" fontId="183" fillId="6" borderId="85" applyNumberFormat="0" applyAlignment="0" applyProtection="0"/>
    <xf numFmtId="0" fontId="178" fillId="6" borderId="87" applyNumberFormat="0" applyAlignment="0" applyProtection="0"/>
    <xf numFmtId="0" fontId="31" fillId="0" borderId="0"/>
    <xf numFmtId="0" fontId="31" fillId="0" borderId="0"/>
    <xf numFmtId="43" fontId="4" fillId="0" borderId="0" applyFont="0" applyFill="0" applyBorder="0" applyAlignment="0" applyProtection="0"/>
    <xf numFmtId="0" fontId="174" fillId="61" borderId="0" applyNumberFormat="0" applyBorder="0" applyAlignment="0" applyProtection="0"/>
    <xf numFmtId="43" fontId="15" fillId="0" borderId="0" applyFont="0" applyFill="0" applyBorder="0" applyAlignment="0" applyProtection="0"/>
    <xf numFmtId="0" fontId="51" fillId="0" borderId="0"/>
    <xf numFmtId="0" fontId="184" fillId="60" borderId="0" applyNumberFormat="0" applyBorder="0" applyAlignment="0" applyProtection="0"/>
    <xf numFmtId="0" fontId="4" fillId="63" borderId="0" applyNumberFormat="0" applyFont="0" applyBorder="0" applyAlignment="0"/>
    <xf numFmtId="0" fontId="174" fillId="69" borderId="0" applyNumberFormat="0" applyBorder="0" applyAlignment="0" applyProtection="0"/>
    <xf numFmtId="0" fontId="184" fillId="75" borderId="0" applyNumberFormat="0" applyBorder="0" applyAlignment="0" applyProtection="0"/>
    <xf numFmtId="9" fontId="56" fillId="0" borderId="0" applyFont="0" applyFill="0" applyBorder="0" applyAlignment="0" applyProtection="0"/>
    <xf numFmtId="0" fontId="174" fillId="66" borderId="0" applyNumberFormat="0" applyBorder="0" applyAlignment="0" applyProtection="0"/>
    <xf numFmtId="0" fontId="181" fillId="59" borderId="89" applyNumberFormat="0" applyAlignment="0" applyProtection="0"/>
    <xf numFmtId="0" fontId="15" fillId="0" borderId="0"/>
    <xf numFmtId="0" fontId="183" fillId="6" borderId="85" applyNumberFormat="0" applyAlignment="0" applyProtection="0"/>
    <xf numFmtId="0" fontId="117" fillId="18" borderId="0" applyNumberFormat="0" applyBorder="0" applyAlignment="0" applyProtection="0"/>
    <xf numFmtId="0" fontId="118" fillId="19" borderId="0" applyNumberFormat="0" applyBorder="0" applyAlignment="0" applyProtection="0"/>
    <xf numFmtId="0" fontId="119" fillId="20" borderId="0" applyNumberFormat="0" applyBorder="0" applyAlignment="0" applyProtection="0"/>
    <xf numFmtId="0" fontId="16" fillId="21" borderId="48" applyNumberFormat="0" applyAlignment="0" applyProtection="0"/>
    <xf numFmtId="0" fontId="69"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5" fillId="26" borderId="0" applyNumberFormat="0" applyBorder="0" applyAlignment="0" applyProtection="0"/>
    <xf numFmtId="0" fontId="69"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15" fillId="30" borderId="0" applyNumberFormat="0" applyBorder="0" applyAlignment="0" applyProtection="0"/>
    <xf numFmtId="0" fontId="69"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15" fillId="34" borderId="0" applyNumberFormat="0" applyBorder="0" applyAlignment="0" applyProtection="0"/>
    <xf numFmtId="0" fontId="69" fillId="35"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15" fillId="38" borderId="0" applyNumberFormat="0" applyBorder="0" applyAlignment="0" applyProtection="0"/>
    <xf numFmtId="0" fontId="69" fillId="39" borderId="0" applyNumberFormat="0" applyBorder="0" applyAlignment="0" applyProtection="0"/>
    <xf numFmtId="0" fontId="15" fillId="40" borderId="0" applyNumberFormat="0" applyBorder="0" applyAlignment="0" applyProtection="0"/>
    <xf numFmtId="0" fontId="15" fillId="41" borderId="0" applyNumberFormat="0" applyBorder="0" applyAlignment="0" applyProtection="0"/>
    <xf numFmtId="0" fontId="15" fillId="42" borderId="0" applyNumberFormat="0" applyBorder="0" applyAlignment="0" applyProtection="0"/>
    <xf numFmtId="0" fontId="69" fillId="43" borderId="0" applyNumberFormat="0" applyBorder="0" applyAlignment="0" applyProtection="0"/>
    <xf numFmtId="0" fontId="15" fillId="44" borderId="0" applyNumberFormat="0" applyBorder="0" applyAlignment="0" applyProtection="0"/>
    <xf numFmtId="0" fontId="15" fillId="45" borderId="0" applyNumberFormat="0" applyBorder="0" applyAlignment="0" applyProtection="0"/>
    <xf numFmtId="0" fontId="15" fillId="46" borderId="0" applyNumberFormat="0" applyBorder="0" applyAlignment="0" applyProtection="0"/>
    <xf numFmtId="0" fontId="37" fillId="0" borderId="0"/>
    <xf numFmtId="43" fontId="37" fillId="0" borderId="0" applyFont="0" applyFill="0" applyBorder="0" applyAlignment="0" applyProtection="0"/>
    <xf numFmtId="43" fontId="37" fillId="0" borderId="0" applyFont="0" applyFill="0" applyBorder="0" applyAlignment="0" applyProtection="0"/>
    <xf numFmtId="0" fontId="120" fillId="0" borderId="0" applyNumberFormat="0" applyFill="0" applyBorder="0" applyAlignment="0" applyProtection="0">
      <alignment vertical="top"/>
      <protection locked="0"/>
    </xf>
    <xf numFmtId="0" fontId="4" fillId="49" borderId="47" applyNumberFormat="0" applyBorder="0" applyAlignment="0" applyProtection="0"/>
    <xf numFmtId="9" fontId="6" fillId="0" borderId="0" applyFont="0" applyFill="0" applyBorder="0" applyAlignment="0" applyProtection="0"/>
    <xf numFmtId="0" fontId="37" fillId="0" borderId="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31" fillId="0" borderId="60" applyNumberFormat="0" applyFill="0" applyAlignment="0" applyProtection="0"/>
    <xf numFmtId="0" fontId="132" fillId="0" borderId="0" applyNumberFormat="0" applyFill="0" applyBorder="0" applyAlignment="0" applyProtection="0"/>
    <xf numFmtId="0" fontId="133" fillId="0" borderId="60" applyNumberFormat="0" applyFill="0" applyBorder="0" applyAlignment="0" applyProtection="0"/>
    <xf numFmtId="0" fontId="134" fillId="0" borderId="0" applyNumberFormat="0" applyFill="0" applyBorder="0" applyAlignment="0" applyProtection="0"/>
    <xf numFmtId="0" fontId="128" fillId="0" borderId="0" applyNumberFormat="0" applyFill="0" applyBorder="0" applyAlignment="0" applyProtection="0"/>
    <xf numFmtId="0" fontId="129" fillId="0" borderId="0" applyNumberFormat="0" applyFill="0" applyBorder="0" applyAlignment="0" applyProtection="0">
      <alignment vertical="top"/>
      <protection locked="0"/>
    </xf>
    <xf numFmtId="0" fontId="128" fillId="0" borderId="0" applyNumberFormat="0" applyFill="0" applyBorder="0" applyAlignment="0" applyProtection="0"/>
    <xf numFmtId="0" fontId="14" fillId="0" borderId="0" applyNumberFormat="0" applyFill="0" applyBorder="0" applyAlignment="0" applyProtection="0"/>
    <xf numFmtId="0" fontId="93" fillId="0" borderId="0" applyNumberFormat="0" applyFont="0" applyBorder="0" applyProtection="0"/>
    <xf numFmtId="0" fontId="136" fillId="0" borderId="0" applyNumberFormat="0" applyBorder="0" applyProtection="0"/>
    <xf numFmtId="0" fontId="15" fillId="0" borderId="0"/>
    <xf numFmtId="0" fontId="137" fillId="0" borderId="0" applyNumberFormat="0" applyBorder="0" applyProtection="0"/>
    <xf numFmtId="0" fontId="6" fillId="0" borderId="0"/>
    <xf numFmtId="0" fontId="130" fillId="0" borderId="0"/>
    <xf numFmtId="0" fontId="174" fillId="61" borderId="0" applyNumberFormat="0" applyBorder="0" applyAlignment="0" applyProtection="0"/>
    <xf numFmtId="9" fontId="2" fillId="0" borderId="0" applyFont="0" applyFill="0" applyBorder="0" applyAlignment="0" applyProtection="0"/>
    <xf numFmtId="0" fontId="177" fillId="74" borderId="0" applyNumberFormat="0" applyBorder="0" applyAlignment="0" applyProtection="0"/>
    <xf numFmtId="204" fontId="4" fillId="0" borderId="0" applyFont="0" applyFill="0" applyBorder="0" applyAlignment="0" applyProtection="0"/>
    <xf numFmtId="0" fontId="184" fillId="67" borderId="0" applyNumberFormat="0" applyBorder="0" applyAlignment="0" applyProtection="0"/>
    <xf numFmtId="0" fontId="174" fillId="61" borderId="0" applyNumberFormat="0" applyBorder="0" applyAlignment="0" applyProtection="0"/>
    <xf numFmtId="43" fontId="4" fillId="0" borderId="0" applyFont="0" applyFill="0" applyBorder="0" applyAlignment="0" applyProtection="0"/>
    <xf numFmtId="0" fontId="178" fillId="6" borderId="87" applyNumberFormat="0" applyAlignment="0" applyProtection="0"/>
    <xf numFmtId="0" fontId="174" fillId="74" borderId="0" applyNumberFormat="0" applyBorder="0" applyAlignment="0" applyProtection="0"/>
    <xf numFmtId="0" fontId="178" fillId="6" borderId="87" applyNumberFormat="0" applyAlignment="0" applyProtection="0"/>
    <xf numFmtId="201" fontId="4" fillId="0" borderId="0" applyFont="0" applyFill="0" applyBorder="0" applyAlignment="0" applyProtection="0"/>
    <xf numFmtId="0" fontId="172" fillId="63" borderId="85" applyNumberFormat="0" applyAlignment="0" applyProtection="0"/>
    <xf numFmtId="0" fontId="172" fillId="63" borderId="85" applyNumberFormat="0" applyAlignment="0" applyProtection="0"/>
    <xf numFmtId="0" fontId="172" fillId="63" borderId="85" applyNumberFormat="0" applyAlignment="0" applyProtection="0"/>
    <xf numFmtId="0" fontId="174" fillId="64" borderId="0" applyNumberFormat="0" applyBorder="0" applyAlignment="0" applyProtection="0"/>
    <xf numFmtId="0" fontId="6" fillId="0" borderId="0"/>
    <xf numFmtId="43" fontId="4" fillId="0" borderId="0" applyFont="0" applyFill="0" applyBorder="0" applyAlignment="0" applyProtection="0"/>
    <xf numFmtId="9" fontId="15" fillId="0" borderId="0" applyFont="0" applyFill="0" applyBorder="0" applyAlignment="0" applyProtection="0"/>
    <xf numFmtId="0" fontId="184" fillId="60" borderId="0" applyNumberFormat="0" applyBorder="0" applyAlignment="0" applyProtection="0"/>
    <xf numFmtId="205" fontId="4" fillId="0" borderId="0" applyFont="0" applyFill="0" applyBorder="0" applyAlignment="0" applyProtection="0"/>
    <xf numFmtId="0" fontId="187" fillId="0" borderId="91" applyNumberFormat="0" applyFill="0" applyAlignment="0" applyProtection="0"/>
    <xf numFmtId="0" fontId="174" fillId="58" borderId="0" applyNumberFormat="0" applyBorder="0" applyAlignment="0" applyProtection="0"/>
    <xf numFmtId="0" fontId="174" fillId="71" borderId="88" applyNumberFormat="0" applyFont="0" applyAlignment="0" applyProtection="0"/>
    <xf numFmtId="0" fontId="15" fillId="0" borderId="0"/>
    <xf numFmtId="0" fontId="184" fillId="65" borderId="0" applyNumberFormat="0" applyBorder="0" applyAlignment="0" applyProtection="0"/>
    <xf numFmtId="0" fontId="180" fillId="68" borderId="0" applyNumberFormat="0" applyBorder="0" applyAlignment="0" applyProtection="0"/>
    <xf numFmtId="0" fontId="174" fillId="74" borderId="0" applyNumberFormat="0" applyBorder="0" applyAlignment="0" applyProtection="0"/>
    <xf numFmtId="0" fontId="172" fillId="63" borderId="85" applyNumberFormat="0" applyAlignment="0" applyProtection="0"/>
    <xf numFmtId="0" fontId="184" fillId="77" borderId="0" applyNumberFormat="0" applyBorder="0" applyAlignment="0" applyProtection="0"/>
    <xf numFmtId="9" fontId="6" fillId="0" borderId="0" applyFont="0" applyFill="0" applyBorder="0" applyAlignment="0" applyProtection="0"/>
    <xf numFmtId="0" fontId="149" fillId="0" borderId="0" applyNumberFormat="0" applyFill="0" applyBorder="0" applyAlignment="0" applyProtection="0">
      <alignment vertical="top"/>
      <protection locked="0"/>
    </xf>
    <xf numFmtId="49" fontId="4" fillId="0" borderId="0" applyFill="0" applyBorder="0" applyProtection="0">
      <alignment horizontal="left"/>
    </xf>
    <xf numFmtId="0" fontId="184" fillId="67" borderId="0" applyNumberFormat="0" applyBorder="0" applyAlignment="0" applyProtection="0"/>
    <xf numFmtId="0" fontId="188" fillId="0" borderId="0" applyNumberFormat="0" applyFill="0" applyBorder="0" applyAlignment="0" applyProtection="0"/>
    <xf numFmtId="181" fontId="4" fillId="0" borderId="0" applyFont="0" applyFill="0" applyBorder="0" applyAlignment="0" applyProtection="0">
      <alignment horizontal="left"/>
    </xf>
    <xf numFmtId="43" fontId="15" fillId="0" borderId="0" applyFont="0" applyFill="0" applyBorder="0" applyAlignment="0" applyProtection="0"/>
    <xf numFmtId="207" fontId="4" fillId="0" borderId="0" applyFont="0" applyFill="0" applyBorder="0" applyAlignment="0" applyProtection="0">
      <alignment horizontal="left"/>
    </xf>
    <xf numFmtId="0" fontId="177" fillId="74" borderId="0" applyNumberFormat="0" applyBorder="0" applyAlignment="0" applyProtection="0"/>
    <xf numFmtId="0" fontId="184" fillId="62" borderId="0" applyNumberFormat="0" applyBorder="0" applyAlignment="0" applyProtection="0"/>
    <xf numFmtId="0" fontId="173" fillId="0" borderId="90" applyNumberFormat="0" applyFill="0" applyAlignment="0" applyProtection="0"/>
    <xf numFmtId="0" fontId="174" fillId="71" borderId="88" applyNumberFormat="0" applyFont="0" applyAlignment="0" applyProtection="0"/>
    <xf numFmtId="0" fontId="174" fillId="72" borderId="0" applyNumberFormat="0" applyBorder="0" applyAlignment="0" applyProtection="0"/>
    <xf numFmtId="9" fontId="168" fillId="0" borderId="0" applyFont="0" applyFill="0" applyBorder="0" applyAlignment="0" applyProtection="0"/>
    <xf numFmtId="0" fontId="149" fillId="0" borderId="0" applyNumberFormat="0" applyFill="0" applyBorder="0" applyAlignment="0" applyProtection="0">
      <alignment vertical="top"/>
      <protection locked="0"/>
    </xf>
    <xf numFmtId="0" fontId="184" fillId="70" borderId="0" applyNumberFormat="0" applyBorder="0" applyAlignment="0" applyProtection="0"/>
    <xf numFmtId="0" fontId="4" fillId="0" borderId="0"/>
    <xf numFmtId="0" fontId="15" fillId="0" borderId="0"/>
    <xf numFmtId="0" fontId="4" fillId="68" borderId="0" applyNumberFormat="0" applyFont="0" applyBorder="0" applyAlignment="0"/>
    <xf numFmtId="0" fontId="174" fillId="67" borderId="0" applyNumberFormat="0" applyBorder="0" applyAlignment="0" applyProtection="0"/>
    <xf numFmtId="0" fontId="174" fillId="76" borderId="0" applyNumberFormat="0" applyBorder="0" applyAlignment="0" applyProtection="0"/>
    <xf numFmtId="0" fontId="185" fillId="0" borderId="86" applyNumberFormat="0" applyFill="0" applyAlignment="0" applyProtection="0"/>
    <xf numFmtId="0" fontId="15" fillId="0" borderId="0"/>
    <xf numFmtId="0" fontId="179" fillId="69" borderId="0" applyNumberFormat="0" applyBorder="0" applyAlignment="0" applyProtection="0"/>
    <xf numFmtId="0" fontId="172" fillId="63" borderId="85" applyNumberFormat="0" applyAlignment="0" applyProtection="0"/>
    <xf numFmtId="206" fontId="4" fillId="0" borderId="0" applyFont="0" applyFill="0" applyBorder="0" applyAlignment="0" applyProtection="0">
      <alignment horizontal="left"/>
    </xf>
    <xf numFmtId="0" fontId="172" fillId="63" borderId="85" applyNumberFormat="0" applyAlignment="0" applyProtection="0"/>
    <xf numFmtId="0" fontId="184" fillId="73" borderId="0" applyNumberFormat="0" applyBorder="0" applyAlignment="0" applyProtection="0"/>
    <xf numFmtId="0" fontId="179" fillId="69" borderId="0" applyNumberFormat="0" applyBorder="0" applyAlignment="0" applyProtection="0"/>
    <xf numFmtId="0" fontId="184" fillId="70" borderId="0" applyNumberFormat="0" applyBorder="0" applyAlignment="0" applyProtection="0"/>
    <xf numFmtId="0" fontId="172" fillId="63" borderId="85" applyNumberFormat="0" applyAlignment="0" applyProtection="0"/>
    <xf numFmtId="0" fontId="184" fillId="70" borderId="0" applyNumberFormat="0" applyBorder="0" applyAlignment="0" applyProtection="0"/>
    <xf numFmtId="0" fontId="174" fillId="61" borderId="0" applyNumberFormat="0" applyBorder="0" applyAlignment="0" applyProtection="0"/>
    <xf numFmtId="0" fontId="172" fillId="63" borderId="85" applyNumberFormat="0" applyAlignment="0" applyProtection="0"/>
    <xf numFmtId="0" fontId="183" fillId="6" borderId="85" applyNumberFormat="0" applyAlignment="0" applyProtection="0"/>
    <xf numFmtId="0" fontId="184" fillId="67" borderId="0" applyNumberFormat="0" applyBorder="0" applyAlignment="0" applyProtection="0"/>
    <xf numFmtId="0" fontId="174" fillId="66" borderId="0" applyNumberFormat="0" applyBorder="0" applyAlignment="0" applyProtection="0"/>
    <xf numFmtId="0" fontId="184" fillId="65" borderId="0" applyNumberFormat="0" applyBorder="0" applyAlignment="0" applyProtection="0"/>
    <xf numFmtId="0" fontId="145" fillId="59" borderId="73"/>
    <xf numFmtId="9" fontId="6" fillId="0" borderId="0" applyFont="0" applyFill="0" applyBorder="0" applyAlignment="0" applyProtection="0"/>
    <xf numFmtId="0" fontId="184" fillId="60" borderId="0" applyNumberFormat="0" applyBorder="0" applyAlignment="0" applyProtection="0"/>
    <xf numFmtId="165" fontId="4" fillId="0" borderId="0" applyFont="0" applyFill="0" applyBorder="0" applyAlignment="0" applyProtection="0"/>
    <xf numFmtId="43" fontId="4" fillId="0" borderId="0" applyFont="0" applyFill="0" applyBorder="0" applyAlignment="0" applyProtection="0">
      <alignment wrapText="1"/>
    </xf>
    <xf numFmtId="0" fontId="183" fillId="6" borderId="85" applyNumberFormat="0" applyAlignment="0" applyProtection="0"/>
    <xf numFmtId="206" fontId="4" fillId="0" borderId="0" applyFont="0" applyFill="0" applyBorder="0" applyAlignment="0" applyProtection="0">
      <alignment horizontal="left"/>
    </xf>
    <xf numFmtId="0" fontId="184" fillId="70" borderId="0" applyNumberFormat="0" applyBorder="0" applyAlignment="0" applyProtection="0"/>
    <xf numFmtId="0" fontId="178" fillId="6" borderId="87" applyNumberFormat="0" applyAlignment="0" applyProtection="0"/>
    <xf numFmtId="0" fontId="184" fillId="65" borderId="0" applyNumberFormat="0" applyBorder="0" applyAlignment="0" applyProtection="0"/>
    <xf numFmtId="0" fontId="15" fillId="0" borderId="0"/>
    <xf numFmtId="0" fontId="174" fillId="71" borderId="88" applyNumberFormat="0" applyFont="0" applyAlignment="0" applyProtection="0"/>
    <xf numFmtId="0" fontId="184" fillId="62" borderId="0" applyNumberFormat="0" applyBorder="0" applyAlignment="0" applyProtection="0"/>
    <xf numFmtId="0" fontId="174" fillId="63" borderId="0" applyNumberFormat="0" applyBorder="0" applyAlignment="0" applyProtection="0"/>
    <xf numFmtId="9" fontId="6" fillId="0" borderId="0" applyFont="0" applyFill="0" applyBorder="0" applyAlignment="0" applyProtection="0"/>
    <xf numFmtId="0" fontId="174" fillId="69" borderId="0" applyNumberFormat="0" applyBorder="0" applyAlignment="0" applyProtection="0"/>
    <xf numFmtId="0" fontId="6" fillId="0" borderId="0"/>
    <xf numFmtId="0" fontId="183" fillId="6" borderId="85" applyNumberFormat="0" applyAlignment="0" applyProtection="0"/>
    <xf numFmtId="0" fontId="174" fillId="71" borderId="88" applyNumberFormat="0" applyFont="0" applyAlignment="0" applyProtection="0"/>
    <xf numFmtId="0" fontId="184" fillId="65" borderId="0" applyNumberFormat="0" applyBorder="0" applyAlignment="0" applyProtection="0"/>
    <xf numFmtId="0" fontId="174" fillId="76" borderId="0" applyNumberFormat="0" applyBorder="0" applyAlignment="0" applyProtection="0"/>
    <xf numFmtId="41" fontId="4" fillId="0" borderId="0" applyFont="0" applyFill="0" applyBorder="0" applyAlignment="0" applyProtection="0">
      <alignment wrapText="1"/>
    </xf>
    <xf numFmtId="0" fontId="174" fillId="58" borderId="0" applyNumberFormat="0" applyBorder="0" applyAlignment="0" applyProtection="0"/>
    <xf numFmtId="9" fontId="15" fillId="0" borderId="0" applyFont="0" applyFill="0" applyBorder="0" applyAlignment="0" applyProtection="0"/>
    <xf numFmtId="43" fontId="4" fillId="0" borderId="0" applyFont="0" applyFill="0" applyBorder="0" applyAlignment="0" applyProtection="0"/>
    <xf numFmtId="0" fontId="174" fillId="72" borderId="0" applyNumberFormat="0" applyBorder="0" applyAlignment="0" applyProtection="0"/>
    <xf numFmtId="0" fontId="174" fillId="64" borderId="0" applyNumberFormat="0" applyBorder="0" applyAlignment="0" applyProtection="0"/>
    <xf numFmtId="206" fontId="4" fillId="0" borderId="0" applyFont="0" applyFill="0" applyBorder="0" applyAlignment="0" applyProtection="0">
      <alignment horizontal="left"/>
    </xf>
    <xf numFmtId="9" fontId="6" fillId="0" borderId="0" applyFont="0" applyFill="0" applyBorder="0" applyAlignment="0" applyProtection="0"/>
    <xf numFmtId="0" fontId="178" fillId="6" borderId="87" applyNumberFormat="0" applyAlignment="0" applyProtection="0"/>
    <xf numFmtId="0" fontId="184" fillId="70" borderId="0" applyNumberFormat="0" applyBorder="0" applyAlignment="0" applyProtection="0"/>
    <xf numFmtId="0" fontId="180" fillId="68" borderId="0" applyNumberFormat="0" applyBorder="0" applyAlignment="0" applyProtection="0"/>
    <xf numFmtId="0" fontId="4" fillId="0" borderId="0"/>
    <xf numFmtId="0" fontId="145" fillId="59" borderId="73"/>
    <xf numFmtId="41" fontId="4" fillId="0" borderId="0" applyFont="0" applyFill="0" applyBorder="0" applyAlignment="0" applyProtection="0"/>
    <xf numFmtId="0" fontId="184" fillId="62" borderId="0" applyNumberFormat="0" applyBorder="0" applyAlignment="0" applyProtection="0"/>
    <xf numFmtId="181" fontId="4" fillId="0" borderId="0" applyFont="0" applyFill="0" applyBorder="0" applyAlignment="0" applyProtection="0">
      <alignment horizontal="left"/>
    </xf>
    <xf numFmtId="206" fontId="4" fillId="0" borderId="0" applyFont="0" applyFill="0" applyBorder="0" applyAlignment="0" applyProtection="0">
      <alignment horizontal="left"/>
    </xf>
    <xf numFmtId="0" fontId="183" fillId="6" borderId="85" applyNumberFormat="0" applyAlignment="0" applyProtection="0"/>
    <xf numFmtId="0" fontId="177" fillId="74" borderId="0" applyNumberFormat="0" applyBorder="0" applyAlignment="0" applyProtection="0"/>
    <xf numFmtId="0" fontId="184" fillId="77" borderId="0" applyNumberFormat="0" applyBorder="0" applyAlignment="0" applyProtection="0"/>
    <xf numFmtId="0" fontId="174" fillId="64" borderId="0" applyNumberFormat="0" applyBorder="0" applyAlignment="0" applyProtection="0"/>
    <xf numFmtId="0" fontId="184" fillId="75" borderId="0" applyNumberFormat="0" applyBorder="0" applyAlignment="0" applyProtection="0"/>
    <xf numFmtId="0" fontId="174" fillId="67" borderId="0" applyNumberFormat="0" applyBorder="0" applyAlignment="0" applyProtection="0"/>
    <xf numFmtId="0" fontId="15" fillId="0" borderId="0"/>
    <xf numFmtId="0" fontId="174" fillId="66" borderId="0" applyNumberFormat="0" applyBorder="0" applyAlignment="0" applyProtection="0"/>
    <xf numFmtId="202" fontId="4" fillId="0" borderId="0" applyFont="0" applyFill="0" applyBorder="0" applyAlignment="0" applyProtection="0"/>
    <xf numFmtId="0" fontId="184" fillId="62" borderId="0" applyNumberFormat="0" applyBorder="0" applyAlignment="0" applyProtection="0"/>
    <xf numFmtId="0" fontId="184" fillId="62" borderId="0" applyNumberFormat="0" applyBorder="0" applyAlignment="0" applyProtection="0"/>
    <xf numFmtId="0" fontId="184" fillId="77" borderId="0" applyNumberFormat="0" applyBorder="0" applyAlignment="0" applyProtection="0"/>
    <xf numFmtId="207" fontId="4" fillId="0" borderId="0" applyFont="0" applyFill="0" applyBorder="0" applyAlignment="0" applyProtection="0">
      <alignment horizontal="left"/>
    </xf>
    <xf numFmtId="0" fontId="169" fillId="0" borderId="0"/>
    <xf numFmtId="0" fontId="174" fillId="61" borderId="0" applyNumberFormat="0" applyBorder="0" applyAlignment="0" applyProtection="0"/>
    <xf numFmtId="0" fontId="184" fillId="62" borderId="0" applyNumberFormat="0" applyBorder="0" applyAlignment="0" applyProtection="0"/>
    <xf numFmtId="0" fontId="15" fillId="0" borderId="0"/>
    <xf numFmtId="181" fontId="4" fillId="0" borderId="0" applyFont="0" applyFill="0" applyBorder="0" applyAlignment="0" applyProtection="0">
      <alignment horizontal="left"/>
    </xf>
    <xf numFmtId="0" fontId="15" fillId="0" borderId="0"/>
    <xf numFmtId="0" fontId="15" fillId="0" borderId="0"/>
    <xf numFmtId="0" fontId="178" fillId="6" borderId="87" applyNumberFormat="0" applyAlignment="0" applyProtection="0"/>
    <xf numFmtId="0" fontId="174" fillId="74" borderId="0" applyNumberFormat="0" applyBorder="0" applyAlignment="0" applyProtection="0"/>
    <xf numFmtId="0" fontId="174" fillId="58" borderId="0" applyNumberFormat="0" applyBorder="0" applyAlignment="0" applyProtection="0"/>
    <xf numFmtId="0" fontId="14" fillId="0" borderId="0" applyNumberFormat="0" applyFill="0" applyBorder="0" applyAlignment="0" applyProtection="0"/>
    <xf numFmtId="0" fontId="125" fillId="0" borderId="0"/>
    <xf numFmtId="0" fontId="15" fillId="0" borderId="0"/>
    <xf numFmtId="0" fontId="184" fillId="77" borderId="0" applyNumberFormat="0" applyBorder="0" applyAlignment="0" applyProtection="0"/>
    <xf numFmtId="0" fontId="184" fillId="70" borderId="0" applyNumberFormat="0" applyBorder="0" applyAlignment="0" applyProtection="0"/>
    <xf numFmtId="9" fontId="15" fillId="0" borderId="0" applyFont="0" applyFill="0" applyBorder="0" applyAlignment="0" applyProtection="0"/>
    <xf numFmtId="207" fontId="4" fillId="0" borderId="0" applyFont="0" applyFill="0" applyBorder="0" applyAlignment="0" applyProtection="0">
      <alignment horizontal="left"/>
    </xf>
    <xf numFmtId="0" fontId="4" fillId="0" borderId="0"/>
    <xf numFmtId="209" fontId="148" fillId="0" borderId="0" applyFont="0" applyFill="0" applyBorder="0" applyAlignment="0" applyProtection="0"/>
    <xf numFmtId="164" fontId="4" fillId="0" borderId="0" applyFont="0" applyFill="0" applyBorder="0" applyAlignment="0" applyProtection="0"/>
    <xf numFmtId="0" fontId="177" fillId="74" borderId="0" applyNumberFormat="0" applyBorder="0" applyAlignment="0" applyProtection="0"/>
    <xf numFmtId="0" fontId="174" fillId="74" borderId="0" applyNumberFormat="0" applyBorder="0" applyAlignment="0" applyProtection="0"/>
    <xf numFmtId="0" fontId="165" fillId="0" borderId="0" applyNumberFormat="0" applyFill="0" applyBorder="0" applyAlignment="0" applyProtection="0"/>
    <xf numFmtId="43" fontId="4" fillId="0" borderId="0" applyFont="0" applyFill="0" applyBorder="0" applyAlignment="0" applyProtection="0"/>
    <xf numFmtId="0" fontId="182" fillId="68" borderId="0">
      <alignment horizontal="left" vertical="center" indent="1"/>
    </xf>
    <xf numFmtId="0" fontId="181" fillId="59" borderId="89" applyNumberFormat="0" applyAlignment="0" applyProtection="0"/>
    <xf numFmtId="0" fontId="6" fillId="0" borderId="0"/>
    <xf numFmtId="0" fontId="131" fillId="0" borderId="60" applyNumberFormat="0" applyFill="0" applyAlignment="0" applyProtection="0"/>
    <xf numFmtId="0" fontId="178" fillId="6" borderId="87" applyNumberFormat="0" applyAlignment="0" applyProtection="0"/>
    <xf numFmtId="49" fontId="4" fillId="0" borderId="0" applyFill="0" applyBorder="0" applyProtection="0">
      <alignment horizontal="left"/>
    </xf>
    <xf numFmtId="0" fontId="179" fillId="69" borderId="0" applyNumberFormat="0" applyBorder="0" applyAlignment="0" applyProtection="0"/>
    <xf numFmtId="0" fontId="183" fillId="6" borderId="85" applyNumberFormat="0" applyAlignment="0" applyProtection="0"/>
    <xf numFmtId="0" fontId="15" fillId="0" borderId="0"/>
    <xf numFmtId="9" fontId="4" fillId="0" borderId="0" applyFont="0" applyFill="0" applyBorder="0" applyAlignment="0" applyProtection="0"/>
    <xf numFmtId="0" fontId="180" fillId="68" borderId="0" applyNumberFormat="0" applyBorder="0" applyAlignment="0" applyProtection="0"/>
    <xf numFmtId="0" fontId="184" fillId="78" borderId="0" applyNumberFormat="0" applyBorder="0" applyAlignment="0" applyProtection="0"/>
    <xf numFmtId="0" fontId="15" fillId="0" borderId="0"/>
    <xf numFmtId="13" fontId="4" fillId="0" borderId="0" applyFont="0" applyFill="0" applyProtection="0"/>
    <xf numFmtId="0" fontId="6" fillId="0" borderId="0"/>
    <xf numFmtId="0" fontId="174" fillId="67" borderId="0" applyNumberFormat="0" applyBorder="0" applyAlignment="0" applyProtection="0"/>
    <xf numFmtId="9" fontId="4" fillId="0" borderId="0" applyFont="0" applyFill="0" applyBorder="0" applyAlignment="0" applyProtection="0"/>
    <xf numFmtId="181" fontId="4" fillId="0" borderId="0" applyFont="0" applyFill="0" applyBorder="0" applyAlignment="0" applyProtection="0">
      <alignment horizontal="left"/>
    </xf>
    <xf numFmtId="0" fontId="184" fillId="62" borderId="0" applyNumberFormat="0" applyBorder="0" applyAlignment="0" applyProtection="0"/>
    <xf numFmtId="9" fontId="37" fillId="0" borderId="0" applyFont="0" applyFill="0" applyBorder="0" applyAlignment="0" applyProtection="0"/>
    <xf numFmtId="0" fontId="181" fillId="59" borderId="89" applyNumberFormat="0" applyAlignment="0" applyProtection="0"/>
    <xf numFmtId="0" fontId="174" fillId="61" borderId="0" applyNumberFormat="0" applyBorder="0" applyAlignment="0" applyProtection="0"/>
    <xf numFmtId="0" fontId="174" fillId="69" borderId="0" applyNumberFormat="0" applyBorder="0" applyAlignment="0" applyProtection="0"/>
    <xf numFmtId="9" fontId="168" fillId="0" borderId="0" applyFont="0" applyFill="0" applyBorder="0" applyAlignment="0" applyProtection="0"/>
    <xf numFmtId="0" fontId="181" fillId="59" borderId="89" applyNumberFormat="0" applyAlignment="0" applyProtection="0"/>
    <xf numFmtId="0" fontId="174" fillId="71" borderId="88" applyNumberFormat="0" applyFont="0" applyAlignment="0" applyProtection="0"/>
    <xf numFmtId="0" fontId="184" fillId="64" borderId="0" applyNumberFormat="0" applyBorder="0" applyAlignment="0" applyProtection="0"/>
    <xf numFmtId="0" fontId="15" fillId="0" borderId="0"/>
    <xf numFmtId="0" fontId="164" fillId="0" borderId="0">
      <alignment horizontal="left"/>
    </xf>
    <xf numFmtId="0" fontId="170" fillId="0" borderId="92" applyNumberFormat="0" applyFill="0" applyAlignment="0" applyProtection="0"/>
    <xf numFmtId="0" fontId="172" fillId="63" borderId="85" applyNumberFormat="0" applyAlignment="0" applyProtection="0"/>
    <xf numFmtId="43" fontId="15" fillId="0" borderId="0" applyFont="0" applyFill="0" applyBorder="0" applyAlignment="0" applyProtection="0"/>
    <xf numFmtId="0" fontId="174" fillId="61" borderId="0" applyNumberFormat="0" applyBorder="0" applyAlignment="0" applyProtection="0"/>
    <xf numFmtId="0" fontId="174" fillId="76" borderId="0" applyNumberFormat="0" applyBorder="0" applyAlignment="0" applyProtection="0"/>
    <xf numFmtId="0" fontId="184" fillId="70" borderId="0" applyNumberFormat="0" applyBorder="0" applyAlignment="0" applyProtection="0"/>
    <xf numFmtId="43" fontId="4" fillId="0" borderId="0" applyFont="0" applyFill="0" applyBorder="0" applyAlignment="0" applyProtection="0"/>
    <xf numFmtId="0" fontId="184" fillId="78" borderId="0" applyNumberFormat="0" applyBorder="0" applyAlignment="0" applyProtection="0"/>
    <xf numFmtId="0" fontId="184" fillId="73" borderId="0" applyNumberFormat="0" applyBorder="0" applyAlignment="0" applyProtection="0"/>
    <xf numFmtId="0" fontId="174" fillId="76" borderId="0" applyNumberFormat="0" applyBorder="0" applyAlignment="0" applyProtection="0"/>
    <xf numFmtId="0" fontId="174" fillId="71" borderId="88" applyNumberFormat="0" applyFont="0" applyAlignment="0" applyProtection="0"/>
    <xf numFmtId="0" fontId="189" fillId="0" borderId="0" applyNumberFormat="0" applyFill="0" applyBorder="0" applyAlignment="0" applyProtection="0">
      <alignment vertical="top"/>
      <protection locked="0"/>
    </xf>
    <xf numFmtId="207" fontId="4" fillId="0" borderId="0" applyFont="0" applyFill="0" applyBorder="0" applyAlignment="0" applyProtection="0">
      <alignment horizontal="left"/>
    </xf>
    <xf numFmtId="0" fontId="188" fillId="0" borderId="93" applyNumberFormat="0" applyFill="0" applyAlignment="0" applyProtection="0"/>
    <xf numFmtId="0" fontId="184" fillId="62" borderId="0" applyNumberFormat="0" applyBorder="0" applyAlignment="0" applyProtection="0"/>
    <xf numFmtId="0" fontId="15" fillId="0" borderId="0"/>
    <xf numFmtId="0" fontId="184" fillId="78" borderId="0" applyNumberFormat="0" applyBorder="0" applyAlignment="0" applyProtection="0"/>
    <xf numFmtId="0" fontId="180" fillId="68" borderId="0" applyNumberFormat="0" applyBorder="0" applyAlignment="0" applyProtection="0"/>
    <xf numFmtId="0" fontId="167" fillId="0" borderId="0">
      <alignment horizontal="right"/>
    </xf>
    <xf numFmtId="208" fontId="171" fillId="79" borderId="0" applyNumberFormat="0" applyBorder="0">
      <protection locked="0"/>
    </xf>
    <xf numFmtId="0" fontId="184" fillId="78" borderId="0" applyNumberFormat="0" applyBorder="0" applyAlignment="0" applyProtection="0"/>
    <xf numFmtId="0" fontId="184" fillId="75" borderId="0" applyNumberFormat="0" applyBorder="0" applyAlignment="0" applyProtection="0"/>
    <xf numFmtId="0" fontId="174" fillId="63" borderId="0" applyNumberFormat="0" applyBorder="0" applyAlignment="0" applyProtection="0"/>
    <xf numFmtId="0" fontId="174" fillId="63" borderId="0" applyNumberFormat="0" applyBorder="0" applyAlignment="0" applyProtection="0"/>
    <xf numFmtId="0" fontId="4" fillId="0" borderId="0"/>
    <xf numFmtId="43" fontId="15" fillId="0" borderId="0" applyFont="0" applyFill="0" applyBorder="0" applyAlignment="0" applyProtection="0"/>
    <xf numFmtId="0" fontId="174" fillId="67" borderId="0" applyNumberFormat="0" applyBorder="0" applyAlignment="0" applyProtection="0"/>
    <xf numFmtId="0" fontId="174" fillId="71" borderId="88" applyNumberFormat="0" applyFont="0" applyAlignment="0" applyProtection="0"/>
    <xf numFmtId="0" fontId="174" fillId="76" borderId="0" applyNumberFormat="0" applyBorder="0" applyAlignment="0" applyProtection="0"/>
    <xf numFmtId="0" fontId="175" fillId="0" borderId="0" applyNumberFormat="0" applyFill="0" applyBorder="0" applyAlignment="0" applyProtection="0"/>
    <xf numFmtId="0" fontId="15" fillId="0" borderId="0"/>
    <xf numFmtId="0" fontId="174" fillId="63" borderId="0" applyNumberFormat="0" applyBorder="0" applyAlignment="0" applyProtection="0"/>
    <xf numFmtId="0" fontId="6" fillId="0" borderId="0"/>
    <xf numFmtId="0" fontId="184" fillId="64" borderId="0" applyNumberFormat="0" applyBorder="0" applyAlignment="0" applyProtection="0"/>
    <xf numFmtId="0" fontId="6" fillId="0" borderId="0"/>
    <xf numFmtId="0" fontId="184" fillId="64" borderId="0" applyNumberFormat="0" applyBorder="0" applyAlignment="0" applyProtection="0"/>
    <xf numFmtId="0" fontId="6" fillId="0" borderId="0"/>
    <xf numFmtId="0" fontId="184" fillId="67" borderId="0" applyNumberFormat="0" applyBorder="0" applyAlignment="0" applyProtection="0"/>
    <xf numFmtId="49" fontId="4" fillId="0" borderId="0" applyFill="0" applyBorder="0" applyProtection="0">
      <alignment horizontal="left"/>
    </xf>
    <xf numFmtId="0" fontId="183" fillId="6" borderId="85" applyNumberFormat="0" applyAlignment="0" applyProtection="0"/>
    <xf numFmtId="0" fontId="184" fillId="64" borderId="0" applyNumberFormat="0" applyBorder="0" applyAlignment="0" applyProtection="0"/>
    <xf numFmtId="0" fontId="15" fillId="0" borderId="0"/>
    <xf numFmtId="0" fontId="184" fillId="73" borderId="0" applyNumberFormat="0" applyBorder="0" applyAlignment="0" applyProtection="0"/>
    <xf numFmtId="0" fontId="174" fillId="76" borderId="0" applyNumberFormat="0" applyBorder="0" applyAlignment="0" applyProtection="0"/>
    <xf numFmtId="0" fontId="174" fillId="64" borderId="0" applyNumberFormat="0" applyBorder="0" applyAlignment="0" applyProtection="0"/>
    <xf numFmtId="0" fontId="184" fillId="70" borderId="0" applyNumberFormat="0" applyBorder="0" applyAlignment="0" applyProtection="0"/>
    <xf numFmtId="0" fontId="179" fillId="69" borderId="0" applyNumberFormat="0" applyBorder="0" applyAlignment="0" applyProtection="0"/>
    <xf numFmtId="9" fontId="4" fillId="0" borderId="0" applyFont="0" applyFill="0" applyBorder="0" applyAlignment="0" applyProtection="0"/>
    <xf numFmtId="0" fontId="183" fillId="6" borderId="85" applyNumberFormat="0" applyAlignment="0" applyProtection="0"/>
    <xf numFmtId="49" fontId="4" fillId="0" borderId="0" applyFill="0" applyBorder="0" applyProtection="0">
      <alignment horizontal="left"/>
    </xf>
    <xf numFmtId="0" fontId="183" fillId="6" borderId="85" applyNumberFormat="0" applyAlignment="0" applyProtection="0"/>
    <xf numFmtId="0" fontId="4" fillId="0" borderId="0"/>
    <xf numFmtId="9" fontId="4" fillId="0" borderId="0" applyFont="0" applyFill="0" applyBorder="0" applyAlignment="0" applyProtection="0"/>
    <xf numFmtId="0" fontId="172" fillId="63" borderId="85" applyNumberFormat="0" applyAlignment="0" applyProtection="0"/>
    <xf numFmtId="0" fontId="145" fillId="59" borderId="73"/>
    <xf numFmtId="0" fontId="176" fillId="0" borderId="0">
      <alignment horizontal="left" vertical="top"/>
    </xf>
    <xf numFmtId="0" fontId="172" fillId="63" borderId="85" applyNumberFormat="0" applyAlignment="0" applyProtection="0"/>
    <xf numFmtId="0" fontId="174" fillId="66" borderId="0" applyNumberFormat="0" applyBorder="0" applyAlignment="0" applyProtection="0"/>
    <xf numFmtId="0" fontId="174" fillId="58" borderId="0" applyNumberFormat="0" applyBorder="0" applyAlignment="0" applyProtection="0"/>
    <xf numFmtId="0" fontId="184" fillId="73" borderId="0" applyNumberFormat="0" applyBorder="0" applyAlignment="0" applyProtection="0"/>
    <xf numFmtId="201" fontId="4" fillId="0" borderId="0" applyFont="0" applyFill="0" applyBorder="0" applyAlignment="0" applyProtection="0"/>
    <xf numFmtId="0" fontId="174" fillId="72" borderId="0" applyNumberFormat="0" applyBorder="0" applyAlignment="0" applyProtection="0"/>
    <xf numFmtId="208" fontId="186" fillId="80" borderId="0" applyNumberFormat="0" applyBorder="0">
      <protection locked="0"/>
    </xf>
    <xf numFmtId="0" fontId="174" fillId="69" borderId="0" applyNumberFormat="0" applyBorder="0" applyAlignment="0" applyProtection="0"/>
    <xf numFmtId="0" fontId="174" fillId="72" borderId="0" applyNumberFormat="0" applyBorder="0" applyAlignment="0" applyProtection="0"/>
    <xf numFmtId="0" fontId="178" fillId="6" borderId="87" applyNumberFormat="0" applyAlignment="0" applyProtection="0"/>
    <xf numFmtId="0" fontId="183" fillId="6" borderId="85" applyNumberFormat="0" applyAlignment="0" applyProtection="0"/>
    <xf numFmtId="0" fontId="174" fillId="61" borderId="0" applyNumberFormat="0" applyBorder="0" applyAlignment="0" applyProtection="0"/>
    <xf numFmtId="203" fontId="4" fillId="0" borderId="0" applyFont="0" applyFill="0" applyBorder="0" applyAlignment="0" applyProtection="0"/>
    <xf numFmtId="0" fontId="167" fillId="0" borderId="0">
      <alignment horizontal="left"/>
    </xf>
    <xf numFmtId="0" fontId="183" fillId="6" borderId="85" applyNumberFormat="0" applyAlignment="0" applyProtection="0"/>
    <xf numFmtId="0" fontId="184" fillId="60" borderId="0" applyNumberFormat="0" applyBorder="0" applyAlignment="0" applyProtection="0"/>
    <xf numFmtId="0" fontId="170" fillId="0" borderId="92" applyNumberFormat="0" applyFill="0" applyAlignment="0" applyProtection="0"/>
    <xf numFmtId="0" fontId="166" fillId="0" borderId="0" applyNumberFormat="0" applyFill="0" applyBorder="0" applyAlignment="0" applyProtection="0"/>
    <xf numFmtId="0" fontId="4" fillId="0" borderId="0"/>
    <xf numFmtId="0" fontId="174" fillId="76" borderId="0" applyNumberFormat="0" applyBorder="0" applyAlignment="0" applyProtection="0"/>
    <xf numFmtId="0" fontId="15" fillId="0" borderId="0"/>
    <xf numFmtId="0" fontId="184" fillId="75" borderId="0" applyNumberFormat="0" applyBorder="0" applyAlignment="0" applyProtection="0"/>
    <xf numFmtId="0" fontId="14" fillId="0" borderId="0" applyNumberFormat="0" applyFill="0" applyBorder="0" applyAlignment="0" applyProtection="0"/>
    <xf numFmtId="0" fontId="174" fillId="76" borderId="0" applyNumberFormat="0" applyBorder="0" applyAlignment="0" applyProtection="0"/>
    <xf numFmtId="9" fontId="6"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37" fillId="0" borderId="0"/>
    <xf numFmtId="0" fontId="15" fillId="0" borderId="0"/>
    <xf numFmtId="0" fontId="15" fillId="0" borderId="0"/>
    <xf numFmtId="0" fontId="15" fillId="0" borderId="0"/>
    <xf numFmtId="0" fontId="15" fillId="0" borderId="0"/>
    <xf numFmtId="0" fontId="37" fillId="0" borderId="0"/>
    <xf numFmtId="0" fontId="37" fillId="0" borderId="0"/>
    <xf numFmtId="0" fontId="15" fillId="0" borderId="0"/>
    <xf numFmtId="0" fontId="124" fillId="5" borderId="0" applyNumberFormat="0" applyBorder="0" applyAlignment="0" applyProtection="0"/>
    <xf numFmtId="9" fontId="6" fillId="0" borderId="0" applyFont="0" applyFill="0" applyBorder="0" applyAlignment="0" applyProtection="0"/>
    <xf numFmtId="0" fontId="124" fillId="51" borderId="53" applyNumberFormat="0" applyAlignment="0" applyProtection="0"/>
    <xf numFmtId="0" fontId="37" fillId="22" borderId="49" applyNumberFormat="0" applyFont="0" applyAlignment="0" applyProtection="0"/>
    <xf numFmtId="0" fontId="119" fillId="20" borderId="0" applyNumberFormat="0" applyBorder="0" applyAlignment="0" applyProtection="0"/>
    <xf numFmtId="0" fontId="4" fillId="47" borderId="52" applyNumberFormat="0" applyAlignment="0" applyProtection="0"/>
    <xf numFmtId="0" fontId="4" fillId="49" borderId="47" applyNumberFormat="0" applyBorder="0" applyAlignment="0" applyProtection="0"/>
    <xf numFmtId="0" fontId="120" fillId="0" borderId="0" applyNumberFormat="0" applyFill="0" applyBorder="0" applyAlignment="0" applyProtection="0">
      <alignment vertical="top"/>
      <protection locked="0"/>
    </xf>
    <xf numFmtId="0" fontId="117" fillId="18" borderId="0" applyNumberFormat="0" applyBorder="0" applyAlignment="0" applyProtection="0"/>
    <xf numFmtId="0" fontId="163" fillId="81" borderId="55" applyBorder="0"/>
    <xf numFmtId="0" fontId="122" fillId="0" borderId="0" applyNumberForma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16" fillId="21" borderId="48" applyNumberFormat="0" applyAlignment="0" applyProtection="0"/>
    <xf numFmtId="0" fontId="121" fillId="48" borderId="51" applyNumberFormat="0" applyProtection="0">
      <alignment vertical="center"/>
    </xf>
    <xf numFmtId="43" fontId="4" fillId="0" borderId="0" applyFont="0" applyFill="0" applyBorder="0" applyAlignment="0" applyProtection="0"/>
    <xf numFmtId="0" fontId="69" fillId="43" borderId="0" applyNumberFormat="0" applyBorder="0" applyAlignment="0" applyProtection="0"/>
    <xf numFmtId="0" fontId="69" fillId="39" borderId="0" applyNumberFormat="0" applyBorder="0" applyAlignment="0" applyProtection="0"/>
    <xf numFmtId="0" fontId="69" fillId="35" borderId="0" applyNumberFormat="0" applyBorder="0" applyAlignment="0" applyProtection="0"/>
    <xf numFmtId="0" fontId="69" fillId="31" borderId="0" applyNumberFormat="0" applyBorder="0" applyAlignment="0" applyProtection="0"/>
    <xf numFmtId="0" fontId="69" fillId="27" borderId="0" applyNumberFormat="0" applyBorder="0" applyAlignment="0" applyProtection="0"/>
    <xf numFmtId="0" fontId="69" fillId="23" borderId="0" applyNumberFormat="0" applyBorder="0" applyAlignment="0" applyProtection="0"/>
    <xf numFmtId="0" fontId="15" fillId="46" borderId="0" applyNumberFormat="0" applyBorder="0" applyAlignment="0" applyProtection="0"/>
    <xf numFmtId="0" fontId="15" fillId="42" borderId="0" applyNumberFormat="0" applyBorder="0" applyAlignment="0" applyProtection="0"/>
    <xf numFmtId="0" fontId="15" fillId="38" borderId="0" applyNumberFormat="0" applyBorder="0" applyAlignment="0" applyProtection="0"/>
    <xf numFmtId="0" fontId="15" fillId="34" borderId="0" applyNumberFormat="0" applyBorder="0" applyAlignment="0" applyProtection="0"/>
    <xf numFmtId="0" fontId="15" fillId="30" borderId="0" applyNumberFormat="0" applyBorder="0" applyAlignment="0" applyProtection="0"/>
    <xf numFmtId="0" fontId="15" fillId="26" borderId="0" applyNumberFormat="0" applyBorder="0" applyAlignment="0" applyProtection="0"/>
    <xf numFmtId="0" fontId="15" fillId="45" borderId="0" applyNumberFormat="0" applyBorder="0" applyAlignment="0" applyProtection="0"/>
    <xf numFmtId="0" fontId="15" fillId="41" borderId="0" applyNumberFormat="0" applyBorder="0" applyAlignment="0" applyProtection="0"/>
    <xf numFmtId="0" fontId="15" fillId="37" borderId="0" applyNumberFormat="0" applyBorder="0" applyAlignment="0" applyProtection="0"/>
    <xf numFmtId="0" fontId="15" fillId="33" borderId="0" applyNumberFormat="0" applyBorder="0" applyAlignment="0" applyProtection="0"/>
    <xf numFmtId="0" fontId="15" fillId="29" borderId="0" applyNumberFormat="0" applyBorder="0" applyAlignment="0" applyProtection="0"/>
    <xf numFmtId="0" fontId="15" fillId="25" borderId="0" applyNumberFormat="0" applyBorder="0" applyAlignment="0" applyProtection="0"/>
    <xf numFmtId="0" fontId="15" fillId="44" borderId="0" applyNumberFormat="0" applyBorder="0" applyAlignment="0" applyProtection="0"/>
    <xf numFmtId="0" fontId="15" fillId="40" borderId="0" applyNumberFormat="0" applyBorder="0" applyAlignment="0" applyProtection="0"/>
    <xf numFmtId="0" fontId="15" fillId="36" borderId="0" applyNumberFormat="0" applyBorder="0" applyAlignment="0" applyProtection="0"/>
    <xf numFmtId="0" fontId="15" fillId="32" borderId="0" applyNumberFormat="0" applyBorder="0" applyAlignment="0" applyProtection="0"/>
    <xf numFmtId="0" fontId="15" fillId="28" borderId="0" applyNumberFormat="0" applyBorder="0" applyAlignment="0" applyProtection="0"/>
    <xf numFmtId="0" fontId="15" fillId="24" borderId="0" applyNumberFormat="0" applyBorder="0" applyAlignment="0" applyProtection="0"/>
    <xf numFmtId="43" fontId="1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43" fillId="56" borderId="47" applyNumberFormat="0" applyAlignment="0" applyProtection="0"/>
    <xf numFmtId="43" fontId="3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4" fillId="0" borderId="0" applyFont="0" applyFill="0" applyBorder="0" applyAlignment="0" applyProtection="0"/>
    <xf numFmtId="43" fontId="1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45" fillId="59" borderId="73"/>
    <xf numFmtId="43" fontId="4" fillId="0" borderId="0" applyFont="0" applyFill="0" applyBorder="0" applyAlignment="0" applyProtection="0"/>
    <xf numFmtId="43" fontId="15"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91" fillId="0" borderId="0"/>
  </cellStyleXfs>
  <cellXfs count="1541">
    <xf numFmtId="0" fontId="0" fillId="0" borderId="0" xfId="0"/>
    <xf numFmtId="0" fontId="4" fillId="2" borderId="0" xfId="1" applyFill="1"/>
    <xf numFmtId="172" fontId="24" fillId="4" borderId="13" xfId="5" applyNumberFormat="1" applyFont="1" applyFill="1" applyBorder="1"/>
    <xf numFmtId="0" fontId="21" fillId="4" borderId="14" xfId="0" applyFont="1" applyFill="1" applyBorder="1" applyAlignment="1">
      <alignment vertical="top" wrapText="1"/>
    </xf>
    <xf numFmtId="172" fontId="21" fillId="4" borderId="14" xfId="5" applyNumberFormat="1" applyFont="1" applyFill="1" applyBorder="1" applyAlignment="1">
      <alignment horizontal="center"/>
    </xf>
    <xf numFmtId="0" fontId="18" fillId="6" borderId="3" xfId="6" applyFont="1" applyFill="1" applyBorder="1"/>
    <xf numFmtId="0" fontId="18" fillId="6" borderId="9" xfId="6" applyFont="1" applyFill="1" applyBorder="1"/>
    <xf numFmtId="0" fontId="18" fillId="0" borderId="17" xfId="0" applyFont="1" applyBorder="1"/>
    <xf numFmtId="0" fontId="18" fillId="0" borderId="17" xfId="0" applyFont="1" applyBorder="1" applyAlignment="1">
      <alignment horizontal="left" vertical="center"/>
    </xf>
    <xf numFmtId="3" fontId="18" fillId="0" borderId="18" xfId="5" applyNumberFormat="1" applyFont="1" applyBorder="1" applyAlignment="1">
      <alignment horizontal="center" vertical="center"/>
    </xf>
    <xf numFmtId="3" fontId="18" fillId="2" borderId="0" xfId="0" applyNumberFormat="1" applyFont="1" applyFill="1" applyAlignment="1">
      <alignment horizontal="center"/>
    </xf>
    <xf numFmtId="3" fontId="18" fillId="0" borderId="18" xfId="0" applyNumberFormat="1" applyFont="1" applyBorder="1" applyAlignment="1">
      <alignment horizontal="center"/>
    </xf>
    <xf numFmtId="3" fontId="18" fillId="2" borderId="6" xfId="0" applyNumberFormat="1" applyFont="1" applyFill="1" applyBorder="1" applyAlignment="1">
      <alignment horizontal="center"/>
    </xf>
    <xf numFmtId="3" fontId="18" fillId="2" borderId="18" xfId="0" applyNumberFormat="1" applyFont="1" applyFill="1" applyBorder="1" applyAlignment="1">
      <alignment horizontal="center"/>
    </xf>
    <xf numFmtId="3" fontId="18" fillId="0" borderId="6" xfId="0" applyNumberFormat="1" applyFont="1" applyBorder="1" applyAlignment="1">
      <alignment horizontal="center"/>
    </xf>
    <xf numFmtId="3" fontId="18" fillId="0" borderId="22" xfId="0" applyNumberFormat="1" applyFont="1" applyBorder="1" applyAlignment="1">
      <alignment horizontal="center"/>
    </xf>
    <xf numFmtId="3" fontId="18" fillId="2" borderId="26" xfId="0" applyNumberFormat="1" applyFont="1" applyFill="1" applyBorder="1" applyAlignment="1">
      <alignment horizontal="center"/>
    </xf>
    <xf numFmtId="0" fontId="18" fillId="0" borderId="23" xfId="0" applyFont="1" applyBorder="1"/>
    <xf numFmtId="172" fontId="18" fillId="2" borderId="0" xfId="5" applyNumberFormat="1" applyFont="1" applyFill="1"/>
    <xf numFmtId="0" fontId="13" fillId="6" borderId="3" xfId="6" applyFont="1" applyFill="1" applyBorder="1"/>
    <xf numFmtId="172" fontId="13" fillId="2" borderId="0" xfId="5" applyNumberFormat="1" applyFont="1" applyFill="1" applyAlignment="1">
      <alignment horizontal="center"/>
    </xf>
    <xf numFmtId="0" fontId="13" fillId="2" borderId="23" xfId="0" applyFont="1" applyFill="1" applyBorder="1" applyAlignment="1">
      <alignment horizontal="left"/>
    </xf>
    <xf numFmtId="0" fontId="13" fillId="2" borderId="18" xfId="0" applyFont="1" applyFill="1" applyBorder="1" applyAlignment="1">
      <alignment horizontal="center"/>
    </xf>
    <xf numFmtId="172" fontId="13" fillId="2" borderId="6" xfId="0" applyNumberFormat="1" applyFont="1" applyFill="1" applyBorder="1" applyAlignment="1">
      <alignment horizontal="center"/>
    </xf>
    <xf numFmtId="0" fontId="13" fillId="6" borderId="9" xfId="6" applyFont="1" applyFill="1" applyBorder="1"/>
    <xf numFmtId="0" fontId="46" fillId="2" borderId="0" xfId="0" applyFont="1" applyFill="1"/>
    <xf numFmtId="0" fontId="18" fillId="2" borderId="0" xfId="12" applyFont="1" applyFill="1"/>
    <xf numFmtId="0" fontId="44" fillId="2" borderId="0" xfId="12" applyFont="1" applyFill="1"/>
    <xf numFmtId="0" fontId="44" fillId="2" borderId="0" xfId="12" applyFont="1" applyFill="1" applyAlignment="1">
      <alignment vertical="top"/>
    </xf>
    <xf numFmtId="0" fontId="58" fillId="2" borderId="0" xfId="12" applyFill="1"/>
    <xf numFmtId="0" fontId="25" fillId="2" borderId="0" xfId="12" applyFont="1" applyFill="1" applyAlignment="1">
      <alignment horizontal="left" wrapText="1"/>
    </xf>
    <xf numFmtId="186" fontId="18" fillId="2" borderId="0" xfId="12" applyNumberFormat="1" applyFont="1" applyFill="1" applyAlignment="1">
      <alignment horizontal="left"/>
    </xf>
    <xf numFmtId="0" fontId="25" fillId="2" borderId="0" xfId="12" applyFont="1" applyFill="1"/>
    <xf numFmtId="186" fontId="25" fillId="2" borderId="0" xfId="12" applyNumberFormat="1" applyFont="1" applyFill="1" applyAlignment="1">
      <alignment horizontal="left"/>
    </xf>
    <xf numFmtId="0" fontId="24" fillId="2" borderId="0" xfId="12" applyFont="1" applyFill="1"/>
    <xf numFmtId="0" fontId="18" fillId="0" borderId="0" xfId="12" applyFont="1"/>
    <xf numFmtId="0" fontId="18" fillId="2" borderId="0" xfId="13" applyFont="1" applyFill="1"/>
    <xf numFmtId="0" fontId="18" fillId="2" borderId="3" xfId="12" applyFont="1" applyFill="1" applyBorder="1" applyAlignment="1">
      <alignment vertical="center"/>
    </xf>
    <xf numFmtId="2" fontId="18" fillId="2" borderId="0" xfId="12" applyNumberFormat="1" applyFont="1" applyFill="1" applyAlignment="1">
      <alignment horizontal="center" vertical="center"/>
    </xf>
    <xf numFmtId="2" fontId="18" fillId="2" borderId="0" xfId="12" applyNumberFormat="1" applyFont="1" applyFill="1"/>
    <xf numFmtId="0" fontId="18" fillId="2" borderId="3" xfId="12" applyFont="1" applyFill="1" applyBorder="1"/>
    <xf numFmtId="0" fontId="24" fillId="2" borderId="3" xfId="12" applyFont="1" applyFill="1" applyBorder="1" applyAlignment="1">
      <alignment vertical="center"/>
    </xf>
    <xf numFmtId="2" fontId="24" fillId="2" borderId="0" xfId="12" applyNumberFormat="1" applyFont="1" applyFill="1" applyAlignment="1">
      <alignment horizontal="center" vertical="center"/>
    </xf>
    <xf numFmtId="9" fontId="18" fillId="2" borderId="0" xfId="14" applyFont="1" applyFill="1"/>
    <xf numFmtId="9" fontId="18" fillId="2" borderId="0" xfId="14" applyFont="1" applyFill="1" applyBorder="1" applyAlignment="1">
      <alignment horizontal="center" vertical="center"/>
    </xf>
    <xf numFmtId="0" fontId="24" fillId="6" borderId="3" xfId="12" applyFont="1" applyFill="1" applyBorder="1" applyAlignment="1">
      <alignment horizontal="left" vertical="center"/>
    </xf>
    <xf numFmtId="0" fontId="24" fillId="2" borderId="3" xfId="12" applyFont="1" applyFill="1" applyBorder="1" applyAlignment="1">
      <alignment horizontal="left" vertical="center"/>
    </xf>
    <xf numFmtId="9" fontId="18" fillId="2" borderId="0" xfId="14" applyFont="1" applyFill="1" applyBorder="1" applyAlignment="1">
      <alignment horizontal="center"/>
    </xf>
    <xf numFmtId="9" fontId="24" fillId="2" borderId="0" xfId="14" applyFont="1" applyFill="1" applyBorder="1" applyAlignment="1">
      <alignment horizontal="center"/>
    </xf>
    <xf numFmtId="3" fontId="18" fillId="2" borderId="0" xfId="12" applyNumberFormat="1" applyFont="1" applyFill="1" applyAlignment="1">
      <alignment horizontal="center" vertical="center"/>
    </xf>
    <xf numFmtId="0" fontId="24" fillId="2" borderId="0" xfId="12" applyFont="1" applyFill="1" applyAlignment="1">
      <alignment vertical="center"/>
    </xf>
    <xf numFmtId="185" fontId="18" fillId="2" borderId="0" xfId="12" applyNumberFormat="1" applyFont="1" applyFill="1"/>
    <xf numFmtId="9" fontId="24" fillId="2" borderId="0" xfId="14" applyFont="1" applyFill="1" applyBorder="1" applyAlignment="1">
      <alignment horizontal="center" vertical="center"/>
    </xf>
    <xf numFmtId="0" fontId="21" fillId="4" borderId="7" xfId="12" applyFont="1" applyFill="1" applyBorder="1" applyAlignment="1">
      <alignment vertical="center"/>
    </xf>
    <xf numFmtId="0" fontId="21" fillId="4" borderId="3" xfId="12" applyFont="1" applyFill="1" applyBorder="1" applyAlignment="1">
      <alignment vertical="center"/>
    </xf>
    <xf numFmtId="0" fontId="61" fillId="2" borderId="0" xfId="13" applyFont="1" applyFill="1"/>
    <xf numFmtId="3" fontId="18" fillId="2" borderId="0" xfId="12" applyNumberFormat="1" applyFont="1" applyFill="1"/>
    <xf numFmtId="9" fontId="18" fillId="7" borderId="0" xfId="14" applyFont="1" applyFill="1" applyBorder="1" applyAlignment="1">
      <alignment horizontal="center" vertical="center"/>
    </xf>
    <xf numFmtId="3" fontId="24" fillId="2" borderId="0" xfId="12" applyNumberFormat="1" applyFont="1" applyFill="1" applyAlignment="1">
      <alignment horizontal="center" vertical="center"/>
    </xf>
    <xf numFmtId="0" fontId="18" fillId="2" borderId="3" xfId="13" applyFont="1" applyFill="1" applyBorder="1" applyAlignment="1">
      <alignment vertical="center"/>
    </xf>
    <xf numFmtId="0" fontId="21" fillId="4" borderId="9" xfId="12" applyFont="1" applyFill="1" applyBorder="1" applyAlignment="1">
      <alignment vertical="center"/>
    </xf>
    <xf numFmtId="3" fontId="13" fillId="2" borderId="0" xfId="12" applyNumberFormat="1" applyFont="1" applyFill="1" applyAlignment="1">
      <alignment horizontal="center"/>
    </xf>
    <xf numFmtId="3" fontId="13" fillId="7" borderId="0" xfId="12" applyNumberFormat="1" applyFont="1" applyFill="1" applyAlignment="1">
      <alignment horizontal="center"/>
    </xf>
    <xf numFmtId="1" fontId="13" fillId="7" borderId="0" xfId="12" applyNumberFormat="1" applyFont="1" applyFill="1" applyAlignment="1">
      <alignment horizontal="center"/>
    </xf>
    <xf numFmtId="3" fontId="64" fillId="2" borderId="0" xfId="12" applyNumberFormat="1" applyFont="1" applyFill="1" applyAlignment="1">
      <alignment horizontal="center"/>
    </xf>
    <xf numFmtId="3" fontId="13" fillId="6" borderId="0" xfId="12" applyNumberFormat="1" applyFont="1" applyFill="1" applyAlignment="1">
      <alignment horizontal="center"/>
    </xf>
    <xf numFmtId="1" fontId="13" fillId="6" borderId="0" xfId="12" applyNumberFormat="1" applyFont="1" applyFill="1" applyAlignment="1">
      <alignment horizontal="center"/>
    </xf>
    <xf numFmtId="0" fontId="18" fillId="2" borderId="0" xfId="12" applyFont="1" applyFill="1" applyAlignment="1">
      <alignment horizontal="left" vertical="top" wrapText="1"/>
    </xf>
    <xf numFmtId="0" fontId="36" fillId="2" borderId="0" xfId="12" applyFont="1" applyFill="1"/>
    <xf numFmtId="166" fontId="18" fillId="2" borderId="0" xfId="3" applyFont="1" applyFill="1" applyBorder="1" applyAlignment="1">
      <alignment horizontal="left" vertical="top" wrapText="1"/>
    </xf>
    <xf numFmtId="0" fontId="0" fillId="2" borderId="0" xfId="0" applyFill="1"/>
    <xf numFmtId="0" fontId="18" fillId="2" borderId="0" xfId="12" applyFont="1" applyFill="1" applyAlignment="1">
      <alignment horizontal="left" vertical="top"/>
    </xf>
    <xf numFmtId="173" fontId="0" fillId="2" borderId="0" xfId="3" applyNumberFormat="1" applyFont="1" applyFill="1"/>
    <xf numFmtId="0" fontId="0" fillId="2" borderId="0" xfId="0" applyFill="1" applyProtection="1">
      <protection locked="0"/>
    </xf>
    <xf numFmtId="0" fontId="0" fillId="2" borderId="0" xfId="0" applyFill="1" applyAlignment="1">
      <alignment horizontal="center"/>
    </xf>
    <xf numFmtId="0" fontId="13" fillId="2" borderId="0" xfId="0" applyFont="1" applyFill="1" applyAlignment="1" applyProtection="1">
      <alignment horizontal="center" vertical="center" wrapText="1"/>
      <protection locked="0"/>
    </xf>
    <xf numFmtId="0" fontId="13" fillId="2" borderId="0" xfId="13" applyFont="1" applyFill="1" applyAlignment="1" applyProtection="1">
      <alignment vertical="center" wrapText="1"/>
      <protection locked="0"/>
    </xf>
    <xf numFmtId="0" fontId="13" fillId="2" borderId="0" xfId="0" applyFont="1" applyFill="1" applyAlignment="1" applyProtection="1">
      <alignment horizontal="left" vertical="center" wrapText="1"/>
      <protection locked="0"/>
    </xf>
    <xf numFmtId="0" fontId="5" fillId="2" borderId="0" xfId="0" applyFont="1" applyFill="1" applyAlignment="1" applyProtection="1">
      <alignment horizontal="left" vertical="center" wrapText="1"/>
      <protection locked="0"/>
    </xf>
    <xf numFmtId="0" fontId="71" fillId="2" borderId="0" xfId="0" applyFont="1" applyFill="1" applyAlignment="1" applyProtection="1">
      <alignment horizontal="left" vertical="center" wrapText="1"/>
      <protection locked="0"/>
    </xf>
    <xf numFmtId="0" fontId="71" fillId="2" borderId="0" xfId="0" applyFont="1" applyFill="1" applyAlignment="1" applyProtection="1">
      <alignment horizontal="left" vertical="center"/>
      <protection locked="0"/>
    </xf>
    <xf numFmtId="0" fontId="71" fillId="2" borderId="0" xfId="0" applyFont="1" applyFill="1" applyAlignment="1" applyProtection="1">
      <alignment horizontal="left"/>
      <protection locked="0"/>
    </xf>
    <xf numFmtId="0" fontId="75" fillId="2" borderId="0" xfId="0" applyFont="1" applyFill="1" applyAlignment="1" applyProtection="1">
      <alignment horizontal="left"/>
      <protection locked="0"/>
    </xf>
    <xf numFmtId="0" fontId="77" fillId="2" borderId="0" xfId="0" applyFont="1" applyFill="1" applyAlignment="1" applyProtection="1">
      <alignment horizontal="left" vertical="center" wrapText="1"/>
      <protection locked="0"/>
    </xf>
    <xf numFmtId="0" fontId="0" fillId="2" borderId="0" xfId="0" applyFill="1" applyAlignment="1" applyProtection="1">
      <alignment wrapText="1"/>
      <protection locked="0"/>
    </xf>
    <xf numFmtId="0" fontId="67" fillId="2" borderId="0" xfId="0" applyFont="1" applyFill="1" applyAlignment="1" applyProtection="1">
      <alignment horizontal="left" vertical="top" wrapText="1"/>
      <protection locked="0"/>
    </xf>
    <xf numFmtId="0" fontId="73" fillId="2" borderId="0" xfId="0" applyFont="1" applyFill="1" applyProtection="1">
      <protection locked="0"/>
    </xf>
    <xf numFmtId="0" fontId="12" fillId="2" borderId="0" xfId="0" applyFont="1" applyFill="1" applyAlignment="1" applyProtection="1">
      <alignment horizontal="left" vertical="center" wrapText="1"/>
      <protection locked="0"/>
    </xf>
    <xf numFmtId="0" fontId="12" fillId="2" borderId="0" xfId="0" applyFont="1" applyFill="1" applyAlignment="1" applyProtection="1">
      <alignment vertical="center" wrapText="1"/>
      <protection locked="0"/>
    </xf>
    <xf numFmtId="0" fontId="9" fillId="2" borderId="0" xfId="0" applyFont="1" applyFill="1" applyAlignment="1" applyProtection="1">
      <alignment horizontal="center" vertical="center" wrapText="1"/>
      <protection locked="0"/>
    </xf>
    <xf numFmtId="0" fontId="5" fillId="10" borderId="0" xfId="0" applyFont="1" applyFill="1" applyAlignment="1" applyProtection="1">
      <alignment horizontal="left" vertical="center" wrapText="1"/>
      <protection locked="0"/>
    </xf>
    <xf numFmtId="0" fontId="71" fillId="2" borderId="0" xfId="0" applyFont="1" applyFill="1" applyAlignment="1" applyProtection="1">
      <alignment horizontal="left" wrapText="1"/>
      <protection locked="0"/>
    </xf>
    <xf numFmtId="0" fontId="7" fillId="10" borderId="0" xfId="0" applyFont="1" applyFill="1" applyAlignment="1" applyProtection="1">
      <alignment horizontal="left" vertical="center"/>
      <protection locked="0"/>
    </xf>
    <xf numFmtId="0" fontId="12" fillId="2" borderId="0" xfId="0" applyFont="1" applyFill="1" applyAlignment="1" applyProtection="1">
      <alignment horizontal="center" vertical="center" wrapText="1"/>
      <protection locked="0"/>
    </xf>
    <xf numFmtId="0" fontId="9" fillId="2" borderId="0" xfId="0" applyFont="1" applyFill="1" applyAlignment="1" applyProtection="1">
      <alignment horizontal="center" vertical="center"/>
      <protection locked="0"/>
    </xf>
    <xf numFmtId="0" fontId="67" fillId="2" borderId="0" xfId="0" applyFont="1" applyFill="1" applyAlignment="1" applyProtection="1">
      <alignment vertical="top" wrapText="1"/>
      <protection locked="0"/>
    </xf>
    <xf numFmtId="0" fontId="13" fillId="2" borderId="0" xfId="0" applyFont="1" applyFill="1" applyAlignment="1" applyProtection="1">
      <alignment vertical="center" wrapText="1"/>
      <protection locked="0"/>
    </xf>
    <xf numFmtId="0" fontId="64" fillId="2" borderId="0" xfId="0" applyFont="1" applyFill="1" applyAlignment="1" applyProtection="1">
      <alignment vertical="center" wrapText="1"/>
      <protection locked="0"/>
    </xf>
    <xf numFmtId="0" fontId="7" fillId="10" borderId="0" xfId="0" applyFont="1" applyFill="1" applyAlignment="1" applyProtection="1">
      <alignment vertical="center"/>
      <protection locked="0"/>
    </xf>
    <xf numFmtId="0" fontId="0" fillId="2" borderId="0" xfId="0" applyFill="1" applyAlignment="1" applyProtection="1">
      <alignment horizontal="left" vertical="center" wrapText="1"/>
      <protection locked="0"/>
    </xf>
    <xf numFmtId="0" fontId="0" fillId="2" borderId="0" xfId="0" applyFill="1" applyAlignment="1" applyProtection="1">
      <alignment horizontal="center" vertical="center" wrapText="1"/>
      <protection locked="0"/>
    </xf>
    <xf numFmtId="0" fontId="63" fillId="2" borderId="0" xfId="12" applyFont="1" applyFill="1"/>
    <xf numFmtId="0" fontId="66" fillId="2" borderId="0" xfId="12" applyFont="1" applyFill="1"/>
    <xf numFmtId="0" fontId="58" fillId="2" borderId="0" xfId="12" applyFill="1" applyAlignment="1">
      <alignment horizontal="left" vertical="center"/>
    </xf>
    <xf numFmtId="3" fontId="58" fillId="2" borderId="0" xfId="12" applyNumberFormat="1" applyFill="1"/>
    <xf numFmtId="0" fontId="67" fillId="2" borderId="0" xfId="0" applyFont="1" applyFill="1"/>
    <xf numFmtId="0" fontId="12" fillId="2" borderId="0" xfId="12" applyFont="1" applyFill="1"/>
    <xf numFmtId="4" fontId="12" fillId="2" borderId="0" xfId="12" applyNumberFormat="1" applyFont="1" applyFill="1" applyAlignment="1">
      <alignment horizontal="center"/>
    </xf>
    <xf numFmtId="180" fontId="12" fillId="2" borderId="0" xfId="12" applyNumberFormat="1" applyFont="1" applyFill="1" applyAlignment="1">
      <alignment horizontal="center"/>
    </xf>
    <xf numFmtId="4" fontId="68" fillId="2" borderId="0" xfId="12" applyNumberFormat="1" applyFont="1" applyFill="1" applyAlignment="1">
      <alignment horizontal="center"/>
    </xf>
    <xf numFmtId="188" fontId="58" fillId="2" borderId="0" xfId="12" applyNumberFormat="1" applyFill="1"/>
    <xf numFmtId="180" fontId="58" fillId="2" borderId="0" xfId="12" applyNumberFormat="1" applyFill="1"/>
    <xf numFmtId="4" fontId="58" fillId="2" borderId="0" xfId="12" applyNumberFormat="1" applyFill="1"/>
    <xf numFmtId="187" fontId="58" fillId="2" borderId="0" xfId="12" applyNumberFormat="1" applyFill="1"/>
    <xf numFmtId="2" fontId="58" fillId="2" borderId="0" xfId="12" applyNumberFormat="1" applyFill="1"/>
    <xf numFmtId="0" fontId="17" fillId="2" borderId="0" xfId="0" applyFont="1" applyFill="1"/>
    <xf numFmtId="166" fontId="0" fillId="2" borderId="0" xfId="0" applyNumberFormat="1" applyFill="1"/>
    <xf numFmtId="173" fontId="0" fillId="2" borderId="0" xfId="0" applyNumberFormat="1" applyFill="1"/>
    <xf numFmtId="3" fontId="4" fillId="2" borderId="0" xfId="1" applyNumberFormat="1" applyFill="1"/>
    <xf numFmtId="0" fontId="30" fillId="2" borderId="0" xfId="0" applyFont="1" applyFill="1" applyAlignment="1">
      <alignment horizontal="left" vertical="center"/>
    </xf>
    <xf numFmtId="0" fontId="13" fillId="2" borderId="0" xfId="0" applyFont="1" applyFill="1"/>
    <xf numFmtId="1" fontId="0" fillId="2" borderId="0" xfId="0" applyNumberFormat="1" applyFill="1"/>
    <xf numFmtId="178" fontId="0" fillId="2" borderId="0" xfId="0" applyNumberFormat="1" applyFill="1"/>
    <xf numFmtId="172" fontId="13" fillId="2" borderId="0" xfId="5" applyNumberFormat="1" applyFont="1" applyFill="1"/>
    <xf numFmtId="172" fontId="12" fillId="2" borderId="0" xfId="5" applyNumberFormat="1" applyFont="1" applyFill="1"/>
    <xf numFmtId="0" fontId="13" fillId="2" borderId="0" xfId="0" applyFont="1" applyFill="1" applyAlignment="1">
      <alignment horizontal="left"/>
    </xf>
    <xf numFmtId="0" fontId="13" fillId="2" borderId="0" xfId="0" applyFont="1" applyFill="1" applyAlignment="1">
      <alignment horizontal="center"/>
    </xf>
    <xf numFmtId="1" fontId="13" fillId="2" borderId="0" xfId="0" applyNumberFormat="1" applyFont="1" applyFill="1" applyAlignment="1">
      <alignment horizontal="right"/>
    </xf>
    <xf numFmtId="173" fontId="13" fillId="2" borderId="0" xfId="8" applyNumberFormat="1" applyFont="1" applyFill="1" applyBorder="1" applyAlignment="1">
      <alignment horizontal="right"/>
    </xf>
    <xf numFmtId="3" fontId="13" fillId="2" borderId="0" xfId="0" applyNumberFormat="1" applyFont="1" applyFill="1"/>
    <xf numFmtId="175" fontId="13" fillId="2" borderId="0" xfId="4" applyNumberFormat="1" applyFont="1" applyFill="1"/>
    <xf numFmtId="166" fontId="13" fillId="2" borderId="0" xfId="0" applyNumberFormat="1" applyFont="1" applyFill="1"/>
    <xf numFmtId="172" fontId="13" fillId="2" borderId="0" xfId="5" applyNumberFormat="1" applyFont="1" applyFill="1" applyAlignment="1">
      <alignment horizontal="right"/>
    </xf>
    <xf numFmtId="172" fontId="12" fillId="2" borderId="0" xfId="5" applyNumberFormat="1" applyFont="1" applyFill="1" applyAlignment="1">
      <alignment horizontal="right"/>
    </xf>
    <xf numFmtId="172" fontId="26" fillId="2" borderId="0" xfId="5" applyNumberFormat="1" applyFont="1" applyFill="1"/>
    <xf numFmtId="172" fontId="26" fillId="2" borderId="0" xfId="5" applyNumberFormat="1" applyFont="1" applyFill="1" applyAlignment="1">
      <alignment horizontal="right"/>
    </xf>
    <xf numFmtId="0" fontId="57" fillId="11" borderId="0" xfId="0" applyFont="1" applyFill="1"/>
    <xf numFmtId="172" fontId="32" fillId="2" borderId="0" xfId="5" applyNumberFormat="1" applyFont="1" applyFill="1"/>
    <xf numFmtId="0" fontId="28" fillId="2" borderId="0" xfId="0" applyFont="1" applyFill="1" applyAlignment="1">
      <alignment horizontal="left" vertical="center"/>
    </xf>
    <xf numFmtId="0" fontId="18" fillId="2" borderId="0" xfId="0" applyFont="1" applyFill="1"/>
    <xf numFmtId="172" fontId="24" fillId="2" borderId="0" xfId="5" applyNumberFormat="1" applyFont="1" applyFill="1"/>
    <xf numFmtId="172" fontId="21" fillId="2" borderId="0" xfId="5" applyNumberFormat="1" applyFont="1" applyFill="1" applyAlignment="1">
      <alignment horizontal="center"/>
    </xf>
    <xf numFmtId="3" fontId="18" fillId="2" borderId="0" xfId="0" applyNumberFormat="1" applyFont="1" applyFill="1"/>
    <xf numFmtId="2" fontId="34" fillId="2" borderId="0" xfId="7" applyNumberFormat="1" applyFill="1" applyAlignment="1">
      <alignment horizontal="right" wrapText="1"/>
    </xf>
    <xf numFmtId="0" fontId="36" fillId="2" borderId="0" xfId="0" applyFont="1" applyFill="1"/>
    <xf numFmtId="0" fontId="18" fillId="2" borderId="0" xfId="0" applyFont="1" applyFill="1" applyAlignment="1">
      <alignment horizontal="left" vertical="center"/>
    </xf>
    <xf numFmtId="0" fontId="18" fillId="2" borderId="0" xfId="0" applyFont="1" applyFill="1" applyAlignment="1">
      <alignment horizontal="center" vertical="center"/>
    </xf>
    <xf numFmtId="3" fontId="18" fillId="2" borderId="0" xfId="5" applyNumberFormat="1" applyFont="1" applyFill="1" applyAlignment="1">
      <alignment horizontal="center" vertical="center"/>
    </xf>
    <xf numFmtId="173" fontId="18" fillId="2" borderId="0" xfId="0" applyNumberFormat="1" applyFont="1" applyFill="1" applyAlignment="1">
      <alignment horizontal="center" vertical="center"/>
    </xf>
    <xf numFmtId="173" fontId="18" fillId="2" borderId="0" xfId="8" applyNumberFormat="1" applyFont="1" applyFill="1" applyBorder="1" applyAlignment="1">
      <alignment horizontal="center" vertical="center"/>
    </xf>
    <xf numFmtId="173" fontId="18" fillId="2" borderId="0" xfId="8" applyNumberFormat="1" applyFont="1" applyFill="1" applyBorder="1" applyAlignment="1">
      <alignment horizontal="left" vertical="center"/>
    </xf>
    <xf numFmtId="173" fontId="18" fillId="2" borderId="0" xfId="8" applyNumberFormat="1" applyFont="1" applyFill="1" applyBorder="1" applyAlignment="1">
      <alignment horizontal="left"/>
    </xf>
    <xf numFmtId="3" fontId="18" fillId="2" borderId="0" xfId="0" applyNumberFormat="1" applyFont="1" applyFill="1" applyAlignment="1">
      <alignment horizontal="center" vertical="center"/>
    </xf>
    <xf numFmtId="0" fontId="18" fillId="2" borderId="0" xfId="0" applyFont="1" applyFill="1" applyAlignment="1">
      <alignment wrapText="1"/>
    </xf>
    <xf numFmtId="9" fontId="18" fillId="2" borderId="0" xfId="4" applyFont="1" applyFill="1" applyBorder="1" applyAlignment="1">
      <alignment horizontal="center" vertical="center"/>
    </xf>
    <xf numFmtId="166" fontId="18" fillId="2" borderId="0" xfId="0" applyNumberFormat="1" applyFont="1" applyFill="1" applyAlignment="1">
      <alignment horizontal="center" vertical="center"/>
    </xf>
    <xf numFmtId="0" fontId="18" fillId="2" borderId="0" xfId="0" applyFont="1" applyFill="1" applyAlignment="1">
      <alignment horizontal="center"/>
    </xf>
    <xf numFmtId="3" fontId="18" fillId="2" borderId="0" xfId="5" applyNumberFormat="1" applyFont="1" applyFill="1" applyAlignment="1">
      <alignment horizontal="center"/>
    </xf>
    <xf numFmtId="173" fontId="18" fillId="2" borderId="0" xfId="3" applyNumberFormat="1" applyFont="1" applyFill="1"/>
    <xf numFmtId="0" fontId="38" fillId="2" borderId="0" xfId="0" applyFont="1" applyFill="1" applyAlignment="1">
      <alignment vertical="center"/>
    </xf>
    <xf numFmtId="166" fontId="18" fillId="2" borderId="0" xfId="0" applyNumberFormat="1" applyFont="1" applyFill="1"/>
    <xf numFmtId="9" fontId="18" fillId="2" borderId="0" xfId="4" applyFont="1" applyFill="1"/>
    <xf numFmtId="0" fontId="0" fillId="2" borderId="0" xfId="0" applyFill="1" applyAlignment="1">
      <alignment horizontal="left" indent="2"/>
    </xf>
    <xf numFmtId="172" fontId="18" fillId="2" borderId="0" xfId="5" applyNumberFormat="1" applyFont="1" applyFill="1" applyAlignment="1">
      <alignment horizontal="right"/>
    </xf>
    <xf numFmtId="0" fontId="37" fillId="2" borderId="0" xfId="0" applyFont="1" applyFill="1"/>
    <xf numFmtId="0" fontId="18" fillId="2" borderId="0" xfId="0" applyFont="1" applyFill="1" applyAlignment="1">
      <alignment vertical="center"/>
    </xf>
    <xf numFmtId="172" fontId="33" fillId="2" borderId="0" xfId="5" applyNumberFormat="1" applyFont="1" applyFill="1"/>
    <xf numFmtId="0" fontId="21" fillId="2" borderId="0" xfId="0" applyFont="1" applyFill="1" applyAlignment="1">
      <alignment horizontal="center" wrapText="1"/>
    </xf>
    <xf numFmtId="172" fontId="18" fillId="2" borderId="0" xfId="5" applyNumberFormat="1" applyFont="1" applyFill="1" applyAlignment="1">
      <alignment horizontal="center"/>
    </xf>
    <xf numFmtId="2" fontId="18" fillId="2" borderId="0" xfId="5" applyNumberFormat="1" applyFont="1" applyFill="1" applyAlignment="1">
      <alignment horizontal="center"/>
    </xf>
    <xf numFmtId="1" fontId="18" fillId="2" borderId="0" xfId="5" applyNumberFormat="1" applyFont="1" applyFill="1" applyAlignment="1">
      <alignment horizontal="center"/>
    </xf>
    <xf numFmtId="166" fontId="0" fillId="2" borderId="0" xfId="3" applyFont="1" applyFill="1" applyBorder="1"/>
    <xf numFmtId="179" fontId="0" fillId="2" borderId="0" xfId="3" applyNumberFormat="1" applyFont="1" applyFill="1" applyBorder="1"/>
    <xf numFmtId="0" fontId="0" fillId="2" borderId="0" xfId="0" applyFill="1" applyAlignment="1">
      <alignment wrapText="1"/>
    </xf>
    <xf numFmtId="173" fontId="17" fillId="2" borderId="0" xfId="3" applyNumberFormat="1" applyFont="1" applyFill="1"/>
    <xf numFmtId="173" fontId="17" fillId="2" borderId="0" xfId="3" applyNumberFormat="1" applyFont="1" applyFill="1" applyBorder="1"/>
    <xf numFmtId="173" fontId="0" fillId="2" borderId="0" xfId="3" applyNumberFormat="1" applyFont="1" applyFill="1" applyBorder="1"/>
    <xf numFmtId="0" fontId="25" fillId="2" borderId="0" xfId="0" applyFont="1" applyFill="1"/>
    <xf numFmtId="1" fontId="73" fillId="2" borderId="0" xfId="0" applyNumberFormat="1" applyFont="1" applyFill="1"/>
    <xf numFmtId="166" fontId="25" fillId="2" borderId="0" xfId="3" applyFont="1" applyFill="1" applyBorder="1"/>
    <xf numFmtId="1" fontId="25" fillId="2" borderId="0" xfId="0" applyNumberFormat="1" applyFont="1" applyFill="1"/>
    <xf numFmtId="0" fontId="76" fillId="2" borderId="0" xfId="0" applyFont="1" applyFill="1"/>
    <xf numFmtId="166" fontId="76" fillId="2" borderId="0" xfId="0" applyNumberFormat="1" applyFont="1" applyFill="1"/>
    <xf numFmtId="0" fontId="18" fillId="2" borderId="0" xfId="1" applyFont="1" applyFill="1"/>
    <xf numFmtId="0" fontId="55" fillId="12" borderId="0" xfId="16" applyFont="1" applyFill="1" applyAlignment="1">
      <alignment horizontal="center" vertical="center" wrapText="1"/>
    </xf>
    <xf numFmtId="0" fontId="41" fillId="2" borderId="0" xfId="16" applyFont="1" applyFill="1" applyAlignment="1">
      <alignment horizontal="center" vertical="center" wrapText="1"/>
    </xf>
    <xf numFmtId="4" fontId="41" fillId="2" borderId="0" xfId="16" applyNumberFormat="1" applyFont="1" applyFill="1" applyAlignment="1">
      <alignment horizontal="center" vertical="center" wrapText="1"/>
    </xf>
    <xf numFmtId="0" fontId="69" fillId="2" borderId="0" xfId="0" applyFont="1" applyFill="1"/>
    <xf numFmtId="0" fontId="16" fillId="2" borderId="0" xfId="0" applyFont="1" applyFill="1"/>
    <xf numFmtId="166" fontId="69" fillId="2" borderId="0" xfId="0" applyNumberFormat="1" applyFont="1" applyFill="1"/>
    <xf numFmtId="0" fontId="61" fillId="2" borderId="0" xfId="1" applyFont="1" applyFill="1"/>
    <xf numFmtId="166" fontId="59" fillId="2" borderId="0" xfId="3" applyFont="1" applyFill="1" applyBorder="1"/>
    <xf numFmtId="0" fontId="59" fillId="2" borderId="0" xfId="1" applyFont="1" applyFill="1" applyAlignment="1">
      <alignment horizontal="center"/>
    </xf>
    <xf numFmtId="166" fontId="59" fillId="2" borderId="0" xfId="1" applyNumberFormat="1" applyFont="1" applyFill="1"/>
    <xf numFmtId="9" fontId="61" fillId="2" borderId="0" xfId="1" applyNumberFormat="1" applyFont="1" applyFill="1"/>
    <xf numFmtId="4" fontId="61" fillId="2" borderId="0" xfId="1" applyNumberFormat="1" applyFont="1" applyFill="1"/>
    <xf numFmtId="170" fontId="61" fillId="2" borderId="0" xfId="1" applyNumberFormat="1" applyFont="1" applyFill="1"/>
    <xf numFmtId="1" fontId="16" fillId="2" borderId="0" xfId="0" applyNumberFormat="1" applyFont="1" applyFill="1"/>
    <xf numFmtId="1" fontId="69" fillId="2" borderId="0" xfId="0" applyNumberFormat="1" applyFont="1" applyFill="1"/>
    <xf numFmtId="0" fontId="8" fillId="12" borderId="0" xfId="16" applyFont="1" applyFill="1" applyAlignment="1">
      <alignment horizontal="center" vertical="center" wrapText="1"/>
    </xf>
    <xf numFmtId="0" fontId="80" fillId="2" borderId="0" xfId="16" applyFont="1" applyFill="1" applyAlignment="1">
      <alignment horizontal="center" vertical="center" wrapText="1"/>
    </xf>
    <xf numFmtId="0" fontId="81" fillId="2" borderId="0" xfId="18" applyFont="1" applyFill="1" applyAlignment="1">
      <alignment horizontal="center" vertical="center"/>
    </xf>
    <xf numFmtId="0" fontId="81" fillId="2" borderId="0" xfId="18" applyFont="1" applyFill="1" applyAlignment="1">
      <alignment vertical="center"/>
    </xf>
    <xf numFmtId="0" fontId="81" fillId="2" borderId="0" xfId="18" applyFont="1" applyFill="1" applyAlignment="1">
      <alignment horizontal="left" vertical="center" wrapText="1"/>
    </xf>
    <xf numFmtId="0" fontId="81" fillId="2" borderId="0" xfId="0" applyFont="1" applyFill="1" applyAlignment="1">
      <alignment vertical="center"/>
    </xf>
    <xf numFmtId="0" fontId="81" fillId="2" borderId="0" xfId="18" applyFont="1" applyFill="1" applyAlignment="1">
      <alignment horizontal="left" vertical="center"/>
    </xf>
    <xf numFmtId="173" fontId="82" fillId="2" borderId="0" xfId="3" applyNumberFormat="1" applyFont="1" applyFill="1" applyBorder="1"/>
    <xf numFmtId="3" fontId="79" fillId="2" borderId="0" xfId="0" applyNumberFormat="1" applyFont="1" applyFill="1" applyAlignment="1">
      <alignment horizontal="center" vertical="center"/>
    </xf>
    <xf numFmtId="9" fontId="69" fillId="2" borderId="0" xfId="17" applyFont="1" applyFill="1" applyBorder="1" applyAlignment="1" applyProtection="1">
      <alignment horizontal="center" vertical="center"/>
      <protection locked="0"/>
    </xf>
    <xf numFmtId="10" fontId="69" fillId="2" borderId="0" xfId="17" applyNumberFormat="1" applyFont="1" applyFill="1" applyBorder="1" applyAlignment="1" applyProtection="1">
      <alignment horizontal="center" vertical="center"/>
      <protection locked="0"/>
    </xf>
    <xf numFmtId="166" fontId="69" fillId="2" borderId="0" xfId="3" applyFont="1" applyFill="1" applyBorder="1"/>
    <xf numFmtId="2" fontId="69" fillId="2" borderId="0" xfId="3" applyNumberFormat="1" applyFont="1" applyFill="1" applyBorder="1"/>
    <xf numFmtId="2" fontId="69" fillId="2" borderId="0" xfId="0" applyNumberFormat="1" applyFont="1" applyFill="1"/>
    <xf numFmtId="173" fontId="69" fillId="2" borderId="0" xfId="3" applyNumberFormat="1" applyFont="1" applyFill="1" applyBorder="1"/>
    <xf numFmtId="189" fontId="69" fillId="2" borderId="0" xfId="3" applyNumberFormat="1" applyFont="1" applyFill="1" applyBorder="1"/>
    <xf numFmtId="173" fontId="69" fillId="2" borderId="0" xfId="0" applyNumberFormat="1" applyFont="1" applyFill="1"/>
    <xf numFmtId="1" fontId="83" fillId="2" borderId="0" xfId="11" applyNumberFormat="1" applyFont="1" applyFill="1" applyAlignment="1">
      <alignment horizontal="center" vertical="center"/>
    </xf>
    <xf numFmtId="0" fontId="19" fillId="2" borderId="0" xfId="0" applyFont="1" applyFill="1" applyAlignment="1">
      <alignment horizontal="center" vertical="center" wrapText="1"/>
    </xf>
    <xf numFmtId="0" fontId="49" fillId="2" borderId="0" xfId="0" applyFont="1" applyFill="1"/>
    <xf numFmtId="0" fontId="19" fillId="2" borderId="0" xfId="0" applyFont="1" applyFill="1" applyAlignment="1">
      <alignment horizontal="center" vertical="center"/>
    </xf>
    <xf numFmtId="11" fontId="0" fillId="2" borderId="0" xfId="0" applyNumberFormat="1" applyFill="1" applyAlignment="1">
      <alignment horizontal="center"/>
    </xf>
    <xf numFmtId="177" fontId="0" fillId="2" borderId="0" xfId="3" applyNumberFormat="1" applyFont="1" applyFill="1" applyBorder="1"/>
    <xf numFmtId="166" fontId="4" fillId="2" borderId="0" xfId="3" applyFont="1" applyFill="1"/>
    <xf numFmtId="4" fontId="18" fillId="2" borderId="0" xfId="12" applyNumberFormat="1" applyFont="1" applyFill="1" applyAlignment="1">
      <alignment horizontal="left" vertical="top" wrapText="1"/>
    </xf>
    <xf numFmtId="173" fontId="18" fillId="2" borderId="0" xfId="3" applyNumberFormat="1" applyFont="1" applyFill="1" applyBorder="1" applyAlignment="1">
      <alignment horizontal="left" vertical="top" wrapText="1"/>
    </xf>
    <xf numFmtId="0" fontId="18" fillId="2" borderId="0" xfId="12" applyFont="1" applyFill="1" applyAlignment="1">
      <alignment wrapText="1"/>
    </xf>
    <xf numFmtId="0" fontId="18" fillId="2" borderId="0" xfId="12" applyFont="1" applyFill="1" applyAlignment="1">
      <alignment horizontal="center"/>
    </xf>
    <xf numFmtId="0" fontId="54" fillId="2" borderId="0" xfId="0" applyFont="1" applyFill="1" applyAlignment="1">
      <alignment vertical="center" wrapText="1"/>
    </xf>
    <xf numFmtId="0" fontId="53" fillId="2" borderId="0" xfId="0" applyFont="1" applyFill="1" applyAlignment="1">
      <alignment vertical="center"/>
    </xf>
    <xf numFmtId="0" fontId="0" fillId="2" borderId="0" xfId="0" applyFill="1" applyAlignment="1">
      <alignment vertical="center" wrapText="1"/>
    </xf>
    <xf numFmtId="1" fontId="0" fillId="2" borderId="0" xfId="0" applyNumberFormat="1" applyFill="1" applyAlignment="1">
      <alignment vertical="center"/>
    </xf>
    <xf numFmtId="172" fontId="13" fillId="0" borderId="0" xfId="5" applyNumberFormat="1" applyFont="1"/>
    <xf numFmtId="0" fontId="89" fillId="2" borderId="0" xfId="1" applyFont="1" applyFill="1"/>
    <xf numFmtId="172" fontId="18" fillId="0" borderId="0" xfId="5" applyNumberFormat="1" applyFont="1"/>
    <xf numFmtId="166" fontId="18" fillId="2" borderId="0" xfId="12" applyNumberFormat="1" applyFont="1" applyFill="1" applyAlignment="1">
      <alignment horizontal="left" vertical="top" wrapText="1"/>
    </xf>
    <xf numFmtId="0" fontId="93" fillId="2" borderId="0" xfId="0" applyFont="1" applyFill="1" applyAlignment="1">
      <alignment horizontal="center" vertical="center"/>
    </xf>
    <xf numFmtId="0" fontId="93" fillId="2" borderId="0" xfId="0" applyFont="1" applyFill="1" applyAlignment="1">
      <alignment vertical="center" wrapText="1"/>
    </xf>
    <xf numFmtId="3" fontId="93" fillId="2" borderId="0" xfId="0" applyNumberFormat="1" applyFont="1" applyFill="1" applyAlignment="1">
      <alignment horizontal="center" vertical="center"/>
    </xf>
    <xf numFmtId="1" fontId="93" fillId="2" borderId="0" xfId="0" applyNumberFormat="1" applyFont="1" applyFill="1" applyAlignment="1">
      <alignment horizontal="center" vertical="center"/>
    </xf>
    <xf numFmtId="0" fontId="92" fillId="2" borderId="0" xfId="0" applyFont="1" applyFill="1" applyAlignment="1">
      <alignment horizontal="center" vertical="center"/>
    </xf>
    <xf numFmtId="0" fontId="92" fillId="2" borderId="0" xfId="0" applyFont="1" applyFill="1" applyAlignment="1">
      <alignment vertical="center" wrapText="1"/>
    </xf>
    <xf numFmtId="3" fontId="92" fillId="2" borderId="0" xfId="0" applyNumberFormat="1" applyFont="1" applyFill="1" applyAlignment="1">
      <alignment vertical="center"/>
    </xf>
    <xf numFmtId="0" fontId="92" fillId="2" borderId="0" xfId="0" applyFont="1" applyFill="1" applyAlignment="1">
      <alignment vertical="center"/>
    </xf>
    <xf numFmtId="1" fontId="93" fillId="2" borderId="0" xfId="0" applyNumberFormat="1" applyFont="1" applyFill="1" applyAlignment="1">
      <alignment horizontal="center" vertical="center" wrapText="1"/>
    </xf>
    <xf numFmtId="3" fontId="92" fillId="2" borderId="0" xfId="0" applyNumberFormat="1" applyFont="1" applyFill="1" applyAlignment="1">
      <alignment horizontal="center" vertical="center"/>
    </xf>
    <xf numFmtId="0" fontId="21" fillId="4" borderId="31" xfId="0" applyFont="1" applyFill="1" applyBorder="1" applyAlignment="1">
      <alignment vertical="top" wrapText="1"/>
    </xf>
    <xf numFmtId="166" fontId="4" fillId="2" borderId="0" xfId="1" applyNumberFormat="1" applyFill="1"/>
    <xf numFmtId="0" fontId="22" fillId="0" borderId="0" xfId="0" applyFont="1" applyAlignment="1">
      <alignment vertical="top" wrapText="1"/>
    </xf>
    <xf numFmtId="0" fontId="18" fillId="0" borderId="3" xfId="12" applyFont="1" applyBorder="1" applyAlignment="1">
      <alignment vertical="center"/>
    </xf>
    <xf numFmtId="2" fontId="24" fillId="2" borderId="0" xfId="12" applyNumberFormat="1" applyFont="1" applyFill="1"/>
    <xf numFmtId="166" fontId="18" fillId="2" borderId="0" xfId="3" applyFont="1" applyFill="1" applyBorder="1"/>
    <xf numFmtId="0" fontId="97" fillId="2" borderId="0" xfId="12" applyFont="1" applyFill="1"/>
    <xf numFmtId="0" fontId="18" fillId="0" borderId="18" xfId="0" applyFont="1" applyBorder="1"/>
    <xf numFmtId="0" fontId="18" fillId="0" borderId="19" xfId="0" applyFont="1" applyBorder="1"/>
    <xf numFmtId="0" fontId="18" fillId="0" borderId="19" xfId="0" applyFont="1" applyBorder="1" applyAlignment="1">
      <alignment vertical="center"/>
    </xf>
    <xf numFmtId="0" fontId="39" fillId="2" borderId="0" xfId="0" applyFont="1" applyFill="1"/>
    <xf numFmtId="0" fontId="18" fillId="2" borderId="0" xfId="1" applyFont="1" applyFill="1" applyAlignment="1">
      <alignment wrapText="1"/>
    </xf>
    <xf numFmtId="0" fontId="59" fillId="4" borderId="33" xfId="1" applyFont="1" applyFill="1" applyBorder="1" applyAlignment="1">
      <alignment wrapText="1"/>
    </xf>
    <xf numFmtId="0" fontId="59" fillId="4" borderId="33" xfId="1" applyFont="1" applyFill="1" applyBorder="1" applyAlignment="1">
      <alignment horizontal="center" vertical="center"/>
    </xf>
    <xf numFmtId="0" fontId="35" fillId="2" borderId="0" xfId="0" applyFont="1" applyFill="1"/>
    <xf numFmtId="0" fontId="28" fillId="2" borderId="0" xfId="0" applyFont="1" applyFill="1"/>
    <xf numFmtId="0" fontId="73" fillId="2" borderId="0" xfId="0" applyFont="1" applyFill="1"/>
    <xf numFmtId="0" fontId="100" fillId="2" borderId="0" xfId="0" applyFont="1" applyFill="1" applyAlignment="1">
      <alignment horizontal="left" vertical="center"/>
    </xf>
    <xf numFmtId="0" fontId="101" fillId="2" borderId="0" xfId="0" applyFont="1" applyFill="1" applyAlignment="1">
      <alignment horizontal="left"/>
    </xf>
    <xf numFmtId="0" fontId="25" fillId="2" borderId="0" xfId="0" applyFont="1" applyFill="1" applyAlignment="1">
      <alignment horizontal="left"/>
    </xf>
    <xf numFmtId="0" fontId="99" fillId="2" borderId="0" xfId="0" applyFont="1" applyFill="1"/>
    <xf numFmtId="0" fontId="102" fillId="2" borderId="0" xfId="0" applyFont="1" applyFill="1" applyAlignment="1">
      <alignment horizontal="left" vertical="center" wrapText="1" indent="1"/>
    </xf>
    <xf numFmtId="0" fontId="50" fillId="2" borderId="0" xfId="1" applyFont="1" applyFill="1"/>
    <xf numFmtId="3" fontId="18" fillId="2" borderId="35" xfId="0" applyNumberFormat="1" applyFont="1" applyFill="1" applyBorder="1" applyAlignment="1">
      <alignment horizontal="center"/>
    </xf>
    <xf numFmtId="3" fontId="18" fillId="2" borderId="36" xfId="0" applyNumberFormat="1" applyFont="1" applyFill="1" applyBorder="1" applyAlignment="1">
      <alignment horizontal="center"/>
    </xf>
    <xf numFmtId="3" fontId="18" fillId="2" borderId="13" xfId="0" applyNumberFormat="1" applyFont="1" applyFill="1" applyBorder="1" applyAlignment="1">
      <alignment horizontal="center"/>
    </xf>
    <xf numFmtId="3" fontId="18" fillId="0" borderId="23" xfId="0" applyNumberFormat="1" applyFont="1" applyBorder="1" applyAlignment="1">
      <alignment horizontal="center"/>
    </xf>
    <xf numFmtId="0" fontId="21" fillId="4" borderId="30" xfId="0" applyFont="1" applyFill="1" applyBorder="1" applyAlignment="1">
      <alignment vertical="top" wrapText="1"/>
    </xf>
    <xf numFmtId="0" fontId="99" fillId="2" borderId="0" xfId="0" applyFont="1" applyFill="1" applyAlignment="1">
      <alignment horizontal="left"/>
    </xf>
    <xf numFmtId="0" fontId="25" fillId="2" borderId="0" xfId="0" applyFont="1" applyFill="1" applyAlignment="1">
      <alignment horizontal="center"/>
    </xf>
    <xf numFmtId="169" fontId="25" fillId="0" borderId="0" xfId="0" applyNumberFormat="1" applyFont="1" applyAlignment="1">
      <alignment horizontal="center"/>
    </xf>
    <xf numFmtId="191" fontId="37" fillId="2" borderId="0" xfId="0" applyNumberFormat="1" applyFont="1" applyFill="1"/>
    <xf numFmtId="0" fontId="18" fillId="2" borderId="9" xfId="12" applyFont="1" applyFill="1" applyBorder="1" applyAlignment="1">
      <alignment vertical="center"/>
    </xf>
    <xf numFmtId="0" fontId="100" fillId="2" borderId="0" xfId="0" applyFont="1" applyFill="1" applyAlignment="1">
      <alignment vertical="center"/>
    </xf>
    <xf numFmtId="3" fontId="18" fillId="0" borderId="19" xfId="0" applyNumberFormat="1" applyFont="1" applyBorder="1" applyAlignment="1">
      <alignment horizontal="center"/>
    </xf>
    <xf numFmtId="0" fontId="41" fillId="2" borderId="0" xfId="0" applyFont="1" applyFill="1" applyAlignment="1">
      <alignment horizontal="left" vertical="center" wrapText="1"/>
    </xf>
    <xf numFmtId="0" fontId="0" fillId="2" borderId="0" xfId="0" applyFill="1" applyAlignment="1">
      <alignment horizontal="left" vertical="center"/>
    </xf>
    <xf numFmtId="0" fontId="18" fillId="0" borderId="0" xfId="0" applyFont="1"/>
    <xf numFmtId="3" fontId="18" fillId="2" borderId="38" xfId="0" applyNumberFormat="1" applyFont="1" applyFill="1" applyBorder="1" applyAlignment="1">
      <alignment horizontal="center"/>
    </xf>
    <xf numFmtId="3" fontId="18" fillId="0" borderId="39" xfId="0" applyNumberFormat="1" applyFont="1" applyBorder="1" applyAlignment="1">
      <alignment horizontal="center"/>
    </xf>
    <xf numFmtId="3" fontId="18" fillId="2" borderId="42" xfId="0" applyNumberFormat="1" applyFont="1" applyFill="1" applyBorder="1" applyAlignment="1">
      <alignment horizontal="center"/>
    </xf>
    <xf numFmtId="2" fontId="18" fillId="2" borderId="0" xfId="14" applyNumberFormat="1" applyFont="1" applyFill="1" applyBorder="1" applyAlignment="1">
      <alignment horizontal="center" vertical="center"/>
    </xf>
    <xf numFmtId="0" fontId="18" fillId="2" borderId="0" xfId="6" applyFont="1" applyFill="1"/>
    <xf numFmtId="174" fontId="18" fillId="2" borderId="0" xfId="5" applyNumberFormat="1" applyFont="1" applyFill="1" applyAlignment="1">
      <alignment horizontal="center"/>
    </xf>
    <xf numFmtId="172" fontId="18" fillId="2" borderId="0" xfId="5" applyNumberFormat="1" applyFont="1" applyFill="1" applyAlignment="1">
      <alignment horizontal="left"/>
    </xf>
    <xf numFmtId="0" fontId="0" fillId="2" borderId="0" xfId="0" applyFill="1" applyAlignment="1" applyProtection="1">
      <alignment vertical="top" wrapText="1"/>
      <protection locked="0"/>
    </xf>
    <xf numFmtId="0" fontId="25" fillId="2" borderId="0" xfId="0" applyFont="1" applyFill="1" applyAlignment="1" applyProtection="1">
      <alignment wrapText="1"/>
      <protection locked="0"/>
    </xf>
    <xf numFmtId="0" fontId="73" fillId="2" borderId="0" xfId="0" applyFont="1" applyFill="1" applyAlignment="1" applyProtection="1">
      <alignment horizontal="left"/>
      <protection locked="0"/>
    </xf>
    <xf numFmtId="0" fontId="4" fillId="2" borderId="0" xfId="12" applyFont="1" applyFill="1"/>
    <xf numFmtId="0" fontId="15" fillId="2" borderId="0" xfId="0" applyFont="1" applyFill="1"/>
    <xf numFmtId="173" fontId="15" fillId="2" borderId="0" xfId="3" applyNumberFormat="1" applyFont="1" applyFill="1"/>
    <xf numFmtId="3" fontId="15" fillId="2" borderId="0" xfId="0" applyNumberFormat="1" applyFont="1" applyFill="1"/>
    <xf numFmtId="0" fontId="24" fillId="6" borderId="7" xfId="12" applyFont="1" applyFill="1" applyBorder="1" applyAlignment="1">
      <alignment vertical="center"/>
    </xf>
    <xf numFmtId="2" fontId="18" fillId="2" borderId="0" xfId="12" applyNumberFormat="1" applyFont="1" applyFill="1" applyAlignment="1">
      <alignment horizontal="center"/>
    </xf>
    <xf numFmtId="2" fontId="24" fillId="2" borderId="0" xfId="12" applyNumberFormat="1" applyFont="1" applyFill="1" applyAlignment="1">
      <alignment horizontal="center"/>
    </xf>
    <xf numFmtId="0" fontId="24" fillId="2" borderId="32" xfId="12" applyFont="1" applyFill="1" applyBorder="1" applyAlignment="1">
      <alignment vertical="center"/>
    </xf>
    <xf numFmtId="4" fontId="18" fillId="2" borderId="0" xfId="12" applyNumberFormat="1" applyFont="1" applyFill="1" applyAlignment="1">
      <alignment horizontal="center" vertical="center"/>
    </xf>
    <xf numFmtId="0" fontId="18" fillId="2" borderId="14" xfId="1" applyFont="1" applyFill="1" applyBorder="1" applyAlignment="1">
      <alignment wrapText="1"/>
    </xf>
    <xf numFmtId="0" fontId="39" fillId="2" borderId="0" xfId="0" applyFont="1" applyFill="1" applyAlignment="1">
      <alignment horizontal="left" vertical="top" wrapText="1"/>
    </xf>
    <xf numFmtId="0" fontId="73" fillId="2" borderId="0" xfId="12" applyFont="1" applyFill="1"/>
    <xf numFmtId="0" fontId="55" fillId="2" borderId="0" xfId="12" applyFont="1" applyFill="1"/>
    <xf numFmtId="0" fontId="84" fillId="2" borderId="0" xfId="1" applyFont="1" applyFill="1"/>
    <xf numFmtId="0" fontId="10" fillId="2" borderId="0" xfId="1" applyFont="1" applyFill="1"/>
    <xf numFmtId="0" fontId="39" fillId="2" borderId="0" xfId="0" applyFont="1" applyFill="1" applyAlignment="1">
      <alignment vertical="top"/>
    </xf>
    <xf numFmtId="0" fontId="67" fillId="2" borderId="0" xfId="0" applyFont="1" applyFill="1" applyProtection="1">
      <protection locked="0"/>
    </xf>
    <xf numFmtId="0" fontId="44" fillId="2" borderId="0" xfId="0" applyFont="1" applyFill="1"/>
    <xf numFmtId="0" fontId="17" fillId="2" borderId="0" xfId="0" applyFont="1" applyFill="1" applyProtection="1">
      <protection locked="0"/>
    </xf>
    <xf numFmtId="0" fontId="18" fillId="2" borderId="0" xfId="4" applyNumberFormat="1" applyFont="1" applyFill="1"/>
    <xf numFmtId="3" fontId="18" fillId="2" borderId="0" xfId="14" applyNumberFormat="1" applyFont="1" applyFill="1"/>
    <xf numFmtId="181" fontId="18" fillId="2" borderId="0" xfId="12" applyNumberFormat="1" applyFont="1" applyFill="1" applyAlignment="1">
      <alignment horizontal="center" vertical="center"/>
    </xf>
    <xf numFmtId="181" fontId="18" fillId="2" borderId="0" xfId="14" applyNumberFormat="1" applyFont="1" applyFill="1" applyBorder="1" applyAlignment="1">
      <alignment horizontal="center" vertical="center"/>
    </xf>
    <xf numFmtId="166" fontId="39" fillId="2" borderId="0" xfId="3" applyFont="1" applyFill="1" applyBorder="1" applyAlignment="1" applyProtection="1">
      <alignment horizontal="left" vertical="center" wrapText="1"/>
      <protection locked="0"/>
    </xf>
    <xf numFmtId="0" fontId="0" fillId="2" borderId="0" xfId="0" applyFill="1" applyAlignment="1">
      <alignment horizontal="left" vertical="top" wrapText="1"/>
    </xf>
    <xf numFmtId="0" fontId="18" fillId="2" borderId="0" xfId="12" applyFont="1" applyFill="1" applyAlignment="1">
      <alignment vertical="center"/>
    </xf>
    <xf numFmtId="0" fontId="24" fillId="2" borderId="0" xfId="12" applyFont="1" applyFill="1" applyAlignment="1">
      <alignment horizontal="left" vertical="center"/>
    </xf>
    <xf numFmtId="0" fontId="18" fillId="2" borderId="0" xfId="12" applyFont="1" applyFill="1" applyAlignment="1">
      <alignment horizontal="center" vertical="center"/>
    </xf>
    <xf numFmtId="2" fontId="27" fillId="2" borderId="0" xfId="12" applyNumberFormat="1" applyFont="1" applyFill="1" applyAlignment="1">
      <alignment horizontal="center"/>
    </xf>
    <xf numFmtId="9" fontId="36" fillId="2" borderId="0" xfId="14" applyFont="1" applyFill="1" applyBorder="1" applyAlignment="1">
      <alignment horizontal="center" vertical="center"/>
    </xf>
    <xf numFmtId="0" fontId="36" fillId="2" borderId="0" xfId="12" applyFont="1" applyFill="1" applyAlignment="1">
      <alignment horizontal="center"/>
    </xf>
    <xf numFmtId="4" fontId="0" fillId="2" borderId="0" xfId="0" applyNumberFormat="1" applyFill="1" applyAlignment="1">
      <alignment horizontal="center" vertical="top" wrapText="1"/>
    </xf>
    <xf numFmtId="4" fontId="67" fillId="2" borderId="0" xfId="0" applyNumberFormat="1" applyFont="1" applyFill="1" applyAlignment="1">
      <alignment horizontal="center" vertical="top" wrapText="1"/>
    </xf>
    <xf numFmtId="166" fontId="18" fillId="2" borderId="0" xfId="3" applyFont="1" applyFill="1" applyBorder="1" applyAlignment="1">
      <alignment vertical="center"/>
    </xf>
    <xf numFmtId="9" fontId="18" fillId="2" borderId="0" xfId="14" applyFont="1" applyFill="1" applyBorder="1"/>
    <xf numFmtId="170" fontId="18" fillId="2" borderId="0" xfId="12" applyNumberFormat="1" applyFont="1" applyFill="1" applyAlignment="1">
      <alignment horizontal="center" vertical="center"/>
    </xf>
    <xf numFmtId="181" fontId="18" fillId="2" borderId="0" xfId="12" applyNumberFormat="1" applyFont="1" applyFill="1" applyAlignment="1">
      <alignment horizontal="left" vertical="top" wrapText="1"/>
    </xf>
    <xf numFmtId="0" fontId="44" fillId="2" borderId="0" xfId="12" applyFont="1" applyFill="1" applyAlignment="1">
      <alignment vertical="center"/>
    </xf>
    <xf numFmtId="1" fontId="18" fillId="2" borderId="0" xfId="12" applyNumberFormat="1" applyFont="1" applyFill="1" applyAlignment="1">
      <alignment horizontal="center" vertical="center"/>
    </xf>
    <xf numFmtId="0" fontId="45" fillId="2" borderId="0" xfId="13" applyFont="1" applyFill="1"/>
    <xf numFmtId="10" fontId="18" fillId="2" borderId="0" xfId="14" applyNumberFormat="1" applyFont="1" applyFill="1" applyBorder="1"/>
    <xf numFmtId="173" fontId="18" fillId="2" borderId="0" xfId="15" applyNumberFormat="1" applyFont="1" applyFill="1" applyBorder="1" applyAlignment="1">
      <alignment horizontal="center" vertical="center"/>
    </xf>
    <xf numFmtId="176" fontId="18" fillId="2" borderId="0" xfId="14" applyNumberFormat="1" applyFont="1" applyFill="1" applyBorder="1"/>
    <xf numFmtId="0" fontId="58" fillId="2" borderId="0" xfId="12" applyFill="1" applyAlignment="1">
      <alignment wrapText="1"/>
    </xf>
    <xf numFmtId="0" fontId="21" fillId="2" borderId="0" xfId="12" applyFont="1" applyFill="1" applyAlignment="1">
      <alignment vertical="center"/>
    </xf>
    <xf numFmtId="2" fontId="21" fillId="2" borderId="0" xfId="12" applyNumberFormat="1" applyFont="1" applyFill="1" applyAlignment="1">
      <alignment horizontal="center" vertical="center"/>
    </xf>
    <xf numFmtId="0" fontId="39" fillId="2" borderId="0" xfId="12" applyFont="1" applyFill="1" applyAlignment="1">
      <alignment vertical="center"/>
    </xf>
    <xf numFmtId="166" fontId="39" fillId="2" borderId="0" xfId="3" applyFont="1" applyFill="1" applyBorder="1" applyAlignment="1">
      <alignment vertical="center"/>
    </xf>
    <xf numFmtId="3" fontId="85" fillId="2" borderId="0" xfId="12" applyNumberFormat="1" applyFont="1" applyFill="1" applyAlignment="1">
      <alignment horizontal="center" vertical="center"/>
    </xf>
    <xf numFmtId="0" fontId="86" fillId="2" borderId="0" xfId="12" applyFont="1" applyFill="1" applyAlignment="1">
      <alignment horizontal="center" vertical="center"/>
    </xf>
    <xf numFmtId="3" fontId="18" fillId="2" borderId="0" xfId="14" applyNumberFormat="1" applyFont="1" applyFill="1" applyBorder="1" applyAlignment="1">
      <alignment horizontal="center" vertical="center"/>
    </xf>
    <xf numFmtId="166" fontId="18" fillId="2" borderId="0" xfId="3" applyFont="1" applyFill="1" applyBorder="1" applyAlignment="1">
      <alignment horizontal="center" vertical="center"/>
    </xf>
    <xf numFmtId="166" fontId="86" fillId="2" borderId="0" xfId="3" applyFont="1" applyFill="1" applyBorder="1" applyAlignment="1">
      <alignment horizontal="center" vertical="center"/>
    </xf>
    <xf numFmtId="3" fontId="24" fillId="2" borderId="0" xfId="14" applyNumberFormat="1" applyFont="1" applyFill="1" applyBorder="1" applyAlignment="1">
      <alignment horizontal="center" vertical="center"/>
    </xf>
    <xf numFmtId="166" fontId="39" fillId="2" borderId="0" xfId="3" applyFont="1" applyFill="1" applyBorder="1" applyAlignment="1">
      <alignment horizontal="center" vertical="center"/>
    </xf>
    <xf numFmtId="3" fontId="21" fillId="2" borderId="0" xfId="12" applyNumberFormat="1" applyFont="1" applyFill="1" applyAlignment="1">
      <alignment horizontal="center" vertical="center"/>
    </xf>
    <xf numFmtId="0" fontId="86" fillId="2" borderId="0" xfId="12" applyFont="1" applyFill="1"/>
    <xf numFmtId="4" fontId="18" fillId="2" borderId="0" xfId="12" applyNumberFormat="1" applyFont="1" applyFill="1"/>
    <xf numFmtId="0" fontId="39" fillId="4" borderId="5" xfId="0" applyFont="1" applyFill="1" applyBorder="1"/>
    <xf numFmtId="0" fontId="59" fillId="4" borderId="28" xfId="0" applyFont="1" applyFill="1" applyBorder="1"/>
    <xf numFmtId="0" fontId="59" fillId="4" borderId="46" xfId="1" applyFont="1" applyFill="1" applyBorder="1" applyAlignment="1">
      <alignment wrapText="1"/>
    </xf>
    <xf numFmtId="0" fontId="59" fillId="4" borderId="46" xfId="1" applyFont="1" applyFill="1" applyBorder="1" applyAlignment="1">
      <alignment horizontal="center" vertical="center"/>
    </xf>
    <xf numFmtId="0" fontId="39" fillId="4" borderId="7" xfId="0" applyFont="1" applyFill="1" applyBorder="1"/>
    <xf numFmtId="0" fontId="59" fillId="4" borderId="45" xfId="0" applyFont="1" applyFill="1" applyBorder="1"/>
    <xf numFmtId="0" fontId="59" fillId="4" borderId="5" xfId="0" applyFont="1" applyFill="1" applyBorder="1"/>
    <xf numFmtId="0" fontId="59" fillId="4" borderId="7" xfId="0" applyFont="1" applyFill="1" applyBorder="1"/>
    <xf numFmtId="0" fontId="16" fillId="4" borderId="23" xfId="0" applyFont="1" applyFill="1" applyBorder="1"/>
    <xf numFmtId="0" fontId="16" fillId="4" borderId="6" xfId="0" applyFont="1" applyFill="1" applyBorder="1"/>
    <xf numFmtId="0" fontId="16" fillId="4" borderId="6" xfId="0" applyFont="1" applyFill="1" applyBorder="1" applyAlignment="1">
      <alignment horizontal="center"/>
    </xf>
    <xf numFmtId="0" fontId="16" fillId="4" borderId="20" xfId="0" applyFont="1" applyFill="1" applyBorder="1" applyAlignment="1">
      <alignment horizontal="center"/>
    </xf>
    <xf numFmtId="0" fontId="25" fillId="8" borderId="14" xfId="0" applyFont="1" applyFill="1" applyBorder="1" applyAlignment="1">
      <alignment horizontal="left" wrapText="1"/>
    </xf>
    <xf numFmtId="0" fontId="0" fillId="2" borderId="0" xfId="0" applyFill="1" applyAlignment="1">
      <alignment vertical="top" wrapText="1"/>
    </xf>
    <xf numFmtId="0" fontId="16" fillId="4" borderId="44" xfId="0" applyFont="1" applyFill="1" applyBorder="1" applyAlignment="1">
      <alignment horizontal="left" wrapText="1"/>
    </xf>
    <xf numFmtId="0" fontId="16" fillId="4" borderId="44" xfId="1" applyFont="1" applyFill="1" applyBorder="1" applyAlignment="1">
      <alignment horizontal="center" vertical="center" wrapText="1"/>
    </xf>
    <xf numFmtId="0" fontId="110" fillId="4" borderId="44" xfId="0" applyFont="1" applyFill="1" applyBorder="1"/>
    <xf numFmtId="0" fontId="16" fillId="4" borderId="44" xfId="0" applyFont="1" applyFill="1" applyBorder="1" applyAlignment="1">
      <alignment horizontal="center" vertical="center" wrapText="1"/>
    </xf>
    <xf numFmtId="0" fontId="25" fillId="2" borderId="0" xfId="0" applyFont="1" applyFill="1" applyAlignment="1">
      <alignment horizontal="center" vertical="center"/>
    </xf>
    <xf numFmtId="0" fontId="25" fillId="2" borderId="0" xfId="0" applyFont="1" applyFill="1" applyAlignment="1">
      <alignment horizontal="left" vertical="center" wrapText="1"/>
    </xf>
    <xf numFmtId="0" fontId="69" fillId="2" borderId="0" xfId="0" applyFont="1" applyFill="1" applyAlignment="1">
      <alignment wrapText="1"/>
    </xf>
    <xf numFmtId="0" fontId="0" fillId="2" borderId="0" xfId="0" applyFill="1" applyAlignment="1">
      <alignment horizontal="center" vertical="center"/>
    </xf>
    <xf numFmtId="0" fontId="73" fillId="2" borderId="0" xfId="0" applyFont="1" applyFill="1" applyAlignment="1">
      <alignment horizontal="center" vertical="center"/>
    </xf>
    <xf numFmtId="0" fontId="78" fillId="4" borderId="44" xfId="0" applyFont="1" applyFill="1" applyBorder="1" applyAlignment="1">
      <alignment horizontal="center" vertical="center" wrapText="1"/>
    </xf>
    <xf numFmtId="0" fontId="12" fillId="3" borderId="13" xfId="0" applyFont="1" applyFill="1" applyBorder="1" applyAlignment="1">
      <alignment horizontal="center" vertical="center" wrapText="1"/>
    </xf>
    <xf numFmtId="0" fontId="35" fillId="2" borderId="0" xfId="0" applyFont="1" applyFill="1" applyAlignment="1">
      <alignment horizontal="left"/>
    </xf>
    <xf numFmtId="0" fontId="28" fillId="2" borderId="0" xfId="0" applyFont="1" applyFill="1" applyAlignment="1">
      <alignment horizontal="left" vertical="top" wrapText="1"/>
    </xf>
    <xf numFmtId="0" fontId="28" fillId="2" borderId="0" xfId="12" applyFont="1" applyFill="1"/>
    <xf numFmtId="0" fontId="73" fillId="2" borderId="0" xfId="12" applyFont="1" applyFill="1" applyAlignment="1">
      <alignment horizontal="right"/>
    </xf>
    <xf numFmtId="166" fontId="18" fillId="2" borderId="0" xfId="12" applyNumberFormat="1" applyFont="1" applyFill="1"/>
    <xf numFmtId="2" fontId="39" fillId="2" borderId="0" xfId="0" applyNumberFormat="1" applyFont="1" applyFill="1" applyAlignment="1">
      <alignment horizontal="left" vertical="top" wrapText="1"/>
    </xf>
    <xf numFmtId="4" fontId="39" fillId="2" borderId="0" xfId="0" applyNumberFormat="1" applyFont="1" applyFill="1" applyAlignment="1">
      <alignment horizontal="left" vertical="top" wrapText="1"/>
    </xf>
    <xf numFmtId="176" fontId="18" fillId="2" borderId="0" xfId="4" applyNumberFormat="1" applyFont="1" applyFill="1"/>
    <xf numFmtId="2" fontId="18" fillId="2" borderId="0" xfId="3" applyNumberFormat="1" applyFont="1" applyFill="1" applyBorder="1" applyAlignment="1">
      <alignment horizontal="center" vertical="center" wrapText="1"/>
    </xf>
    <xf numFmtId="3" fontId="39" fillId="2" borderId="0" xfId="0" applyNumberFormat="1" applyFont="1" applyFill="1" applyAlignment="1">
      <alignment horizontal="left" vertical="top" wrapText="1"/>
    </xf>
    <xf numFmtId="3" fontId="18" fillId="2" borderId="0" xfId="12" applyNumberFormat="1" applyFont="1" applyFill="1" applyAlignment="1">
      <alignment horizontal="left" vertical="top" wrapText="1"/>
    </xf>
    <xf numFmtId="4" fontId="39" fillId="2" borderId="0" xfId="0" applyNumberFormat="1" applyFont="1" applyFill="1" applyAlignment="1">
      <alignment horizontal="center" vertical="center" wrapText="1"/>
    </xf>
    <xf numFmtId="0" fontId="18" fillId="6" borderId="14" xfId="6" applyFont="1" applyFill="1" applyBorder="1"/>
    <xf numFmtId="3" fontId="18" fillId="0" borderId="42" xfId="0" applyNumberFormat="1" applyFont="1" applyBorder="1" applyAlignment="1">
      <alignment horizontal="center"/>
    </xf>
    <xf numFmtId="185" fontId="18" fillId="2" borderId="0" xfId="3" applyNumberFormat="1" applyFont="1" applyFill="1" applyBorder="1" applyAlignment="1">
      <alignment horizontal="center" vertical="center" wrapText="1"/>
    </xf>
    <xf numFmtId="189" fontId="13" fillId="2" borderId="20" xfId="3" applyNumberFormat="1" applyFont="1" applyFill="1" applyBorder="1" applyAlignment="1">
      <alignment horizontal="center" vertical="center"/>
    </xf>
    <xf numFmtId="172" fontId="13" fillId="2" borderId="20" xfId="0" applyNumberFormat="1" applyFont="1" applyFill="1" applyBorder="1" applyAlignment="1">
      <alignment horizontal="center"/>
    </xf>
    <xf numFmtId="189" fontId="13" fillId="2" borderId="23" xfId="3" applyNumberFormat="1" applyFont="1" applyFill="1" applyBorder="1" applyAlignment="1">
      <alignment horizontal="center" vertical="center"/>
    </xf>
    <xf numFmtId="189" fontId="13" fillId="2" borderId="6" xfId="3" applyNumberFormat="1" applyFont="1" applyFill="1" applyBorder="1" applyAlignment="1">
      <alignment horizontal="center" vertical="center"/>
    </xf>
    <xf numFmtId="172" fontId="13" fillId="2" borderId="23" xfId="0" applyNumberFormat="1" applyFont="1" applyFill="1" applyBorder="1" applyAlignment="1">
      <alignment horizontal="center"/>
    </xf>
    <xf numFmtId="0" fontId="13" fillId="6" borderId="3" xfId="8" applyNumberFormat="1" applyFont="1" applyFill="1" applyBorder="1"/>
    <xf numFmtId="0" fontId="13" fillId="2" borderId="6" xfId="0" applyFont="1" applyFill="1" applyBorder="1" applyAlignment="1">
      <alignment horizontal="center"/>
    </xf>
    <xf numFmtId="3" fontId="18" fillId="0" borderId="20" xfId="5" applyNumberFormat="1" applyFont="1" applyBorder="1" applyAlignment="1">
      <alignment horizontal="center" vertical="center"/>
    </xf>
    <xf numFmtId="172" fontId="18" fillId="0" borderId="18" xfId="3" applyNumberFormat="1" applyFont="1" applyFill="1" applyBorder="1" applyAlignment="1">
      <alignment horizontal="center"/>
    </xf>
    <xf numFmtId="172" fontId="18" fillId="0" borderId="20" xfId="3" applyNumberFormat="1" applyFont="1" applyFill="1" applyBorder="1" applyAlignment="1">
      <alignment horizontal="center"/>
    </xf>
    <xf numFmtId="173" fontId="20" fillId="2" borderId="15" xfId="3" applyNumberFormat="1" applyFont="1" applyFill="1" applyBorder="1" applyAlignment="1">
      <alignment horizontal="center" vertical="center"/>
    </xf>
    <xf numFmtId="170" fontId="18" fillId="2" borderId="0" xfId="5" applyNumberFormat="1" applyFont="1" applyFill="1"/>
    <xf numFmtId="185" fontId="18" fillId="2" borderId="0" xfId="12" applyNumberFormat="1" applyFont="1" applyFill="1" applyAlignment="1">
      <alignment horizontal="left" vertical="top" wrapText="1"/>
    </xf>
    <xf numFmtId="172" fontId="18" fillId="2" borderId="0" xfId="4" applyNumberFormat="1" applyFont="1" applyFill="1"/>
    <xf numFmtId="189" fontId="13" fillId="0" borderId="18" xfId="3" applyNumberFormat="1" applyFont="1" applyFill="1" applyBorder="1" applyAlignment="1">
      <alignment horizontal="center" vertical="center"/>
    </xf>
    <xf numFmtId="189" fontId="13" fillId="2" borderId="18" xfId="3" applyNumberFormat="1" applyFont="1" applyFill="1" applyBorder="1" applyAlignment="1">
      <alignment horizontal="center" vertical="center"/>
    </xf>
    <xf numFmtId="166" fontId="26" fillId="2" borderId="0" xfId="3" applyFont="1" applyFill="1"/>
    <xf numFmtId="189" fontId="18" fillId="2" borderId="23" xfId="3" applyNumberFormat="1" applyFont="1" applyFill="1" applyBorder="1" applyAlignment="1">
      <alignment horizontal="center"/>
    </xf>
    <xf numFmtId="189" fontId="18" fillId="2" borderId="18" xfId="3" applyNumberFormat="1" applyFont="1" applyFill="1" applyBorder="1" applyAlignment="1">
      <alignment horizontal="center"/>
    </xf>
    <xf numFmtId="189" fontId="18" fillId="0" borderId="18" xfId="3" applyNumberFormat="1" applyFont="1" applyBorder="1" applyAlignment="1">
      <alignment horizontal="center"/>
    </xf>
    <xf numFmtId="189" fontId="18" fillId="2" borderId="30" xfId="3" applyNumberFormat="1" applyFont="1" applyFill="1" applyBorder="1" applyAlignment="1">
      <alignment horizontal="center"/>
    </xf>
    <xf numFmtId="189" fontId="18" fillId="2" borderId="13" xfId="3" applyNumberFormat="1" applyFont="1" applyFill="1" applyBorder="1" applyAlignment="1">
      <alignment horizontal="center"/>
    </xf>
    <xf numFmtId="189" fontId="18" fillId="2" borderId="14" xfId="3" applyNumberFormat="1" applyFont="1" applyFill="1" applyBorder="1" applyAlignment="1">
      <alignment horizontal="center"/>
    </xf>
    <xf numFmtId="0" fontId="22" fillId="4" borderId="15" xfId="0" applyFont="1" applyFill="1" applyBorder="1" applyAlignment="1">
      <alignment horizontal="center" vertical="top" wrapText="1"/>
    </xf>
    <xf numFmtId="189" fontId="18" fillId="2" borderId="3" xfId="3" applyNumberFormat="1" applyFont="1" applyFill="1" applyBorder="1" applyAlignment="1">
      <alignment horizontal="center"/>
    </xf>
    <xf numFmtId="189" fontId="18" fillId="2" borderId="16" xfId="3" applyNumberFormat="1" applyFont="1" applyFill="1" applyBorder="1" applyAlignment="1">
      <alignment horizontal="center"/>
    </xf>
    <xf numFmtId="189" fontId="18" fillId="7" borderId="3" xfId="3" applyNumberFormat="1" applyFont="1" applyFill="1" applyBorder="1" applyAlignment="1">
      <alignment horizontal="center"/>
    </xf>
    <xf numFmtId="189" fontId="18" fillId="7" borderId="16" xfId="3" applyNumberFormat="1" applyFont="1" applyFill="1" applyBorder="1" applyAlignment="1">
      <alignment horizontal="center"/>
    </xf>
    <xf numFmtId="189" fontId="18" fillId="2" borderId="17" xfId="3" applyNumberFormat="1" applyFont="1" applyFill="1" applyBorder="1" applyAlignment="1">
      <alignment horizontal="center"/>
    </xf>
    <xf numFmtId="189" fontId="18" fillId="2" borderId="20" xfId="3" applyNumberFormat="1" applyFont="1" applyFill="1" applyBorder="1" applyAlignment="1">
      <alignment horizontal="center"/>
    </xf>
    <xf numFmtId="189" fontId="18" fillId="2" borderId="31" xfId="3" applyNumberFormat="1" applyFont="1" applyFill="1" applyBorder="1" applyAlignment="1">
      <alignment horizontal="center"/>
    </xf>
    <xf numFmtId="189" fontId="18" fillId="2" borderId="0" xfId="3" applyNumberFormat="1" applyFont="1" applyFill="1" applyBorder="1" applyAlignment="1">
      <alignment horizontal="center"/>
    </xf>
    <xf numFmtId="189" fontId="18" fillId="7" borderId="14" xfId="3" applyNumberFormat="1" applyFont="1" applyFill="1" applyBorder="1" applyAlignment="1">
      <alignment horizontal="center"/>
    </xf>
    <xf numFmtId="189" fontId="18" fillId="2" borderId="6" xfId="3" applyNumberFormat="1" applyFont="1" applyFill="1" applyBorder="1" applyAlignment="1">
      <alignment horizontal="center"/>
    </xf>
    <xf numFmtId="185" fontId="18" fillId="2" borderId="6" xfId="3" applyNumberFormat="1" applyFont="1" applyFill="1" applyBorder="1" applyAlignment="1">
      <alignment horizontal="center"/>
    </xf>
    <xf numFmtId="189" fontId="18" fillId="2" borderId="21" xfId="3" applyNumberFormat="1" applyFont="1" applyFill="1" applyBorder="1" applyAlignment="1">
      <alignment horizontal="center"/>
    </xf>
    <xf numFmtId="189" fontId="18" fillId="7" borderId="15" xfId="3" applyNumberFormat="1" applyFont="1" applyFill="1" applyBorder="1" applyAlignment="1">
      <alignment horizontal="center"/>
    </xf>
    <xf numFmtId="4" fontId="18" fillId="2" borderId="0" xfId="0" applyNumberFormat="1" applyFont="1" applyFill="1" applyAlignment="1">
      <alignment horizontal="center" vertical="center"/>
    </xf>
    <xf numFmtId="189" fontId="18" fillId="2" borderId="22" xfId="3" applyNumberFormat="1" applyFont="1" applyFill="1" applyBorder="1" applyAlignment="1">
      <alignment horizontal="center"/>
    </xf>
    <xf numFmtId="172" fontId="18" fillId="2" borderId="0" xfId="5" applyNumberFormat="1" applyFont="1" applyFill="1" applyAlignment="1">
      <alignment vertical="top" wrapText="1"/>
    </xf>
    <xf numFmtId="166" fontId="18" fillId="2" borderId="0" xfId="3" applyFont="1" applyFill="1" applyBorder="1" applyAlignment="1">
      <alignment vertical="top" wrapText="1"/>
    </xf>
    <xf numFmtId="3" fontId="18" fillId="2" borderId="23" xfId="0" applyNumberFormat="1" applyFont="1" applyFill="1" applyBorder="1" applyAlignment="1">
      <alignment horizontal="center"/>
    </xf>
    <xf numFmtId="189" fontId="18" fillId="2" borderId="25" xfId="3" applyNumberFormat="1" applyFont="1" applyFill="1" applyBorder="1" applyAlignment="1">
      <alignment horizontal="center" vertical="center"/>
    </xf>
    <xf numFmtId="189" fontId="18" fillId="2" borderId="31" xfId="3" applyNumberFormat="1" applyFont="1" applyFill="1" applyBorder="1" applyAlignment="1">
      <alignment horizontal="center" vertical="center"/>
    </xf>
    <xf numFmtId="185" fontId="18" fillId="2" borderId="0" xfId="12" applyNumberFormat="1" applyFont="1" applyFill="1" applyAlignment="1">
      <alignment vertical="top" wrapText="1"/>
    </xf>
    <xf numFmtId="0" fontId="18" fillId="2" borderId="0" xfId="12" applyFont="1" applyFill="1" applyAlignment="1">
      <alignment vertical="top" wrapText="1"/>
    </xf>
    <xf numFmtId="49" fontId="18" fillId="2" borderId="0" xfId="0" applyNumberFormat="1" applyFont="1" applyFill="1"/>
    <xf numFmtId="189" fontId="18" fillId="2" borderId="0" xfId="12" applyNumberFormat="1" applyFont="1" applyFill="1" applyAlignment="1">
      <alignment horizontal="center" vertical="center"/>
    </xf>
    <xf numFmtId="9" fontId="13" fillId="2" borderId="0" xfId="4" applyFont="1" applyFill="1"/>
    <xf numFmtId="166" fontId="125" fillId="2" borderId="0" xfId="3" applyFont="1" applyFill="1"/>
    <xf numFmtId="166" fontId="18" fillId="2" borderId="0" xfId="3" applyFont="1" applyFill="1"/>
    <xf numFmtId="0" fontId="24" fillId="2" borderId="32" xfId="12" applyFont="1" applyFill="1" applyBorder="1" applyAlignment="1">
      <alignment horizontal="left" vertical="center"/>
    </xf>
    <xf numFmtId="9" fontId="4" fillId="2" borderId="0" xfId="4" applyFont="1" applyFill="1"/>
    <xf numFmtId="0" fontId="4" fillId="2" borderId="0" xfId="1" applyFill="1" applyAlignment="1">
      <alignment wrapText="1"/>
    </xf>
    <xf numFmtId="0" fontId="10" fillId="2" borderId="0" xfId="1" applyFont="1" applyFill="1" applyAlignment="1">
      <alignment wrapText="1"/>
    </xf>
    <xf numFmtId="0" fontId="66" fillId="2" borderId="0" xfId="1" applyFont="1" applyFill="1"/>
    <xf numFmtId="174" fontId="31" fillId="0" borderId="0" xfId="0" applyNumberFormat="1" applyFont="1"/>
    <xf numFmtId="173" fontId="36" fillId="2" borderId="0" xfId="3" applyNumberFormat="1" applyFont="1" applyFill="1"/>
    <xf numFmtId="2" fontId="36" fillId="2" borderId="0" xfId="12" applyNumberFormat="1" applyFont="1" applyFill="1"/>
    <xf numFmtId="2" fontId="36" fillId="2" borderId="0" xfId="4" applyNumberFormat="1" applyFont="1" applyFill="1"/>
    <xf numFmtId="10" fontId="39" fillId="2" borderId="0" xfId="4" applyNumberFormat="1" applyFont="1" applyFill="1" applyAlignment="1">
      <alignment horizontal="left" vertical="top" wrapText="1"/>
    </xf>
    <xf numFmtId="176" fontId="18" fillId="2" borderId="0" xfId="4" applyNumberFormat="1" applyFont="1" applyFill="1" applyAlignment="1">
      <alignment horizontal="left" vertical="top" wrapText="1"/>
    </xf>
    <xf numFmtId="189" fontId="4" fillId="2" borderId="0" xfId="1" applyNumberFormat="1" applyFill="1"/>
    <xf numFmtId="9" fontId="18" fillId="2" borderId="0" xfId="4" applyFont="1" applyFill="1" applyAlignment="1">
      <alignment vertical="top" wrapText="1"/>
    </xf>
    <xf numFmtId="9" fontId="126" fillId="2" borderId="0" xfId="4" applyFont="1" applyFill="1" applyAlignment="1">
      <alignment horizontal="right"/>
    </xf>
    <xf numFmtId="9" fontId="126" fillId="2" borderId="0" xfId="4" applyFont="1" applyFill="1" applyBorder="1" applyAlignment="1">
      <alignment horizontal="right"/>
    </xf>
    <xf numFmtId="2" fontId="66" fillId="2" borderId="0" xfId="1" applyNumberFormat="1" applyFont="1" applyFill="1"/>
    <xf numFmtId="0" fontId="71" fillId="2" borderId="0" xfId="12" applyFont="1" applyFill="1" applyAlignment="1">
      <alignment vertical="top"/>
    </xf>
    <xf numFmtId="192" fontId="36" fillId="2" borderId="0" xfId="3" applyNumberFormat="1" applyFont="1" applyFill="1"/>
    <xf numFmtId="172" fontId="18" fillId="2" borderId="0" xfId="14" applyNumberFormat="1" applyFont="1" applyFill="1"/>
    <xf numFmtId="189" fontId="18" fillId="2" borderId="0" xfId="12" applyNumberFormat="1" applyFont="1" applyFill="1"/>
    <xf numFmtId="3" fontId="18" fillId="2" borderId="39" xfId="0" applyNumberFormat="1" applyFont="1" applyFill="1" applyBorder="1" applyAlignment="1">
      <alignment horizontal="center"/>
    </xf>
    <xf numFmtId="175" fontId="18" fillId="2" borderId="0" xfId="4" applyNumberFormat="1" applyFont="1" applyFill="1"/>
    <xf numFmtId="193" fontId="18" fillId="2" borderId="0" xfId="12" applyNumberFormat="1" applyFont="1" applyFill="1"/>
    <xf numFmtId="9" fontId="25" fillId="2" borderId="0" xfId="4" applyFont="1" applyFill="1" applyAlignment="1">
      <alignment horizontal="left" wrapText="1"/>
    </xf>
    <xf numFmtId="10" fontId="25" fillId="2" borderId="0" xfId="12" applyNumberFormat="1" applyFont="1" applyFill="1" applyAlignment="1">
      <alignment horizontal="left" wrapText="1"/>
    </xf>
    <xf numFmtId="168" fontId="25" fillId="2" borderId="15" xfId="0" applyNumberFormat="1" applyFont="1" applyFill="1" applyBorder="1" applyAlignment="1">
      <alignment horizontal="center"/>
    </xf>
    <xf numFmtId="194" fontId="18" fillId="2" borderId="0" xfId="0" applyNumberFormat="1" applyFont="1" applyFill="1"/>
    <xf numFmtId="2" fontId="25" fillId="2" borderId="0" xfId="12" applyNumberFormat="1" applyFont="1" applyFill="1" applyAlignment="1">
      <alignment horizontal="left" wrapText="1"/>
    </xf>
    <xf numFmtId="0" fontId="4" fillId="2" borderId="0" xfId="12" applyFont="1" applyFill="1" applyAlignment="1">
      <alignment horizontal="left" vertical="center"/>
    </xf>
    <xf numFmtId="173" fontId="20" fillId="2" borderId="56" xfId="3" applyNumberFormat="1" applyFont="1" applyFill="1" applyBorder="1" applyAlignment="1">
      <alignment horizontal="center" vertical="center"/>
    </xf>
    <xf numFmtId="4" fontId="25" fillId="2" borderId="56" xfId="0" applyNumberFormat="1" applyFont="1" applyFill="1" applyBorder="1" applyAlignment="1">
      <alignment horizontal="center"/>
    </xf>
    <xf numFmtId="3" fontId="50" fillId="2" borderId="56" xfId="1" applyNumberFormat="1" applyFont="1" applyFill="1" applyBorder="1" applyAlignment="1">
      <alignment horizontal="center" vertical="center"/>
    </xf>
    <xf numFmtId="0" fontId="39" fillId="2" borderId="56" xfId="0" applyFont="1" applyFill="1" applyBorder="1" applyAlignment="1">
      <alignment horizontal="center" vertical="center"/>
    </xf>
    <xf numFmtId="0" fontId="25" fillId="53" borderId="55" xfId="55" applyFont="1" applyFill="1" applyBorder="1" applyAlignment="1">
      <alignment horizontal="center"/>
    </xf>
    <xf numFmtId="172" fontId="13" fillId="2" borderId="31" xfId="5" applyNumberFormat="1" applyFont="1" applyFill="1" applyBorder="1" applyAlignment="1">
      <alignment horizontal="center"/>
    </xf>
    <xf numFmtId="172" fontId="13" fillId="2" borderId="4" xfId="5" applyNumberFormat="1" applyFont="1" applyFill="1" applyBorder="1" applyAlignment="1">
      <alignment horizontal="center"/>
    </xf>
    <xf numFmtId="3" fontId="13" fillId="2" borderId="3" xfId="5" applyNumberFormat="1" applyFont="1" applyFill="1" applyBorder="1" applyAlignment="1">
      <alignment horizontal="center"/>
    </xf>
    <xf numFmtId="3" fontId="13" fillId="15" borderId="16" xfId="5" applyNumberFormat="1" applyFont="1" applyFill="1" applyBorder="1" applyAlignment="1">
      <alignment horizontal="center"/>
    </xf>
    <xf numFmtId="4" fontId="18" fillId="2" borderId="0" xfId="5" applyNumberFormat="1" applyFont="1" applyFill="1" applyAlignment="1">
      <alignment horizontal="center"/>
    </xf>
    <xf numFmtId="172" fontId="4" fillId="2" borderId="0" xfId="1" applyNumberFormat="1" applyFill="1"/>
    <xf numFmtId="189" fontId="18" fillId="2" borderId="56" xfId="3" applyNumberFormat="1" applyFont="1" applyFill="1" applyBorder="1" applyAlignment="1">
      <alignment horizontal="center" vertical="center"/>
    </xf>
    <xf numFmtId="9" fontId="0" fillId="2" borderId="0" xfId="4" applyFont="1" applyFill="1"/>
    <xf numFmtId="189" fontId="18" fillId="3" borderId="19" xfId="3" applyNumberFormat="1" applyFont="1" applyFill="1" applyBorder="1" applyAlignment="1">
      <alignment horizontal="center" vertical="center"/>
    </xf>
    <xf numFmtId="189" fontId="18" fillId="2" borderId="20" xfId="3" applyNumberFormat="1" applyFont="1" applyFill="1" applyBorder="1" applyAlignment="1">
      <alignment horizontal="center" vertical="center"/>
    </xf>
    <xf numFmtId="0" fontId="25" fillId="2" borderId="0" xfId="0" applyFont="1" applyFill="1" applyProtection="1">
      <protection locked="0"/>
    </xf>
    <xf numFmtId="195" fontId="18" fillId="2" borderId="0" xfId="3" applyNumberFormat="1" applyFont="1" applyFill="1"/>
    <xf numFmtId="3" fontId="18" fillId="0" borderId="28" xfId="0" applyNumberFormat="1" applyFont="1" applyBorder="1" applyAlignment="1">
      <alignment horizontal="center" vertical="center"/>
    </xf>
    <xf numFmtId="195" fontId="25" fillId="2" borderId="0" xfId="3" applyNumberFormat="1" applyFont="1" applyFill="1"/>
    <xf numFmtId="10" fontId="0" fillId="2" borderId="0" xfId="4" applyNumberFormat="1" applyFont="1" applyFill="1"/>
    <xf numFmtId="1" fontId="18" fillId="2" borderId="0" xfId="12" applyNumberFormat="1" applyFont="1" applyFill="1"/>
    <xf numFmtId="43" fontId="18" fillId="2" borderId="0" xfId="12" applyNumberFormat="1" applyFont="1" applyFill="1"/>
    <xf numFmtId="0" fontId="14" fillId="0" borderId="0" xfId="2"/>
    <xf numFmtId="9" fontId="32" fillId="2" borderId="0" xfId="4" applyFont="1" applyFill="1"/>
    <xf numFmtId="176" fontId="32" fillId="2" borderId="0" xfId="4" applyNumberFormat="1" applyFont="1" applyFill="1"/>
    <xf numFmtId="10" fontId="18" fillId="2" borderId="0" xfId="4" applyNumberFormat="1" applyFont="1" applyFill="1"/>
    <xf numFmtId="175" fontId="18" fillId="2" borderId="0" xfId="4" applyNumberFormat="1" applyFont="1" applyFill="1" applyAlignment="1">
      <alignment horizontal="right"/>
    </xf>
    <xf numFmtId="9" fontId="18" fillId="2" borderId="0" xfId="4" applyFont="1" applyFill="1" applyAlignment="1">
      <alignment horizontal="left" vertical="top" wrapText="1"/>
    </xf>
    <xf numFmtId="176" fontId="39" fillId="2" borderId="0" xfId="4" applyNumberFormat="1" applyFont="1" applyFill="1" applyBorder="1" applyAlignment="1">
      <alignment horizontal="left" vertical="top" wrapText="1"/>
    </xf>
    <xf numFmtId="197" fontId="18" fillId="2" borderId="0" xfId="3" applyNumberFormat="1" applyFont="1" applyFill="1"/>
    <xf numFmtId="176" fontId="18" fillId="2" borderId="0" xfId="4" applyNumberFormat="1" applyFont="1" applyFill="1" applyBorder="1" applyAlignment="1">
      <alignment horizontal="left" vertical="top" wrapText="1"/>
    </xf>
    <xf numFmtId="198" fontId="18" fillId="2" borderId="0" xfId="4" applyNumberFormat="1" applyFont="1" applyFill="1"/>
    <xf numFmtId="172" fontId="59" fillId="4" borderId="40" xfId="5" applyNumberFormat="1" applyFont="1" applyFill="1" applyBorder="1"/>
    <xf numFmtId="172" fontId="59" fillId="4" borderId="5" xfId="5" applyNumberFormat="1" applyFont="1" applyFill="1" applyBorder="1"/>
    <xf numFmtId="172" fontId="59" fillId="4" borderId="43" xfId="5" applyNumberFormat="1" applyFont="1" applyFill="1" applyBorder="1"/>
    <xf numFmtId="1" fontId="18" fillId="2" borderId="22" xfId="0" applyNumberFormat="1" applyFont="1" applyFill="1" applyBorder="1" applyAlignment="1">
      <alignment horizontal="center"/>
    </xf>
    <xf numFmtId="1" fontId="18" fillId="2" borderId="12" xfId="0" applyNumberFormat="1" applyFont="1" applyFill="1" applyBorder="1" applyAlignment="1">
      <alignment horizontal="center"/>
    </xf>
    <xf numFmtId="3" fontId="18" fillId="2" borderId="0" xfId="12" applyNumberFormat="1" applyFont="1" applyFill="1" applyAlignment="1">
      <alignment vertical="top" wrapText="1"/>
    </xf>
    <xf numFmtId="189" fontId="18" fillId="2" borderId="0" xfId="0" applyNumberFormat="1" applyFont="1" applyFill="1"/>
    <xf numFmtId="176" fontId="39" fillId="2" borderId="0" xfId="4" applyNumberFormat="1" applyFont="1" applyFill="1" applyAlignment="1">
      <alignment horizontal="left" vertical="top" wrapText="1"/>
    </xf>
    <xf numFmtId="9" fontId="93" fillId="2" borderId="0" xfId="4" applyFont="1" applyFill="1" applyAlignment="1">
      <alignment horizontal="center" vertical="center"/>
    </xf>
    <xf numFmtId="181" fontId="18" fillId="2" borderId="0" xfId="5" applyNumberFormat="1" applyFont="1" applyFill="1"/>
    <xf numFmtId="2" fontId="18" fillId="2" borderId="0" xfId="4" applyNumberFormat="1" applyFont="1" applyFill="1" applyAlignment="1">
      <alignment vertical="top" wrapText="1"/>
    </xf>
    <xf numFmtId="1" fontId="4" fillId="2" borderId="0" xfId="1" applyNumberFormat="1" applyFill="1"/>
    <xf numFmtId="176" fontId="18" fillId="2" borderId="0" xfId="4" applyNumberFormat="1" applyFont="1" applyFill="1" applyAlignment="1">
      <alignment vertical="top" wrapText="1"/>
    </xf>
    <xf numFmtId="176" fontId="0" fillId="2" borderId="0" xfId="4" applyNumberFormat="1" applyFont="1" applyFill="1"/>
    <xf numFmtId="9" fontId="18" fillId="0" borderId="0" xfId="4" applyFont="1" applyFill="1"/>
    <xf numFmtId="195" fontId="32" fillId="2" borderId="0" xfId="3" applyNumberFormat="1" applyFont="1" applyFill="1"/>
    <xf numFmtId="0" fontId="90" fillId="4" borderId="57" xfId="0" applyFont="1" applyFill="1" applyBorder="1" applyAlignment="1">
      <alignment vertical="center"/>
    </xf>
    <xf numFmtId="0" fontId="25" fillId="8" borderId="57" xfId="0" applyFont="1" applyFill="1" applyBorder="1"/>
    <xf numFmtId="171" fontId="25" fillId="2" borderId="57" xfId="0" applyNumberFormat="1" applyFont="1" applyFill="1" applyBorder="1" applyAlignment="1">
      <alignment horizontal="center" vertical="center"/>
    </xf>
    <xf numFmtId="171" fontId="25" fillId="2" borderId="58" xfId="0" applyNumberFormat="1" applyFont="1" applyFill="1" applyBorder="1" applyAlignment="1">
      <alignment horizontal="center" vertical="center"/>
    </xf>
    <xf numFmtId="4" fontId="25" fillId="2" borderId="57" xfId="0" applyNumberFormat="1" applyFont="1" applyFill="1" applyBorder="1" applyAlignment="1">
      <alignment horizontal="center"/>
    </xf>
    <xf numFmtId="4" fontId="25" fillId="2" borderId="58" xfId="0" applyNumberFormat="1" applyFont="1" applyFill="1" applyBorder="1" applyAlignment="1">
      <alignment horizontal="center"/>
    </xf>
    <xf numFmtId="0" fontId="16" fillId="4" borderId="57" xfId="0" applyFont="1" applyFill="1" applyBorder="1"/>
    <xf numFmtId="0" fontId="16" fillId="4" borderId="58" xfId="0" applyFont="1" applyFill="1" applyBorder="1"/>
    <xf numFmtId="0" fontId="16" fillId="4" borderId="57" xfId="0" applyFont="1" applyFill="1" applyBorder="1" applyAlignment="1">
      <alignment horizontal="center"/>
    </xf>
    <xf numFmtId="0" fontId="16" fillId="4" borderId="58" xfId="0" applyFont="1" applyFill="1" applyBorder="1" applyAlignment="1">
      <alignment horizontal="center"/>
    </xf>
    <xf numFmtId="0" fontId="16" fillId="4" borderId="57" xfId="1" applyFont="1" applyFill="1" applyBorder="1" applyAlignment="1">
      <alignment horizontal="center" vertical="center" wrapText="1"/>
    </xf>
    <xf numFmtId="0" fontId="16" fillId="4" borderId="58" xfId="1" applyFont="1" applyFill="1" applyBorder="1" applyAlignment="1">
      <alignment horizontal="center" vertical="center" wrapText="1"/>
    </xf>
    <xf numFmtId="0" fontId="16" fillId="4" borderId="57" xfId="0" applyFont="1" applyFill="1" applyBorder="1" applyAlignment="1">
      <alignment horizontal="center" vertical="center" wrapText="1"/>
    </xf>
    <xf numFmtId="0" fontId="16" fillId="4" borderId="58" xfId="0" applyFont="1" applyFill="1" applyBorder="1" applyAlignment="1">
      <alignment horizontal="center" vertical="center" wrapText="1"/>
    </xf>
    <xf numFmtId="0" fontId="16" fillId="4" borderId="57" xfId="0" applyFont="1" applyFill="1" applyBorder="1" applyAlignment="1">
      <alignment horizontal="left" vertical="center" wrapText="1"/>
    </xf>
    <xf numFmtId="0" fontId="16" fillId="4" borderId="58" xfId="0" applyFont="1" applyFill="1" applyBorder="1" applyAlignment="1">
      <alignment horizontal="left" vertical="center" wrapText="1"/>
    </xf>
    <xf numFmtId="0" fontId="22" fillId="4" borderId="57" xfId="0" applyFont="1" applyFill="1" applyBorder="1" applyAlignment="1">
      <alignment horizontal="center" vertical="center" wrapText="1"/>
    </xf>
    <xf numFmtId="0" fontId="22" fillId="4" borderId="58" xfId="0" applyFont="1" applyFill="1" applyBorder="1" applyAlignment="1">
      <alignment horizontal="center" vertical="center" wrapText="1"/>
    </xf>
    <xf numFmtId="0" fontId="18" fillId="2" borderId="0" xfId="4" applyNumberFormat="1" applyFont="1" applyFill="1" applyAlignment="1">
      <alignment horizontal="left" vertical="top" wrapText="1"/>
    </xf>
    <xf numFmtId="9" fontId="39" fillId="2" borderId="0" xfId="4" applyFont="1" applyFill="1" applyAlignment="1">
      <alignment horizontal="left" vertical="top" wrapText="1"/>
    </xf>
    <xf numFmtId="174" fontId="39" fillId="2" borderId="0" xfId="0" applyNumberFormat="1" applyFont="1" applyFill="1" applyAlignment="1">
      <alignment horizontal="left" vertical="top" wrapText="1"/>
    </xf>
    <xf numFmtId="195" fontId="0" fillId="2" borderId="0" xfId="3" applyNumberFormat="1" applyFont="1" applyFill="1"/>
    <xf numFmtId="0" fontId="36" fillId="17" borderId="12" xfId="0" applyFont="1" applyFill="1" applyBorder="1"/>
    <xf numFmtId="2" fontId="36" fillId="17" borderId="12" xfId="0" applyNumberFormat="1" applyFont="1" applyFill="1" applyBorder="1" applyAlignment="1">
      <alignment horizontal="center"/>
    </xf>
    <xf numFmtId="0" fontId="36" fillId="17" borderId="11" xfId="0" applyFont="1" applyFill="1" applyBorder="1"/>
    <xf numFmtId="2" fontId="36" fillId="17" borderId="11" xfId="0" applyNumberFormat="1" applyFont="1" applyFill="1" applyBorder="1" applyAlignment="1">
      <alignment horizontal="center"/>
    </xf>
    <xf numFmtId="2" fontId="36" fillId="2" borderId="0" xfId="0" applyNumberFormat="1" applyFont="1" applyFill="1" applyAlignment="1">
      <alignment horizontal="center"/>
    </xf>
    <xf numFmtId="0" fontId="127" fillId="2" borderId="0" xfId="0" applyFont="1" applyFill="1"/>
    <xf numFmtId="0" fontId="36" fillId="17" borderId="0" xfId="0" applyFont="1" applyFill="1"/>
    <xf numFmtId="0" fontId="18" fillId="2" borderId="32" xfId="12" applyFont="1" applyFill="1" applyBorder="1" applyAlignment="1">
      <alignment vertical="center"/>
    </xf>
    <xf numFmtId="9" fontId="18" fillId="2" borderId="2" xfId="14" applyFont="1" applyFill="1" applyBorder="1" applyAlignment="1">
      <alignment horizontal="center" vertical="center"/>
    </xf>
    <xf numFmtId="0" fontId="39" fillId="2" borderId="3" xfId="12" applyFont="1" applyFill="1" applyBorder="1" applyAlignment="1">
      <alignment vertical="center"/>
    </xf>
    <xf numFmtId="3" fontId="18" fillId="7" borderId="65" xfId="12" applyNumberFormat="1" applyFont="1" applyFill="1" applyBorder="1" applyAlignment="1">
      <alignment horizontal="center" vertical="center"/>
    </xf>
    <xf numFmtId="3" fontId="18" fillId="7" borderId="0" xfId="12" applyNumberFormat="1" applyFont="1" applyFill="1" applyAlignment="1">
      <alignment horizontal="center" vertical="center"/>
    </xf>
    <xf numFmtId="3" fontId="24" fillId="7" borderId="66" xfId="12" applyNumberFormat="1" applyFont="1" applyFill="1" applyBorder="1" applyAlignment="1">
      <alignment horizontal="center" vertical="center"/>
    </xf>
    <xf numFmtId="3" fontId="24" fillId="7" borderId="65" xfId="12" applyNumberFormat="1" applyFont="1" applyFill="1" applyBorder="1" applyAlignment="1">
      <alignment horizontal="center" vertical="center"/>
    </xf>
    <xf numFmtId="3" fontId="21" fillId="4" borderId="67" xfId="12" applyNumberFormat="1" applyFont="1" applyFill="1" applyBorder="1" applyAlignment="1">
      <alignment horizontal="center" vertical="center"/>
    </xf>
    <xf numFmtId="3" fontId="21" fillId="4" borderId="68" xfId="12" applyNumberFormat="1" applyFont="1" applyFill="1" applyBorder="1" applyAlignment="1">
      <alignment horizontal="center" vertical="center"/>
    </xf>
    <xf numFmtId="9" fontId="18" fillId="7" borderId="70" xfId="14" applyFont="1" applyFill="1" applyBorder="1" applyAlignment="1">
      <alignment horizontal="center" vertical="center"/>
    </xf>
    <xf numFmtId="0" fontId="21" fillId="4" borderId="71" xfId="12" applyFont="1" applyFill="1" applyBorder="1" applyAlignment="1">
      <alignment horizontal="center" vertical="center"/>
    </xf>
    <xf numFmtId="0" fontId="21" fillId="4" borderId="72" xfId="12" applyFont="1" applyFill="1" applyBorder="1" applyAlignment="1">
      <alignment horizontal="center" vertical="center"/>
    </xf>
    <xf numFmtId="0" fontId="59" fillId="4" borderId="72" xfId="12" applyFont="1" applyFill="1" applyBorder="1" applyAlignment="1">
      <alignment horizontal="center" vertical="center"/>
    </xf>
    <xf numFmtId="3" fontId="25" fillId="2" borderId="0" xfId="12" applyNumberFormat="1" applyFont="1" applyFill="1"/>
    <xf numFmtId="0" fontId="17" fillId="0" borderId="0" xfId="0" applyFont="1"/>
    <xf numFmtId="0" fontId="73" fillId="0" borderId="0" xfId="0" applyFont="1"/>
    <xf numFmtId="0" fontId="30" fillId="0" borderId="0" xfId="0" applyFont="1" applyAlignment="1">
      <alignment horizontal="left" vertical="center"/>
    </xf>
    <xf numFmtId="49" fontId="18" fillId="0" borderId="1" xfId="0" applyNumberFormat="1" applyFont="1" applyBorder="1"/>
    <xf numFmtId="0" fontId="18" fillId="0" borderId="1" xfId="0" applyFont="1" applyBorder="1"/>
    <xf numFmtId="0" fontId="28" fillId="0" borderId="0" xfId="0" applyFont="1" applyAlignment="1">
      <alignment horizontal="left" vertical="center"/>
    </xf>
    <xf numFmtId="190" fontId="18" fillId="2" borderId="0" xfId="0" applyNumberFormat="1" applyFont="1" applyFill="1"/>
    <xf numFmtId="0" fontId="18" fillId="2" borderId="34" xfId="0" applyFont="1" applyFill="1" applyBorder="1"/>
    <xf numFmtId="0" fontId="24" fillId="2" borderId="23" xfId="0" applyFont="1" applyFill="1" applyBorder="1"/>
    <xf numFmtId="0" fontId="18" fillId="2" borderId="13" xfId="1" applyFont="1" applyFill="1" applyBorder="1" applyAlignment="1">
      <alignment wrapText="1"/>
    </xf>
    <xf numFmtId="0" fontId="18" fillId="2" borderId="12" xfId="1" applyFont="1" applyFill="1" applyBorder="1" applyAlignment="1">
      <alignment wrapText="1"/>
    </xf>
    <xf numFmtId="0" fontId="18" fillId="2" borderId="11" xfId="1" applyFont="1" applyFill="1" applyBorder="1" applyAlignment="1">
      <alignment wrapText="1"/>
    </xf>
    <xf numFmtId="0" fontId="18" fillId="6" borderId="61" xfId="12" applyFont="1" applyFill="1" applyBorder="1" applyAlignment="1">
      <alignment horizontal="center" vertical="center"/>
    </xf>
    <xf numFmtId="0" fontId="18" fillId="6" borderId="62" xfId="12" applyFont="1" applyFill="1" applyBorder="1" applyAlignment="1">
      <alignment horizontal="center" vertical="center"/>
    </xf>
    <xf numFmtId="0" fontId="18" fillId="6" borderId="74" xfId="12" applyFont="1" applyFill="1" applyBorder="1" applyAlignment="1">
      <alignment horizontal="center" vertical="center"/>
    </xf>
    <xf numFmtId="0" fontId="18" fillId="7" borderId="62" xfId="12" applyFont="1" applyFill="1" applyBorder="1" applyAlignment="1">
      <alignment horizontal="center" vertical="center"/>
    </xf>
    <xf numFmtId="2" fontId="18" fillId="7" borderId="65" xfId="12" applyNumberFormat="1" applyFont="1" applyFill="1" applyBorder="1" applyAlignment="1">
      <alignment horizontal="center" vertical="center"/>
    </xf>
    <xf numFmtId="2" fontId="24" fillId="2" borderId="65" xfId="12" applyNumberFormat="1" applyFont="1" applyFill="1" applyBorder="1" applyAlignment="1">
      <alignment horizontal="center" vertical="center"/>
    </xf>
    <xf numFmtId="0" fontId="18" fillId="7" borderId="65" xfId="12" applyFont="1" applyFill="1" applyBorder="1" applyAlignment="1">
      <alignment horizontal="center" vertical="center"/>
    </xf>
    <xf numFmtId="0" fontId="18" fillId="6" borderId="65" xfId="12" applyFont="1" applyFill="1" applyBorder="1" applyAlignment="1">
      <alignment horizontal="center" vertical="center"/>
    </xf>
    <xf numFmtId="2" fontId="24" fillId="7" borderId="65" xfId="12" applyNumberFormat="1" applyFont="1" applyFill="1" applyBorder="1" applyAlignment="1">
      <alignment horizontal="center" vertical="center"/>
    </xf>
    <xf numFmtId="2" fontId="24" fillId="2" borderId="66" xfId="12" applyNumberFormat="1" applyFont="1" applyFill="1" applyBorder="1" applyAlignment="1">
      <alignment horizontal="center" vertical="center"/>
    </xf>
    <xf numFmtId="2" fontId="18" fillId="2" borderId="65" xfId="12" applyNumberFormat="1" applyFont="1" applyFill="1" applyBorder="1" applyAlignment="1">
      <alignment horizontal="center" vertical="center"/>
    </xf>
    <xf numFmtId="181" fontId="18" fillId="0" borderId="65" xfId="12" applyNumberFormat="1" applyFont="1" applyBorder="1" applyAlignment="1">
      <alignment horizontal="center" vertical="center"/>
    </xf>
    <xf numFmtId="185" fontId="18" fillId="2" borderId="65" xfId="3" applyNumberFormat="1" applyFont="1" applyFill="1" applyBorder="1" applyAlignment="1">
      <alignment horizontal="center" vertical="center" wrapText="1"/>
    </xf>
    <xf numFmtId="170" fontId="18" fillId="2" borderId="65" xfId="12" applyNumberFormat="1" applyFont="1" applyFill="1" applyBorder="1" applyAlignment="1">
      <alignment horizontal="center" vertical="center"/>
    </xf>
    <xf numFmtId="181" fontId="18" fillId="2" borderId="65" xfId="12" applyNumberFormat="1" applyFont="1" applyFill="1" applyBorder="1" applyAlignment="1">
      <alignment horizontal="center" vertical="center"/>
    </xf>
    <xf numFmtId="3" fontId="18" fillId="2" borderId="65" xfId="12" applyNumberFormat="1" applyFont="1" applyFill="1" applyBorder="1" applyAlignment="1">
      <alignment horizontal="center" vertical="center"/>
    </xf>
    <xf numFmtId="4" fontId="18" fillId="2" borderId="65" xfId="12" applyNumberFormat="1" applyFont="1" applyFill="1" applyBorder="1" applyAlignment="1">
      <alignment horizontal="center" vertical="center"/>
    </xf>
    <xf numFmtId="9" fontId="18" fillId="2" borderId="76" xfId="14" applyFont="1" applyFill="1" applyBorder="1" applyAlignment="1">
      <alignment horizontal="center" vertical="center"/>
    </xf>
    <xf numFmtId="0" fontId="18" fillId="6" borderId="78" xfId="12" applyFont="1" applyFill="1" applyBorder="1" applyAlignment="1">
      <alignment horizontal="center" vertical="center"/>
    </xf>
    <xf numFmtId="0" fontId="18" fillId="6" borderId="77" xfId="12" applyFont="1" applyFill="1" applyBorder="1" applyAlignment="1">
      <alignment horizontal="center" vertical="center"/>
    </xf>
    <xf numFmtId="0" fontId="18" fillId="6" borderId="79" xfId="12" applyFont="1" applyFill="1" applyBorder="1" applyAlignment="1">
      <alignment horizontal="center" vertical="center"/>
    </xf>
    <xf numFmtId="0" fontId="18" fillId="7" borderId="77" xfId="12" applyFont="1" applyFill="1" applyBorder="1" applyAlignment="1">
      <alignment horizontal="center" vertical="center"/>
    </xf>
    <xf numFmtId="17" fontId="25" fillId="2" borderId="0" xfId="12" applyNumberFormat="1" applyFont="1" applyFill="1" applyAlignment="1">
      <alignment horizontal="left"/>
    </xf>
    <xf numFmtId="195" fontId="18" fillId="2" borderId="12" xfId="3" applyNumberFormat="1" applyFont="1" applyFill="1" applyBorder="1" applyAlignment="1">
      <alignment horizontal="center"/>
    </xf>
    <xf numFmtId="195" fontId="18" fillId="17" borderId="12" xfId="3" applyNumberFormat="1" applyFont="1" applyFill="1" applyBorder="1" applyAlignment="1">
      <alignment horizontal="center"/>
    </xf>
    <xf numFmtId="195" fontId="18" fillId="2" borderId="11" xfId="3" applyNumberFormat="1" applyFont="1" applyFill="1" applyBorder="1" applyAlignment="1">
      <alignment horizontal="center"/>
    </xf>
    <xf numFmtId="195" fontId="18" fillId="2" borderId="58" xfId="3" applyNumberFormat="1" applyFont="1" applyFill="1" applyBorder="1" applyAlignment="1">
      <alignment horizontal="center"/>
    </xf>
    <xf numFmtId="2" fontId="18" fillId="2" borderId="44" xfId="0" applyNumberFormat="1" applyFont="1" applyFill="1" applyBorder="1" applyAlignment="1">
      <alignment horizontal="left"/>
    </xf>
    <xf numFmtId="195" fontId="18" fillId="2" borderId="16" xfId="3" applyNumberFormat="1" applyFont="1" applyFill="1" applyBorder="1"/>
    <xf numFmtId="195" fontId="18" fillId="2" borderId="15" xfId="3" applyNumberFormat="1" applyFont="1" applyFill="1" applyBorder="1"/>
    <xf numFmtId="195" fontId="18" fillId="2" borderId="56" xfId="3" applyNumberFormat="1" applyFont="1" applyFill="1" applyBorder="1"/>
    <xf numFmtId="195" fontId="24" fillId="2" borderId="20" xfId="0" applyNumberFormat="1" applyFont="1" applyFill="1" applyBorder="1"/>
    <xf numFmtId="0" fontId="0" fillId="2" borderId="10" xfId="0" applyFill="1" applyBorder="1"/>
    <xf numFmtId="0" fontId="0" fillId="2" borderId="12" xfId="0" applyFill="1" applyBorder="1"/>
    <xf numFmtId="0" fontId="0" fillId="2" borderId="11" xfId="0" applyFill="1" applyBorder="1"/>
    <xf numFmtId="189" fontId="18" fillId="2" borderId="58" xfId="0" applyNumberFormat="1" applyFont="1" applyFill="1" applyBorder="1" applyAlignment="1">
      <alignment horizontal="center"/>
    </xf>
    <xf numFmtId="0" fontId="18" fillId="2" borderId="44" xfId="0" applyFont="1" applyFill="1" applyBorder="1"/>
    <xf numFmtId="1" fontId="39" fillId="55" borderId="10" xfId="0" applyNumberFormat="1" applyFont="1" applyFill="1" applyBorder="1" applyAlignment="1">
      <alignment horizontal="center"/>
    </xf>
    <xf numFmtId="1" fontId="39" fillId="16" borderId="10" xfId="0" applyNumberFormat="1" applyFont="1" applyFill="1" applyBorder="1" applyAlignment="1">
      <alignment horizontal="center"/>
    </xf>
    <xf numFmtId="1" fontId="39" fillId="2" borderId="10" xfId="0" applyNumberFormat="1" applyFont="1" applyFill="1" applyBorder="1" applyAlignment="1">
      <alignment horizontal="center"/>
    </xf>
    <xf numFmtId="1" fontId="39" fillId="55" borderId="12" xfId="0" applyNumberFormat="1" applyFont="1" applyFill="1" applyBorder="1" applyAlignment="1">
      <alignment horizontal="center"/>
    </xf>
    <xf numFmtId="1" fontId="39" fillId="16" borderId="12" xfId="0" applyNumberFormat="1" applyFont="1" applyFill="1" applyBorder="1" applyAlignment="1">
      <alignment horizontal="center"/>
    </xf>
    <xf numFmtId="1" fontId="39" fillId="2" borderId="12" xfId="0" applyNumberFormat="1" applyFont="1" applyFill="1" applyBorder="1" applyAlignment="1">
      <alignment horizontal="center"/>
    </xf>
    <xf numFmtId="1" fontId="0" fillId="55" borderId="12" xfId="0" applyNumberFormat="1" applyFill="1" applyBorder="1"/>
    <xf numFmtId="1" fontId="39" fillId="16" borderId="11" xfId="0" applyNumberFormat="1" applyFont="1" applyFill="1" applyBorder="1" applyAlignment="1">
      <alignment horizontal="center"/>
    </xf>
    <xf numFmtId="1" fontId="0" fillId="55" borderId="11" xfId="0" applyNumberFormat="1" applyFill="1" applyBorder="1"/>
    <xf numFmtId="1" fontId="39" fillId="55" borderId="11" xfId="0" applyNumberFormat="1" applyFont="1" applyFill="1" applyBorder="1" applyAlignment="1">
      <alignment horizontal="center"/>
    </xf>
    <xf numFmtId="1" fontId="39" fillId="2" borderId="11" xfId="0" applyNumberFormat="1" applyFont="1" applyFill="1" applyBorder="1" applyAlignment="1">
      <alignment horizontal="center"/>
    </xf>
    <xf numFmtId="1" fontId="67" fillId="2" borderId="0" xfId="0" applyNumberFormat="1" applyFont="1" applyFill="1"/>
    <xf numFmtId="0" fontId="28" fillId="0" borderId="0" xfId="0" applyFont="1" applyAlignment="1">
      <alignment vertical="center"/>
    </xf>
    <xf numFmtId="0" fontId="18" fillId="2" borderId="0" xfId="12" applyFont="1" applyFill="1" applyAlignment="1">
      <alignment vertical="center" wrapText="1"/>
    </xf>
    <xf numFmtId="173" fontId="94" fillId="2" borderId="56" xfId="3" applyNumberFormat="1" applyFont="1" applyFill="1" applyBorder="1" applyAlignment="1">
      <alignment horizontal="center" vertical="center"/>
    </xf>
    <xf numFmtId="173" fontId="94" fillId="2" borderId="15" xfId="3" applyNumberFormat="1" applyFont="1" applyFill="1" applyBorder="1" applyAlignment="1">
      <alignment horizontal="center" vertical="center"/>
    </xf>
    <xf numFmtId="4" fontId="18" fillId="0" borderId="18" xfId="5" applyNumberFormat="1" applyFont="1" applyBorder="1" applyAlignment="1">
      <alignment horizontal="center" vertical="center"/>
    </xf>
    <xf numFmtId="3" fontId="18" fillId="2" borderId="15" xfId="0" applyNumberFormat="1" applyFont="1" applyFill="1" applyBorder="1" applyAlignment="1">
      <alignment horizontal="center" vertical="center"/>
    </xf>
    <xf numFmtId="3" fontId="18" fillId="2" borderId="12" xfId="0" applyNumberFormat="1" applyFont="1" applyFill="1" applyBorder="1" applyAlignment="1">
      <alignment horizontal="center"/>
    </xf>
    <xf numFmtId="3" fontId="18" fillId="0" borderId="28" xfId="5" applyNumberFormat="1" applyFont="1" applyBorder="1" applyAlignment="1">
      <alignment horizontal="center" vertical="center"/>
    </xf>
    <xf numFmtId="3" fontId="18" fillId="2" borderId="9" xfId="0" applyNumberFormat="1" applyFont="1" applyFill="1" applyBorder="1" applyAlignment="1">
      <alignment horizontal="center" vertical="center"/>
    </xf>
    <xf numFmtId="3" fontId="18" fillId="2" borderId="17" xfId="0" applyNumberFormat="1" applyFont="1" applyFill="1" applyBorder="1" applyAlignment="1">
      <alignment horizontal="center"/>
    </xf>
    <xf numFmtId="3" fontId="18" fillId="2" borderId="19" xfId="0" applyNumberFormat="1" applyFont="1" applyFill="1" applyBorder="1" applyAlignment="1">
      <alignment horizontal="center"/>
    </xf>
    <xf numFmtId="3" fontId="18" fillId="2" borderId="31" xfId="0" applyNumberFormat="1" applyFont="1" applyFill="1" applyBorder="1" applyAlignment="1">
      <alignment horizontal="center"/>
    </xf>
    <xf numFmtId="3" fontId="18" fillId="7" borderId="9" xfId="0" applyNumberFormat="1" applyFont="1" applyFill="1" applyBorder="1" applyAlignment="1">
      <alignment horizontal="center"/>
    </xf>
    <xf numFmtId="0" fontId="18" fillId="6" borderId="0" xfId="6" applyFont="1" applyFill="1"/>
    <xf numFmtId="3" fontId="18" fillId="7" borderId="9" xfId="5" applyNumberFormat="1" applyFont="1" applyFill="1" applyBorder="1" applyAlignment="1">
      <alignment horizontal="center"/>
    </xf>
    <xf numFmtId="3" fontId="18" fillId="7" borderId="15" xfId="0" applyNumberFormat="1" applyFont="1" applyFill="1" applyBorder="1" applyAlignment="1">
      <alignment horizontal="center"/>
    </xf>
    <xf numFmtId="3" fontId="18" fillId="0" borderId="9" xfId="0" applyNumberFormat="1" applyFont="1" applyBorder="1" applyAlignment="1">
      <alignment horizontal="center"/>
    </xf>
    <xf numFmtId="3" fontId="18" fillId="0" borderId="15" xfId="0" applyNumberFormat="1" applyFont="1" applyBorder="1" applyAlignment="1">
      <alignment horizontal="center"/>
    </xf>
    <xf numFmtId="1" fontId="13" fillId="2" borderId="0" xfId="12" applyNumberFormat="1" applyFont="1" applyFill="1" applyAlignment="1">
      <alignment horizontal="center"/>
    </xf>
    <xf numFmtId="192" fontId="13" fillId="2" borderId="0" xfId="3" applyNumberFormat="1" applyFont="1" applyFill="1" applyBorder="1" applyAlignment="1">
      <alignment horizontal="center"/>
    </xf>
    <xf numFmtId="9" fontId="18" fillId="2" borderId="81" xfId="14" applyFont="1" applyFill="1" applyBorder="1" applyAlignment="1">
      <alignment horizontal="center" vertical="center"/>
    </xf>
    <xf numFmtId="3" fontId="21" fillId="4" borderId="75" xfId="12" applyNumberFormat="1" applyFont="1" applyFill="1" applyBorder="1" applyAlignment="1">
      <alignment horizontal="center" vertical="center"/>
    </xf>
    <xf numFmtId="0" fontId="18" fillId="2" borderId="0" xfId="12" applyFont="1" applyFill="1" applyAlignment="1">
      <alignment horizontal="left"/>
    </xf>
    <xf numFmtId="189" fontId="25" fillId="16" borderId="6" xfId="3" applyNumberFormat="1" applyFont="1" applyFill="1" applyBorder="1" applyAlignment="1">
      <alignment horizontal="center" vertical="center"/>
    </xf>
    <xf numFmtId="9" fontId="25" fillId="2" borderId="0" xfId="4" applyFont="1" applyFill="1"/>
    <xf numFmtId="186" fontId="25" fillId="2" borderId="0" xfId="12" applyNumberFormat="1" applyFont="1" applyFill="1" applyAlignment="1">
      <alignment horizontal="center"/>
    </xf>
    <xf numFmtId="185" fontId="18" fillId="2" borderId="31" xfId="3" applyNumberFormat="1" applyFont="1" applyFill="1" applyBorder="1" applyAlignment="1">
      <alignment horizontal="center"/>
    </xf>
    <xf numFmtId="172" fontId="18" fillId="2" borderId="16" xfId="10" applyNumberFormat="1" applyFont="1" applyFill="1" applyBorder="1" applyAlignment="1">
      <alignment horizontal="center" vertical="center"/>
    </xf>
    <xf numFmtId="197" fontId="18" fillId="2" borderId="0" xfId="3" applyNumberFormat="1" applyFont="1" applyFill="1" applyAlignment="1">
      <alignment horizontal="left" vertical="top" wrapText="1"/>
    </xf>
    <xf numFmtId="184" fontId="18" fillId="2" borderId="0" xfId="0" applyNumberFormat="1" applyFont="1" applyFill="1"/>
    <xf numFmtId="195" fontId="18" fillId="2" borderId="0" xfId="12" applyNumberFormat="1" applyFont="1" applyFill="1"/>
    <xf numFmtId="211" fontId="25" fillId="2" borderId="0" xfId="3" applyNumberFormat="1" applyFont="1" applyFill="1"/>
    <xf numFmtId="177" fontId="25" fillId="2" borderId="0" xfId="12" applyNumberFormat="1" applyFont="1" applyFill="1"/>
    <xf numFmtId="10" fontId="18" fillId="2" borderId="0" xfId="4" applyNumberFormat="1" applyFont="1" applyFill="1" applyAlignment="1">
      <alignment vertical="top" wrapText="1"/>
    </xf>
    <xf numFmtId="176" fontId="18" fillId="2" borderId="0" xfId="14" applyNumberFormat="1" applyFont="1" applyFill="1"/>
    <xf numFmtId="176" fontId="25" fillId="2" borderId="0" xfId="4" applyNumberFormat="1" applyFont="1" applyFill="1"/>
    <xf numFmtId="9" fontId="25" fillId="2" borderId="0" xfId="12" applyNumberFormat="1" applyFont="1" applyFill="1" applyAlignment="1">
      <alignment horizontal="left" wrapText="1"/>
    </xf>
    <xf numFmtId="2" fontId="18" fillId="2" borderId="0" xfId="12" applyNumberFormat="1" applyFont="1" applyFill="1" applyAlignment="1">
      <alignment wrapText="1"/>
    </xf>
    <xf numFmtId="2" fontId="25" fillId="2" borderId="0" xfId="12" applyNumberFormat="1" applyFont="1" applyFill="1"/>
    <xf numFmtId="2" fontId="25" fillId="2" borderId="0" xfId="3" applyNumberFormat="1" applyFont="1" applyFill="1"/>
    <xf numFmtId="2" fontId="25" fillId="2" borderId="0" xfId="4" applyNumberFormat="1" applyFont="1" applyFill="1"/>
    <xf numFmtId="0" fontId="190" fillId="0" borderId="0" xfId="2" applyFont="1" applyAlignment="1">
      <alignment wrapText="1"/>
    </xf>
    <xf numFmtId="3" fontId="18" fillId="6" borderId="0" xfId="14" applyNumberFormat="1" applyFont="1" applyFill="1" applyBorder="1" applyAlignment="1">
      <alignment horizontal="center" vertical="center"/>
    </xf>
    <xf numFmtId="0" fontId="28" fillId="0" borderId="0" xfId="0" applyFont="1"/>
    <xf numFmtId="195" fontId="0" fillId="2" borderId="0" xfId="0" applyNumberFormat="1" applyFill="1"/>
    <xf numFmtId="172" fontId="18" fillId="0" borderId="24" xfId="10" applyNumberFormat="1" applyFont="1" applyFill="1" applyBorder="1" applyAlignment="1">
      <alignment horizontal="center"/>
    </xf>
    <xf numFmtId="3" fontId="13" fillId="2" borderId="26" xfId="5" applyNumberFormat="1" applyFont="1" applyFill="1" applyBorder="1" applyAlignment="1">
      <alignment horizontal="center"/>
    </xf>
    <xf numFmtId="189" fontId="13" fillId="7" borderId="15" xfId="3" applyNumberFormat="1" applyFont="1" applyFill="1" applyBorder="1" applyAlignment="1">
      <alignment horizontal="center" vertical="center"/>
    </xf>
    <xf numFmtId="1" fontId="18" fillId="2" borderId="16" xfId="5" applyNumberFormat="1" applyFont="1" applyFill="1" applyBorder="1" applyAlignment="1">
      <alignment horizontal="center" vertical="center"/>
    </xf>
    <xf numFmtId="1" fontId="18" fillId="2" borderId="3" xfId="5" applyNumberFormat="1" applyFont="1" applyFill="1" applyBorder="1" applyAlignment="1">
      <alignment horizontal="center" vertical="center"/>
    </xf>
    <xf numFmtId="1" fontId="18" fillId="2" borderId="15" xfId="5" applyNumberFormat="1" applyFont="1" applyFill="1" applyBorder="1" applyAlignment="1">
      <alignment horizontal="center" vertical="center"/>
    </xf>
    <xf numFmtId="3" fontId="1" fillId="0" borderId="0" xfId="0" applyNumberFormat="1" applyFont="1" applyAlignment="1">
      <alignment horizontal="right"/>
    </xf>
    <xf numFmtId="172" fontId="18" fillId="0" borderId="31" xfId="10" applyNumberFormat="1" applyFont="1" applyFill="1" applyBorder="1" applyAlignment="1">
      <alignment horizontal="center"/>
    </xf>
    <xf numFmtId="2" fontId="18" fillId="2" borderId="0" xfId="0" applyNumberFormat="1" applyFont="1" applyFill="1"/>
    <xf numFmtId="172" fontId="24" fillId="2" borderId="0" xfId="5" applyNumberFormat="1" applyFont="1" applyFill="1" applyAlignment="1">
      <alignment horizontal="center" wrapText="1"/>
    </xf>
    <xf numFmtId="2" fontId="32" fillId="2" borderId="0" xfId="5" applyNumberFormat="1" applyFont="1" applyFill="1"/>
    <xf numFmtId="181" fontId="18" fillId="2" borderId="0" xfId="5" applyNumberFormat="1" applyFont="1" applyFill="1" applyAlignment="1">
      <alignment horizontal="center"/>
    </xf>
    <xf numFmtId="2" fontId="18" fillId="2" borderId="26" xfId="12" applyNumberFormat="1" applyFont="1" applyFill="1" applyBorder="1" applyAlignment="1">
      <alignment horizontal="center" vertical="center"/>
    </xf>
    <xf numFmtId="0" fontId="25" fillId="2" borderId="0" xfId="4" applyNumberFormat="1" applyFont="1" applyFill="1"/>
    <xf numFmtId="0" fontId="4" fillId="2" borderId="0" xfId="1" applyFill="1" applyAlignment="1">
      <alignment horizontal="right"/>
    </xf>
    <xf numFmtId="0" fontId="13" fillId="0" borderId="0" xfId="0" applyFont="1"/>
    <xf numFmtId="195" fontId="25" fillId="2" borderId="0" xfId="4" applyNumberFormat="1" applyFont="1" applyFill="1"/>
    <xf numFmtId="3" fontId="21" fillId="13" borderId="69" xfId="12" applyNumberFormat="1" applyFont="1" applyFill="1" applyBorder="1" applyAlignment="1">
      <alignment horizontal="center" vertical="center"/>
    </xf>
    <xf numFmtId="1" fontId="18" fillId="7" borderId="70" xfId="14" applyNumberFormat="1" applyFont="1" applyFill="1" applyBorder="1" applyAlignment="1">
      <alignment horizontal="center" vertical="center"/>
    </xf>
    <xf numFmtId="4" fontId="25" fillId="2" borderId="0" xfId="12" applyNumberFormat="1" applyFont="1" applyFill="1"/>
    <xf numFmtId="1" fontId="0" fillId="2" borderId="0" xfId="3" applyNumberFormat="1" applyFont="1" applyFill="1"/>
    <xf numFmtId="172" fontId="21" fillId="4" borderId="101" xfId="5" applyNumberFormat="1" applyFont="1" applyFill="1" applyBorder="1" applyAlignment="1">
      <alignment horizontal="center"/>
    </xf>
    <xf numFmtId="172" fontId="21" fillId="4" borderId="99" xfId="5" applyNumberFormat="1" applyFont="1" applyFill="1" applyBorder="1" applyAlignment="1">
      <alignment horizontal="center"/>
    </xf>
    <xf numFmtId="172" fontId="21" fillId="4" borderId="101" xfId="5" applyNumberFormat="1" applyFont="1" applyFill="1" applyBorder="1" applyAlignment="1">
      <alignment horizontal="center" vertical="center"/>
    </xf>
    <xf numFmtId="170" fontId="13" fillId="2" borderId="0" xfId="12" applyNumberFormat="1" applyFont="1" applyFill="1" applyAlignment="1">
      <alignment horizontal="center"/>
    </xf>
    <xf numFmtId="212" fontId="18" fillId="2" borderId="0" xfId="0" applyNumberFormat="1" applyFont="1" applyFill="1"/>
    <xf numFmtId="193" fontId="18" fillId="2" borderId="39" xfId="0" applyNumberFormat="1" applyFont="1" applyFill="1" applyBorder="1" applyAlignment="1">
      <alignment horizontal="center"/>
    </xf>
    <xf numFmtId="193" fontId="18" fillId="2" borderId="6" xfId="0" applyNumberFormat="1" applyFont="1" applyFill="1" applyBorder="1" applyAlignment="1">
      <alignment horizontal="center"/>
    </xf>
    <xf numFmtId="189" fontId="18" fillId="2" borderId="15" xfId="3" applyNumberFormat="1" applyFont="1" applyFill="1" applyBorder="1" applyAlignment="1">
      <alignment horizontal="center"/>
    </xf>
    <xf numFmtId="1" fontId="18" fillId="2" borderId="7" xfId="5" applyNumberFormat="1" applyFont="1" applyFill="1" applyBorder="1" applyAlignment="1">
      <alignment horizontal="center" vertical="center"/>
    </xf>
    <xf numFmtId="1" fontId="18" fillId="2" borderId="21" xfId="5" applyNumberFormat="1" applyFont="1" applyFill="1" applyBorder="1" applyAlignment="1">
      <alignment horizontal="center" vertical="center"/>
    </xf>
    <xf numFmtId="1" fontId="18" fillId="2" borderId="9" xfId="5" applyNumberFormat="1" applyFont="1" applyFill="1" applyBorder="1" applyAlignment="1">
      <alignment horizontal="center" vertical="center"/>
    </xf>
    <xf numFmtId="3" fontId="18" fillId="0" borderId="11" xfId="0" applyNumberFormat="1" applyFont="1" applyBorder="1" applyAlignment="1">
      <alignment horizontal="center" vertical="center"/>
    </xf>
    <xf numFmtId="213" fontId="25" fillId="2" borderId="0" xfId="3" applyNumberFormat="1" applyFont="1" applyFill="1"/>
    <xf numFmtId="1" fontId="18" fillId="2" borderId="10" xfId="5" applyNumberFormat="1" applyFont="1" applyFill="1" applyBorder="1" applyAlignment="1">
      <alignment horizontal="center" vertical="center"/>
    </xf>
    <xf numFmtId="1" fontId="18" fillId="2" borderId="12" xfId="5" applyNumberFormat="1" applyFont="1" applyFill="1" applyBorder="1" applyAlignment="1">
      <alignment horizontal="center" vertical="center"/>
    </xf>
    <xf numFmtId="1" fontId="18" fillId="2" borderId="11" xfId="5" applyNumberFormat="1" applyFont="1" applyFill="1" applyBorder="1" applyAlignment="1">
      <alignment horizontal="center" vertical="center"/>
    </xf>
    <xf numFmtId="0" fontId="25" fillId="2" borderId="0" xfId="3" applyNumberFormat="1" applyFont="1" applyFill="1"/>
    <xf numFmtId="193" fontId="25" fillId="2" borderId="0" xfId="12" applyNumberFormat="1" applyFont="1" applyFill="1"/>
    <xf numFmtId="177" fontId="36" fillId="2" borderId="0" xfId="3" applyNumberFormat="1" applyFont="1" applyFill="1"/>
    <xf numFmtId="196" fontId="39" fillId="2" borderId="0" xfId="0" applyNumberFormat="1" applyFont="1" applyFill="1" applyAlignment="1">
      <alignment horizontal="center" vertical="top" wrapText="1"/>
    </xf>
    <xf numFmtId="3" fontId="13" fillId="6" borderId="101" xfId="12" applyNumberFormat="1" applyFont="1" applyFill="1" applyBorder="1" applyAlignment="1">
      <alignment horizontal="center"/>
    </xf>
    <xf numFmtId="3" fontId="65" fillId="6" borderId="101" xfId="12" applyNumberFormat="1" applyFont="1" applyFill="1" applyBorder="1" applyAlignment="1">
      <alignment horizontal="center"/>
    </xf>
    <xf numFmtId="1" fontId="13" fillId="7" borderId="101" xfId="12" applyNumberFormat="1" applyFont="1" applyFill="1" applyBorder="1" applyAlignment="1">
      <alignment horizontal="center"/>
    </xf>
    <xf numFmtId="1" fontId="18" fillId="2" borderId="25" xfId="5" applyNumberFormat="1" applyFont="1" applyFill="1" applyBorder="1" applyAlignment="1">
      <alignment horizontal="center" vertical="center"/>
    </xf>
    <xf numFmtId="14" fontId="0" fillId="2" borderId="0" xfId="0" applyNumberFormat="1" applyFill="1" applyAlignment="1" applyProtection="1">
      <alignment horizontal="left" vertical="top"/>
      <protection locked="0"/>
    </xf>
    <xf numFmtId="0" fontId="13" fillId="2" borderId="0" xfId="0" applyFont="1" applyFill="1" applyAlignment="1">
      <alignment horizontal="left" vertical="center"/>
    </xf>
    <xf numFmtId="3" fontId="18" fillId="2" borderId="30" xfId="0" applyNumberFormat="1" applyFont="1" applyFill="1" applyBorder="1" applyAlignment="1">
      <alignment horizontal="center"/>
    </xf>
    <xf numFmtId="3" fontId="18" fillId="2" borderId="16" xfId="0" applyNumberFormat="1" applyFont="1" applyFill="1" applyBorder="1" applyAlignment="1">
      <alignment horizontal="center"/>
    </xf>
    <xf numFmtId="3" fontId="18" fillId="2" borderId="21" xfId="0" applyNumberFormat="1" applyFont="1" applyFill="1" applyBorder="1" applyAlignment="1">
      <alignment horizontal="center"/>
    </xf>
    <xf numFmtId="3" fontId="18" fillId="0" borderId="17" xfId="0" applyNumberFormat="1" applyFont="1" applyBorder="1" applyAlignment="1">
      <alignment horizontal="center"/>
    </xf>
    <xf numFmtId="3" fontId="18" fillId="2" borderId="20" xfId="0" applyNumberFormat="1" applyFont="1" applyFill="1" applyBorder="1" applyAlignment="1">
      <alignment horizontal="center"/>
    </xf>
    <xf numFmtId="0" fontId="21" fillId="4" borderId="25" xfId="0" applyFont="1" applyFill="1" applyBorder="1" applyAlignment="1">
      <alignment vertical="top" wrapText="1"/>
    </xf>
    <xf numFmtId="172" fontId="24" fillId="4" borderId="108" xfId="5" applyNumberFormat="1" applyFont="1" applyFill="1" applyBorder="1"/>
    <xf numFmtId="0" fontId="18" fillId="6" borderId="108" xfId="6" applyFont="1" applyFill="1" applyBorder="1"/>
    <xf numFmtId="0" fontId="18" fillId="7" borderId="109" xfId="12" applyFont="1" applyFill="1" applyBorder="1" applyAlignment="1">
      <alignment horizontal="center" vertical="center"/>
    </xf>
    <xf numFmtId="2" fontId="18" fillId="2" borderId="108" xfId="12" applyNumberFormat="1" applyFont="1" applyFill="1" applyBorder="1" applyAlignment="1">
      <alignment horizontal="center" vertical="center"/>
    </xf>
    <xf numFmtId="2" fontId="18" fillId="7" borderId="108" xfId="12" applyNumberFormat="1" applyFont="1" applyFill="1" applyBorder="1" applyAlignment="1">
      <alignment horizontal="center" vertical="center"/>
    </xf>
    <xf numFmtId="2" fontId="18" fillId="7" borderId="0" xfId="12" applyNumberFormat="1" applyFont="1" applyFill="1" applyAlignment="1">
      <alignment horizontal="center" vertical="center"/>
    </xf>
    <xf numFmtId="2" fontId="24" fillId="2" borderId="108" xfId="12" applyNumberFormat="1" applyFont="1" applyFill="1" applyBorder="1" applyAlignment="1">
      <alignment horizontal="center" vertical="center"/>
    </xf>
    <xf numFmtId="9" fontId="18" fillId="2" borderId="108" xfId="14" applyFont="1" applyFill="1" applyBorder="1" applyAlignment="1">
      <alignment horizontal="center" vertical="center"/>
    </xf>
    <xf numFmtId="2" fontId="24" fillId="7" borderId="0" xfId="12" applyNumberFormat="1" applyFont="1" applyFill="1" applyAlignment="1">
      <alignment horizontal="center" vertical="center"/>
    </xf>
    <xf numFmtId="166" fontId="18" fillId="2" borderId="108" xfId="3" applyFont="1" applyFill="1" applyBorder="1" applyAlignment="1">
      <alignment horizontal="center" vertical="center"/>
    </xf>
    <xf numFmtId="0" fontId="18" fillId="7" borderId="0" xfId="12" applyFont="1" applyFill="1" applyAlignment="1">
      <alignment horizontal="center" vertical="center"/>
    </xf>
    <xf numFmtId="0" fontId="18" fillId="7" borderId="108" xfId="12" applyFont="1" applyFill="1" applyBorder="1" applyAlignment="1">
      <alignment horizontal="center" vertical="center"/>
    </xf>
    <xf numFmtId="0" fontId="18" fillId="6" borderId="0" xfId="12" applyFont="1" applyFill="1" applyAlignment="1">
      <alignment horizontal="center" vertical="center"/>
    </xf>
    <xf numFmtId="9" fontId="18" fillId="7" borderId="108" xfId="14" applyFont="1" applyFill="1" applyBorder="1" applyAlignment="1">
      <alignment horizontal="center" vertical="center"/>
    </xf>
    <xf numFmtId="185" fontId="18" fillId="2" borderId="108" xfId="3" applyNumberFormat="1" applyFont="1" applyFill="1" applyBorder="1" applyAlignment="1">
      <alignment horizontal="center" vertical="center" wrapText="1"/>
    </xf>
    <xf numFmtId="181" fontId="18" fillId="2" borderId="108" xfId="14" applyNumberFormat="1" applyFont="1" applyFill="1" applyBorder="1" applyAlignment="1">
      <alignment horizontal="center" vertical="center"/>
    </xf>
    <xf numFmtId="3" fontId="18" fillId="2" borderId="108" xfId="12" applyNumberFormat="1" applyFont="1" applyFill="1" applyBorder="1" applyAlignment="1">
      <alignment horizontal="center" vertical="center"/>
    </xf>
    <xf numFmtId="3" fontId="18" fillId="7" borderId="108" xfId="12" applyNumberFormat="1" applyFont="1" applyFill="1" applyBorder="1" applyAlignment="1">
      <alignment horizontal="center" vertical="center"/>
    </xf>
    <xf numFmtId="4" fontId="18" fillId="2" borderId="108" xfId="12" applyNumberFormat="1" applyFont="1" applyFill="1" applyBorder="1" applyAlignment="1">
      <alignment horizontal="center" vertical="center"/>
    </xf>
    <xf numFmtId="4" fontId="18" fillId="2" borderId="112" xfId="12" applyNumberFormat="1" applyFont="1" applyFill="1" applyBorder="1" applyAlignment="1">
      <alignment horizontal="center" vertical="center"/>
    </xf>
    <xf numFmtId="4" fontId="18" fillId="2" borderId="94" xfId="12" applyNumberFormat="1" applyFont="1" applyFill="1" applyBorder="1" applyAlignment="1">
      <alignment horizontal="center" vertical="center"/>
    </xf>
    <xf numFmtId="2" fontId="18" fillId="2" borderId="4" xfId="12" applyNumberFormat="1" applyFont="1" applyFill="1" applyBorder="1" applyAlignment="1">
      <alignment horizontal="center" vertical="center"/>
    </xf>
    <xf numFmtId="2" fontId="24" fillId="2" borderId="4" xfId="12" applyNumberFormat="1" applyFont="1" applyFill="1" applyBorder="1" applyAlignment="1">
      <alignment horizontal="center" vertical="center"/>
    </xf>
    <xf numFmtId="9" fontId="18" fillId="2" borderId="4" xfId="14" applyFont="1" applyFill="1" applyBorder="1" applyAlignment="1">
      <alignment horizontal="center" vertical="center"/>
    </xf>
    <xf numFmtId="2" fontId="18" fillId="2" borderId="4" xfId="14" applyNumberFormat="1" applyFont="1" applyFill="1" applyBorder="1" applyAlignment="1">
      <alignment horizontal="center" vertical="center"/>
    </xf>
    <xf numFmtId="4" fontId="39" fillId="2" borderId="4" xfId="0" applyNumberFormat="1" applyFont="1" applyFill="1" applyBorder="1" applyAlignment="1">
      <alignment horizontal="center" vertical="center" wrapText="1"/>
    </xf>
    <xf numFmtId="2" fontId="39" fillId="2" borderId="4" xfId="0" applyNumberFormat="1" applyFont="1" applyFill="1" applyBorder="1" applyAlignment="1">
      <alignment horizontal="center" vertical="center" wrapText="1"/>
    </xf>
    <xf numFmtId="4" fontId="24" fillId="2" borderId="4" xfId="12" applyNumberFormat="1" applyFont="1" applyFill="1" applyBorder="1" applyAlignment="1">
      <alignment horizontal="center" vertical="center"/>
    </xf>
    <xf numFmtId="9" fontId="18" fillId="2" borderId="111" xfId="14" applyFont="1" applyFill="1" applyBorder="1" applyAlignment="1">
      <alignment horizontal="center" vertical="center"/>
    </xf>
    <xf numFmtId="2" fontId="39" fillId="2" borderId="4" xfId="12" applyNumberFormat="1" applyFont="1" applyFill="1" applyBorder="1" applyAlignment="1">
      <alignment horizontal="center" vertical="center" wrapText="1"/>
    </xf>
    <xf numFmtId="2" fontId="39" fillId="2" borderId="4" xfId="3" applyNumberFormat="1" applyFont="1" applyFill="1" applyBorder="1" applyAlignment="1">
      <alignment horizontal="center" vertical="center" wrapText="1"/>
    </xf>
    <xf numFmtId="2" fontId="24" fillId="2" borderId="111" xfId="12" applyNumberFormat="1" applyFont="1" applyFill="1" applyBorder="1" applyAlignment="1">
      <alignment horizontal="center" vertical="center"/>
    </xf>
    <xf numFmtId="185" fontId="18" fillId="2" borderId="4" xfId="3" applyNumberFormat="1" applyFont="1" applyFill="1" applyBorder="1" applyAlignment="1">
      <alignment horizontal="center" vertical="center" wrapText="1"/>
    </xf>
    <xf numFmtId="2" fontId="18" fillId="2" borderId="4" xfId="12" applyNumberFormat="1" applyFont="1" applyFill="1" applyBorder="1" applyAlignment="1">
      <alignment horizontal="center" vertical="center" wrapText="1"/>
    </xf>
    <xf numFmtId="173" fontId="18" fillId="2" borderId="4" xfId="15" applyNumberFormat="1" applyFont="1" applyFill="1" applyBorder="1" applyAlignment="1">
      <alignment horizontal="center" vertical="center"/>
    </xf>
    <xf numFmtId="9" fontId="18" fillId="2" borderId="4" xfId="4" applyFont="1" applyFill="1" applyBorder="1" applyAlignment="1">
      <alignment horizontal="center" vertical="center"/>
    </xf>
    <xf numFmtId="4" fontId="18" fillId="2" borderId="4" xfId="12" applyNumberFormat="1" applyFont="1" applyFill="1" applyBorder="1" applyAlignment="1">
      <alignment horizontal="center" vertical="center"/>
    </xf>
    <xf numFmtId="189" fontId="18" fillId="2" borderId="64" xfId="3" applyNumberFormat="1" applyFont="1" applyFill="1" applyBorder="1" applyAlignment="1">
      <alignment horizontal="center"/>
    </xf>
    <xf numFmtId="189" fontId="18" fillId="2" borderId="64" xfId="3" applyNumberFormat="1" applyFont="1" applyFill="1" applyBorder="1" applyAlignment="1">
      <alignment horizontal="center" vertical="center"/>
    </xf>
    <xf numFmtId="1" fontId="18" fillId="7" borderId="4" xfId="14" applyNumberFormat="1" applyFont="1" applyFill="1" applyBorder="1" applyAlignment="1">
      <alignment horizontal="center" vertical="center"/>
    </xf>
    <xf numFmtId="1" fontId="18" fillId="7" borderId="110" xfId="14" applyNumberFormat="1" applyFont="1" applyFill="1" applyBorder="1" applyAlignment="1">
      <alignment horizontal="center" vertical="center"/>
    </xf>
    <xf numFmtId="0" fontId="21" fillId="4" borderId="113" xfId="12" applyFont="1" applyFill="1" applyBorder="1" applyAlignment="1">
      <alignment horizontal="center" vertical="center"/>
    </xf>
    <xf numFmtId="0" fontId="21" fillId="4" borderId="114" xfId="12" applyFont="1" applyFill="1" applyBorder="1" applyAlignment="1">
      <alignment horizontal="center" vertical="center"/>
    </xf>
    <xf numFmtId="0" fontId="59" fillId="4" borderId="115" xfId="12" applyFont="1" applyFill="1" applyBorder="1" applyAlignment="1">
      <alignment horizontal="center" vertical="center"/>
    </xf>
    <xf numFmtId="9" fontId="18" fillId="2" borderId="116" xfId="14" applyFont="1" applyFill="1" applyBorder="1" applyAlignment="1">
      <alignment horizontal="center" vertical="center"/>
    </xf>
    <xf numFmtId="0" fontId="24" fillId="6" borderId="117" xfId="12" applyFont="1" applyFill="1" applyBorder="1" applyAlignment="1">
      <alignment horizontal="left" vertical="center"/>
    </xf>
    <xf numFmtId="0" fontId="18" fillId="6" borderId="118" xfId="12" applyFont="1" applyFill="1" applyBorder="1" applyAlignment="1">
      <alignment horizontal="center" vertical="center"/>
    </xf>
    <xf numFmtId="0" fontId="18" fillId="7" borderId="119" xfId="12" applyFont="1" applyFill="1" applyBorder="1" applyAlignment="1">
      <alignment horizontal="center" vertical="center"/>
    </xf>
    <xf numFmtId="0" fontId="18" fillId="7" borderId="120" xfId="12" applyFont="1" applyFill="1" applyBorder="1" applyAlignment="1">
      <alignment horizontal="center" vertical="center"/>
    </xf>
    <xf numFmtId="0" fontId="18" fillId="6" borderId="119" xfId="12" applyFont="1" applyFill="1" applyBorder="1" applyAlignment="1">
      <alignment horizontal="center" vertical="center"/>
    </xf>
    <xf numFmtId="2" fontId="18" fillId="7" borderId="119" xfId="12" applyNumberFormat="1" applyFont="1" applyFill="1" applyBorder="1" applyAlignment="1">
      <alignment horizontal="center" vertical="center"/>
    </xf>
    <xf numFmtId="0" fontId="24" fillId="7" borderId="117" xfId="12" applyFont="1" applyFill="1" applyBorder="1" applyAlignment="1">
      <alignment vertical="center"/>
    </xf>
    <xf numFmtId="2" fontId="24" fillId="2" borderId="116" xfId="12" applyNumberFormat="1" applyFont="1" applyFill="1" applyBorder="1" applyAlignment="1">
      <alignment horizontal="center" vertical="center"/>
    </xf>
    <xf numFmtId="181" fontId="24" fillId="2" borderId="121" xfId="12" applyNumberFormat="1" applyFont="1" applyFill="1" applyBorder="1" applyAlignment="1">
      <alignment horizontal="center" vertical="center"/>
    </xf>
    <xf numFmtId="181" fontId="24" fillId="2" borderId="116" xfId="12" applyNumberFormat="1" applyFont="1" applyFill="1" applyBorder="1" applyAlignment="1">
      <alignment horizontal="center" vertical="center"/>
    </xf>
    <xf numFmtId="181" fontId="24" fillId="2" borderId="122" xfId="12" applyNumberFormat="1" applyFont="1" applyFill="1" applyBorder="1" applyAlignment="1">
      <alignment horizontal="center" vertical="center"/>
    </xf>
    <xf numFmtId="4" fontId="24" fillId="2" borderId="123" xfId="12" applyNumberFormat="1" applyFont="1" applyFill="1" applyBorder="1" applyAlignment="1">
      <alignment horizontal="center" vertical="center"/>
    </xf>
    <xf numFmtId="4" fontId="24" fillId="2" borderId="124" xfId="12" applyNumberFormat="1" applyFont="1" applyFill="1" applyBorder="1" applyAlignment="1">
      <alignment horizontal="center" vertical="center"/>
    </xf>
    <xf numFmtId="4" fontId="24" fillId="2" borderId="125" xfId="12" applyNumberFormat="1" applyFont="1" applyFill="1" applyBorder="1" applyAlignment="1">
      <alignment horizontal="center" vertical="center"/>
    </xf>
    <xf numFmtId="4" fontId="24" fillId="2" borderId="126" xfId="12" applyNumberFormat="1" applyFont="1" applyFill="1" applyBorder="1" applyAlignment="1">
      <alignment horizontal="center" vertical="center"/>
    </xf>
    <xf numFmtId="9" fontId="18" fillId="2" borderId="121" xfId="14" applyFont="1" applyFill="1" applyBorder="1" applyAlignment="1">
      <alignment horizontal="center" vertical="center"/>
    </xf>
    <xf numFmtId="2" fontId="24" fillId="7" borderId="118" xfId="12" applyNumberFormat="1" applyFont="1" applyFill="1" applyBorder="1" applyAlignment="1">
      <alignment horizontal="center" vertical="center"/>
    </xf>
    <xf numFmtId="9" fontId="18" fillId="7" borderId="119" xfId="14" applyFont="1" applyFill="1" applyBorder="1" applyAlignment="1">
      <alignment horizontal="center" vertical="center"/>
    </xf>
    <xf numFmtId="9" fontId="18" fillId="7" borderId="120" xfId="14" applyFont="1" applyFill="1" applyBorder="1" applyAlignment="1">
      <alignment horizontal="center" vertical="center"/>
    </xf>
    <xf numFmtId="0" fontId="21" fillId="4" borderId="129" xfId="12" applyFont="1" applyFill="1" applyBorder="1" applyAlignment="1">
      <alignment vertical="center"/>
    </xf>
    <xf numFmtId="185" fontId="59" fillId="4" borderId="123" xfId="12" applyNumberFormat="1" applyFont="1" applyFill="1" applyBorder="1" applyAlignment="1">
      <alignment horizontal="center" vertical="center"/>
    </xf>
    <xf numFmtId="185" fontId="59" fillId="4" borderId="124" xfId="12" applyNumberFormat="1" applyFont="1" applyFill="1" applyBorder="1" applyAlignment="1">
      <alignment horizontal="center" vertical="center"/>
    </xf>
    <xf numFmtId="185" fontId="59" fillId="4" borderId="125" xfId="12" applyNumberFormat="1" applyFont="1" applyFill="1" applyBorder="1" applyAlignment="1">
      <alignment horizontal="center" vertical="center"/>
    </xf>
    <xf numFmtId="185" fontId="59" fillId="13" borderId="126" xfId="12" applyNumberFormat="1" applyFont="1" applyFill="1" applyBorder="1" applyAlignment="1">
      <alignment horizontal="center" vertical="center"/>
    </xf>
    <xf numFmtId="9" fontId="18" fillId="2" borderId="119" xfId="14" applyFont="1" applyFill="1" applyBorder="1" applyAlignment="1">
      <alignment horizontal="center" vertical="center"/>
    </xf>
    <xf numFmtId="4" fontId="18" fillId="2" borderId="130" xfId="12" applyNumberFormat="1" applyFont="1" applyFill="1" applyBorder="1" applyAlignment="1">
      <alignment horizontal="center" vertical="center"/>
    </xf>
    <xf numFmtId="4" fontId="18" fillId="2" borderId="128" xfId="12" applyNumberFormat="1" applyFont="1" applyFill="1" applyBorder="1" applyAlignment="1">
      <alignment horizontal="center" vertical="center"/>
    </xf>
    <xf numFmtId="0" fontId="21" fillId="4" borderId="131" xfId="12" applyFont="1" applyFill="1" applyBorder="1" applyAlignment="1">
      <alignment horizontal="center" vertical="center"/>
    </xf>
    <xf numFmtId="0" fontId="24" fillId="7" borderId="117" xfId="12" applyFont="1" applyFill="1" applyBorder="1" applyAlignment="1">
      <alignment horizontal="left" vertical="center"/>
    </xf>
    <xf numFmtId="0" fontId="18" fillId="7" borderId="118" xfId="12" applyFont="1" applyFill="1" applyBorder="1" applyAlignment="1">
      <alignment horizontal="center" vertical="center"/>
    </xf>
    <xf numFmtId="3" fontId="24" fillId="2" borderId="116" xfId="12" applyNumberFormat="1" applyFont="1" applyFill="1" applyBorder="1" applyAlignment="1">
      <alignment horizontal="center" vertical="center"/>
    </xf>
    <xf numFmtId="3" fontId="24" fillId="2" borderId="121" xfId="12" applyNumberFormat="1" applyFont="1" applyFill="1" applyBorder="1" applyAlignment="1">
      <alignment horizontal="center" vertical="center"/>
    </xf>
    <xf numFmtId="3" fontId="24" fillId="2" borderId="132" xfId="12" applyNumberFormat="1" applyFont="1" applyFill="1" applyBorder="1" applyAlignment="1">
      <alignment horizontal="center" vertical="center"/>
    </xf>
    <xf numFmtId="3" fontId="18" fillId="6" borderId="119" xfId="14" applyNumberFormat="1" applyFont="1" applyFill="1" applyBorder="1" applyAlignment="1">
      <alignment horizontal="center" vertical="center"/>
    </xf>
    <xf numFmtId="3" fontId="24" fillId="2" borderId="108" xfId="12" applyNumberFormat="1" applyFont="1" applyFill="1" applyBorder="1" applyAlignment="1">
      <alignment horizontal="center" vertical="center"/>
    </xf>
    <xf numFmtId="3" fontId="24" fillId="2" borderId="116" xfId="14" applyNumberFormat="1" applyFont="1" applyFill="1" applyBorder="1" applyAlignment="1">
      <alignment horizontal="center" vertical="center"/>
    </xf>
    <xf numFmtId="3" fontId="24" fillId="2" borderId="132" xfId="14" applyNumberFormat="1" applyFont="1" applyFill="1" applyBorder="1" applyAlignment="1">
      <alignment horizontal="center" vertical="center"/>
    </xf>
    <xf numFmtId="0" fontId="22" fillId="4" borderId="120" xfId="12" applyFont="1" applyFill="1" applyBorder="1"/>
    <xf numFmtId="0" fontId="22" fillId="4" borderId="133" xfId="12" applyFont="1" applyFill="1" applyBorder="1"/>
    <xf numFmtId="0" fontId="22" fillId="4" borderId="119" xfId="12" applyFont="1" applyFill="1" applyBorder="1"/>
    <xf numFmtId="0" fontId="22" fillId="4" borderId="108" xfId="12" applyFont="1" applyFill="1" applyBorder="1"/>
    <xf numFmtId="0" fontId="22" fillId="4" borderId="139" xfId="12" applyFont="1" applyFill="1" applyBorder="1" applyAlignment="1">
      <alignment horizontal="left" vertical="center"/>
    </xf>
    <xf numFmtId="0" fontId="22" fillId="4" borderId="113" xfId="12" applyFont="1" applyFill="1" applyBorder="1" applyAlignment="1">
      <alignment horizontal="center" vertical="center" wrapText="1"/>
    </xf>
    <xf numFmtId="0" fontId="22" fillId="4" borderId="140" xfId="12" applyFont="1" applyFill="1" applyBorder="1" applyAlignment="1">
      <alignment horizontal="center" vertical="center" wrapText="1"/>
    </xf>
    <xf numFmtId="0" fontId="78" fillId="4" borderId="140" xfId="12" applyFont="1" applyFill="1" applyBorder="1" applyAlignment="1">
      <alignment horizontal="center" vertical="center" wrapText="1"/>
    </xf>
    <xf numFmtId="0" fontId="12" fillId="6" borderId="141" xfId="12" applyFont="1" applyFill="1" applyBorder="1"/>
    <xf numFmtId="0" fontId="12" fillId="6" borderId="141" xfId="12" applyFont="1" applyFill="1" applyBorder="1" applyAlignment="1">
      <alignment horizontal="center"/>
    </xf>
    <xf numFmtId="0" fontId="12" fillId="6" borderId="125" xfId="12" applyFont="1" applyFill="1" applyBorder="1" applyAlignment="1">
      <alignment horizontal="center"/>
    </xf>
    <xf numFmtId="0" fontId="12" fillId="6" borderId="139" xfId="12" applyFont="1" applyFill="1" applyBorder="1"/>
    <xf numFmtId="3" fontId="64" fillId="2" borderId="142" xfId="12" applyNumberFormat="1" applyFont="1" applyFill="1" applyBorder="1" applyAlignment="1">
      <alignment horizontal="center"/>
    </xf>
    <xf numFmtId="3" fontId="13" fillId="7" borderId="143" xfId="12" applyNumberFormat="1" applyFont="1" applyFill="1" applyBorder="1" applyAlignment="1">
      <alignment horizontal="center"/>
    </xf>
    <xf numFmtId="3" fontId="13" fillId="6" borderId="143" xfId="12" applyNumberFormat="1" applyFont="1" applyFill="1" applyBorder="1" applyAlignment="1">
      <alignment horizontal="center"/>
    </xf>
    <xf numFmtId="3" fontId="64" fillId="7" borderId="121" xfId="12" applyNumberFormat="1" applyFont="1" applyFill="1" applyBorder="1" applyAlignment="1">
      <alignment horizontal="center"/>
    </xf>
    <xf numFmtId="3" fontId="13" fillId="7" borderId="144" xfId="12" applyNumberFormat="1" applyFont="1" applyFill="1" applyBorder="1" applyAlignment="1">
      <alignment horizontal="center"/>
    </xf>
    <xf numFmtId="0" fontId="12" fillId="6" borderId="145" xfId="12" applyFont="1" applyFill="1" applyBorder="1"/>
    <xf numFmtId="3" fontId="12" fillId="6" borderId="125" xfId="12" applyNumberFormat="1" applyFont="1" applyFill="1" applyBorder="1" applyAlignment="1">
      <alignment horizontal="center"/>
    </xf>
    <xf numFmtId="3" fontId="12" fillId="6" borderId="124" xfId="12" applyNumberFormat="1" applyFont="1" applyFill="1" applyBorder="1" applyAlignment="1">
      <alignment horizontal="center"/>
    </xf>
    <xf numFmtId="3" fontId="12" fillId="6" borderId="141" xfId="12" applyNumberFormat="1" applyFont="1" applyFill="1" applyBorder="1" applyAlignment="1">
      <alignment horizontal="center"/>
    </xf>
    <xf numFmtId="0" fontId="12" fillId="6" borderId="121" xfId="12" applyFont="1" applyFill="1" applyBorder="1"/>
    <xf numFmtId="3" fontId="12" fillId="6" borderId="116" xfId="12" applyNumberFormat="1" applyFont="1" applyFill="1" applyBorder="1" applyAlignment="1">
      <alignment horizontal="center"/>
    </xf>
    <xf numFmtId="3" fontId="12" fillId="6" borderId="146" xfId="12" applyNumberFormat="1" applyFont="1" applyFill="1" applyBorder="1" applyAlignment="1">
      <alignment horizontal="center"/>
    </xf>
    <xf numFmtId="4" fontId="12" fillId="6" borderId="116" xfId="12" applyNumberFormat="1" applyFont="1" applyFill="1" applyBorder="1" applyAlignment="1">
      <alignment horizontal="center"/>
    </xf>
    <xf numFmtId="0" fontId="115" fillId="4" borderId="113" xfId="12" applyFont="1" applyFill="1" applyBorder="1" applyAlignment="1">
      <alignment horizontal="center" vertical="center" wrapText="1"/>
    </xf>
    <xf numFmtId="0" fontId="12" fillId="6" borderId="151" xfId="12" applyFont="1" applyFill="1" applyBorder="1"/>
    <xf numFmtId="0" fontId="72" fillId="6" borderId="151" xfId="12" applyFont="1" applyFill="1" applyBorder="1" applyAlignment="1">
      <alignment horizontal="center"/>
    </xf>
    <xf numFmtId="0" fontId="12" fillId="6" borderId="152" xfId="12" applyFont="1" applyFill="1" applyBorder="1" applyAlignment="1">
      <alignment horizontal="center"/>
    </xf>
    <xf numFmtId="3" fontId="13" fillId="2" borderId="142" xfId="12" applyNumberFormat="1" applyFont="1" applyFill="1" applyBorder="1" applyAlignment="1">
      <alignment horizontal="center"/>
    </xf>
    <xf numFmtId="1" fontId="13" fillId="7" borderId="143" xfId="12" applyNumberFormat="1" applyFont="1" applyFill="1" applyBorder="1" applyAlignment="1">
      <alignment horizontal="center"/>
    </xf>
    <xf numFmtId="1" fontId="13" fillId="7" borderId="153" xfId="12" applyNumberFormat="1" applyFont="1" applyFill="1" applyBorder="1" applyAlignment="1">
      <alignment horizontal="center"/>
    </xf>
    <xf numFmtId="166" fontId="4" fillId="7" borderId="143" xfId="3" applyFont="1" applyFill="1" applyBorder="1"/>
    <xf numFmtId="166" fontId="4" fillId="7" borderId="153" xfId="3" applyFont="1" applyFill="1" applyBorder="1"/>
    <xf numFmtId="3" fontId="12" fillId="6" borderId="143" xfId="12" applyNumberFormat="1" applyFont="1" applyFill="1" applyBorder="1" applyAlignment="1">
      <alignment horizontal="center"/>
    </xf>
    <xf numFmtId="3" fontId="13" fillId="6" borderId="108" xfId="12" applyNumberFormat="1" applyFont="1" applyFill="1" applyBorder="1" applyAlignment="1">
      <alignment horizontal="center"/>
    </xf>
    <xf numFmtId="1" fontId="13" fillId="7" borderId="107" xfId="12" applyNumberFormat="1" applyFont="1" applyFill="1" applyBorder="1" applyAlignment="1">
      <alignment horizontal="center"/>
    </xf>
    <xf numFmtId="1" fontId="13" fillId="0" borderId="107" xfId="12" applyNumberFormat="1" applyFont="1" applyBorder="1" applyAlignment="1">
      <alignment horizontal="center"/>
    </xf>
    <xf numFmtId="189" fontId="13" fillId="0" borderId="107" xfId="3" applyNumberFormat="1" applyFont="1" applyFill="1" applyBorder="1" applyAlignment="1">
      <alignment horizontal="center" vertical="center"/>
    </xf>
    <xf numFmtId="1" fontId="18" fillId="2" borderId="107" xfId="3" applyNumberFormat="1" applyFont="1" applyFill="1" applyBorder="1" applyAlignment="1">
      <alignment horizontal="center"/>
    </xf>
    <xf numFmtId="0" fontId="12" fillId="6" borderId="154" xfId="12" applyFont="1" applyFill="1" applyBorder="1"/>
    <xf numFmtId="3" fontId="12" fillId="6" borderId="120" xfId="12" applyNumberFormat="1" applyFont="1" applyFill="1" applyBorder="1" applyAlignment="1">
      <alignment horizontal="center"/>
    </xf>
    <xf numFmtId="3" fontId="12" fillId="6" borderId="119" xfId="12" applyNumberFormat="1" applyFont="1" applyFill="1" applyBorder="1" applyAlignment="1">
      <alignment horizontal="center"/>
    </xf>
    <xf numFmtId="4" fontId="12" fillId="6" borderId="119" xfId="12" applyNumberFormat="1" applyFont="1" applyFill="1" applyBorder="1" applyAlignment="1">
      <alignment horizontal="center"/>
    </xf>
    <xf numFmtId="3" fontId="12" fillId="6" borderId="155" xfId="12" applyNumberFormat="1" applyFont="1" applyFill="1" applyBorder="1" applyAlignment="1">
      <alignment horizontal="center"/>
    </xf>
    <xf numFmtId="180" fontId="12" fillId="6" borderId="155" xfId="12" applyNumberFormat="1" applyFont="1" applyFill="1" applyBorder="1" applyAlignment="1">
      <alignment horizontal="center"/>
    </xf>
    <xf numFmtId="4" fontId="12" fillId="6" borderId="155" xfId="12" applyNumberFormat="1" applyFont="1" applyFill="1" applyBorder="1" applyAlignment="1">
      <alignment horizontal="center"/>
    </xf>
    <xf numFmtId="0" fontId="12" fillId="6" borderId="125" xfId="12" applyFont="1" applyFill="1" applyBorder="1"/>
    <xf numFmtId="4" fontId="12" fillId="6" borderId="125" xfId="12" applyNumberFormat="1" applyFont="1" applyFill="1" applyBorder="1" applyAlignment="1">
      <alignment horizontal="center"/>
    </xf>
    <xf numFmtId="4" fontId="12" fillId="6" borderId="124" xfId="12" applyNumberFormat="1" applyFont="1" applyFill="1" applyBorder="1" applyAlignment="1">
      <alignment horizontal="center"/>
    </xf>
    <xf numFmtId="4" fontId="12" fillId="7" borderId="141" xfId="12" applyNumberFormat="1" applyFont="1" applyFill="1" applyBorder="1" applyAlignment="1">
      <alignment horizontal="center"/>
    </xf>
    <xf numFmtId="4" fontId="12" fillId="7" borderId="124" xfId="12" applyNumberFormat="1" applyFont="1" applyFill="1" applyBorder="1" applyAlignment="1">
      <alignment horizontal="center"/>
    </xf>
    <xf numFmtId="4" fontId="12" fillId="6" borderId="141" xfId="12" applyNumberFormat="1" applyFont="1" applyFill="1" applyBorder="1" applyAlignment="1">
      <alignment horizontal="center"/>
    </xf>
    <xf numFmtId="0" fontId="8" fillId="4" borderId="141" xfId="12" applyFont="1" applyFill="1" applyBorder="1" applyAlignment="1">
      <alignment vertical="top"/>
    </xf>
    <xf numFmtId="0" fontId="18" fillId="2" borderId="141" xfId="12" applyFont="1" applyFill="1" applyBorder="1"/>
    <xf numFmtId="2" fontId="24" fillId="2" borderId="141" xfId="12" applyNumberFormat="1" applyFont="1" applyFill="1" applyBorder="1" applyAlignment="1">
      <alignment horizontal="center" wrapText="1"/>
    </xf>
    <xf numFmtId="9" fontId="24" fillId="2" borderId="141" xfId="4" applyFont="1" applyFill="1" applyBorder="1" applyAlignment="1">
      <alignment horizontal="center" wrapText="1"/>
    </xf>
    <xf numFmtId="176" fontId="24" fillId="2" borderId="141" xfId="4" applyNumberFormat="1" applyFont="1" applyFill="1" applyBorder="1" applyAlignment="1">
      <alignment horizontal="center" wrapText="1"/>
    </xf>
    <xf numFmtId="2" fontId="24" fillId="2" borderId="141" xfId="12" applyNumberFormat="1" applyFont="1" applyFill="1" applyBorder="1"/>
    <xf numFmtId="166" fontId="24" fillId="2" borderId="141" xfId="3" applyFont="1" applyFill="1" applyBorder="1"/>
    <xf numFmtId="179" fontId="0" fillId="2" borderId="141" xfId="0" applyNumberFormat="1" applyFill="1" applyBorder="1"/>
    <xf numFmtId="2" fontId="18" fillId="2" borderId="141" xfId="12" applyNumberFormat="1" applyFont="1" applyFill="1" applyBorder="1"/>
    <xf numFmtId="0" fontId="24" fillId="2" borderId="141" xfId="12" applyFont="1" applyFill="1" applyBorder="1"/>
    <xf numFmtId="195" fontId="24" fillId="2" borderId="141" xfId="12" applyNumberFormat="1" applyFont="1" applyFill="1" applyBorder="1"/>
    <xf numFmtId="195" fontId="24" fillId="2" borderId="141" xfId="3" applyNumberFormat="1" applyFont="1" applyFill="1" applyBorder="1"/>
    <xf numFmtId="0" fontId="22" fillId="4" borderId="155" xfId="0" applyFont="1" applyFill="1" applyBorder="1" applyAlignment="1">
      <alignment horizontal="center" vertical="top" wrapText="1"/>
    </xf>
    <xf numFmtId="0" fontId="22" fillId="4" borderId="155" xfId="0" applyFont="1" applyFill="1" applyBorder="1" applyAlignment="1">
      <alignment horizontal="center" vertical="top"/>
    </xf>
    <xf numFmtId="0" fontId="22" fillId="4" borderId="161" xfId="0" applyFont="1" applyFill="1" applyBorder="1" applyAlignment="1">
      <alignment horizontal="center" vertical="top"/>
    </xf>
    <xf numFmtId="0" fontId="13" fillId="6" borderId="155" xfId="6" applyFont="1" applyFill="1" applyBorder="1" applyAlignment="1">
      <alignment horizontal="center"/>
    </xf>
    <xf numFmtId="189" fontId="13" fillId="2" borderId="155" xfId="3" applyNumberFormat="1" applyFont="1" applyFill="1" applyBorder="1" applyAlignment="1">
      <alignment horizontal="center" vertical="center"/>
    </xf>
    <xf numFmtId="189" fontId="13" fillId="2" borderId="161" xfId="3" applyNumberFormat="1" applyFont="1" applyFill="1" applyBorder="1" applyAlignment="1">
      <alignment horizontal="center" vertical="center"/>
    </xf>
    <xf numFmtId="0" fontId="13" fillId="6" borderId="143" xfId="6" applyFont="1" applyFill="1" applyBorder="1" applyAlignment="1">
      <alignment horizontal="center"/>
    </xf>
    <xf numFmtId="3" fontId="13" fillId="2" borderId="143" xfId="5" applyNumberFormat="1" applyFont="1" applyFill="1" applyBorder="1" applyAlignment="1">
      <alignment horizontal="center"/>
    </xf>
    <xf numFmtId="0" fontId="13" fillId="6" borderId="162" xfId="6" applyFont="1" applyFill="1" applyBorder="1" applyAlignment="1">
      <alignment horizontal="center"/>
    </xf>
    <xf numFmtId="189" fontId="13" fillId="7" borderId="162" xfId="3" applyNumberFormat="1" applyFont="1" applyFill="1" applyBorder="1" applyAlignment="1">
      <alignment horizontal="center" vertical="center"/>
    </xf>
    <xf numFmtId="189" fontId="126" fillId="7" borderId="162" xfId="3" applyNumberFormat="1" applyFont="1" applyFill="1" applyBorder="1" applyAlignment="1">
      <alignment horizontal="center" vertical="center"/>
    </xf>
    <xf numFmtId="0" fontId="22" fillId="4" borderId="163" xfId="0" applyFont="1" applyFill="1" applyBorder="1" applyAlignment="1">
      <alignment horizontal="center" vertical="top" wrapText="1"/>
    </xf>
    <xf numFmtId="0" fontId="22" fillId="4" borderId="164" xfId="0" applyFont="1" applyFill="1" applyBorder="1" applyAlignment="1">
      <alignment horizontal="center" vertical="top" wrapText="1"/>
    </xf>
    <xf numFmtId="0" fontId="22" fillId="4" borderId="165" xfId="0" applyFont="1" applyFill="1" applyBorder="1" applyAlignment="1">
      <alignment horizontal="center" vertical="top" wrapText="1"/>
    </xf>
    <xf numFmtId="0" fontId="22" fillId="4" borderId="166" xfId="0" applyFont="1" applyFill="1" applyBorder="1" applyAlignment="1">
      <alignment horizontal="center" vertical="top" wrapText="1"/>
    </xf>
    <xf numFmtId="0" fontId="22" fillId="4" borderId="167" xfId="0" applyFont="1" applyFill="1" applyBorder="1" applyAlignment="1">
      <alignment horizontal="center" vertical="top" wrapText="1"/>
    </xf>
    <xf numFmtId="0" fontId="22" fillId="4" borderId="168" xfId="0" applyFont="1" applyFill="1" applyBorder="1" applyAlignment="1">
      <alignment horizontal="center" vertical="top" wrapText="1"/>
    </xf>
    <xf numFmtId="0" fontId="22" fillId="4" borderId="162" xfId="0" applyFont="1" applyFill="1" applyBorder="1" applyAlignment="1">
      <alignment horizontal="center" vertical="top" wrapText="1"/>
    </xf>
    <xf numFmtId="0" fontId="13" fillId="6" borderId="108" xfId="6" applyFont="1" applyFill="1" applyBorder="1" applyAlignment="1">
      <alignment horizontal="center"/>
    </xf>
    <xf numFmtId="172" fontId="13" fillId="2" borderId="108" xfId="5" applyNumberFormat="1" applyFont="1" applyFill="1" applyBorder="1" applyAlignment="1">
      <alignment horizontal="center"/>
    </xf>
    <xf numFmtId="172" fontId="13" fillId="2" borderId="143" xfId="5" applyNumberFormat="1" applyFont="1" applyFill="1" applyBorder="1" applyAlignment="1">
      <alignment horizontal="center"/>
    </xf>
    <xf numFmtId="3" fontId="13" fillId="2" borderId="108" xfId="5" applyNumberFormat="1" applyFont="1" applyFill="1" applyBorder="1" applyAlignment="1">
      <alignment horizontal="center"/>
    </xf>
    <xf numFmtId="3" fontId="13" fillId="15" borderId="108" xfId="5" applyNumberFormat="1" applyFont="1" applyFill="1" applyBorder="1" applyAlignment="1">
      <alignment horizontal="center"/>
    </xf>
    <xf numFmtId="172" fontId="13" fillId="2" borderId="162" xfId="5" applyNumberFormat="1" applyFont="1" applyFill="1" applyBorder="1" applyAlignment="1">
      <alignment horizontal="center"/>
    </xf>
    <xf numFmtId="0" fontId="22" fillId="4" borderId="169" xfId="0" applyFont="1" applyFill="1" applyBorder="1" applyAlignment="1">
      <alignment horizontal="center" vertical="top" wrapText="1"/>
    </xf>
    <xf numFmtId="0" fontId="78" fillId="4" borderId="163" xfId="0" applyFont="1" applyFill="1" applyBorder="1" applyAlignment="1">
      <alignment horizontal="center" vertical="top" wrapText="1"/>
    </xf>
    <xf numFmtId="0" fontId="13" fillId="6" borderId="130" xfId="6" applyFont="1" applyFill="1" applyBorder="1" applyAlignment="1">
      <alignment horizontal="center"/>
    </xf>
    <xf numFmtId="0" fontId="59" fillId="4" borderId="156" xfId="0" applyFont="1" applyFill="1" applyBorder="1" applyAlignment="1">
      <alignment horizontal="center" vertical="center"/>
    </xf>
    <xf numFmtId="3" fontId="59" fillId="4" borderId="141" xfId="0" applyNumberFormat="1" applyFont="1" applyFill="1" applyBorder="1" applyAlignment="1">
      <alignment horizontal="center" vertical="center"/>
    </xf>
    <xf numFmtId="1" fontId="59" fillId="4" borderId="141" xfId="0" applyNumberFormat="1" applyFont="1" applyFill="1" applyBorder="1" applyAlignment="1">
      <alignment horizontal="center" vertical="center"/>
    </xf>
    <xf numFmtId="1" fontId="59" fillId="4" borderId="169" xfId="0" applyNumberFormat="1" applyFont="1" applyFill="1" applyBorder="1" applyAlignment="1">
      <alignment horizontal="center" vertical="center"/>
    </xf>
    <xf numFmtId="3" fontId="18" fillId="2" borderId="144" xfId="1" applyNumberFormat="1" applyFont="1" applyFill="1" applyBorder="1" applyAlignment="1" applyProtection="1">
      <alignment horizontal="center" vertical="center"/>
      <protection locked="0"/>
    </xf>
    <xf numFmtId="189" fontId="18" fillId="2" borderId="144" xfId="3" applyNumberFormat="1" applyFont="1" applyFill="1" applyBorder="1" applyAlignment="1">
      <alignment horizontal="center" vertical="center"/>
    </xf>
    <xf numFmtId="3" fontId="18" fillId="2" borderId="163" xfId="1" applyNumberFormat="1" applyFont="1" applyFill="1" applyBorder="1" applyAlignment="1" applyProtection="1">
      <alignment horizontal="center" vertical="center"/>
      <protection locked="0"/>
    </xf>
    <xf numFmtId="189" fontId="18" fillId="2" borderId="163" xfId="3" applyNumberFormat="1" applyFont="1" applyFill="1" applyBorder="1" applyAlignment="1">
      <alignment horizontal="center" vertical="center"/>
    </xf>
    <xf numFmtId="189" fontId="18" fillId="2" borderId="166" xfId="3" applyNumberFormat="1" applyFont="1" applyFill="1" applyBorder="1" applyAlignment="1">
      <alignment horizontal="center" vertical="center"/>
    </xf>
    <xf numFmtId="0" fontId="59" fillId="4" borderId="167" xfId="1" applyFont="1" applyFill="1" applyBorder="1" applyAlignment="1">
      <alignment wrapText="1"/>
    </xf>
    <xf numFmtId="0" fontId="59" fillId="4" borderId="163" xfId="1" applyFont="1" applyFill="1" applyBorder="1" applyAlignment="1">
      <alignment horizontal="center" wrapText="1"/>
    </xf>
    <xf numFmtId="0" fontId="59" fillId="4" borderId="163" xfId="1" applyFont="1" applyFill="1" applyBorder="1" applyAlignment="1">
      <alignment horizontal="center" vertical="center"/>
    </xf>
    <xf numFmtId="0" fontId="59" fillId="4" borderId="166" xfId="1" applyFont="1" applyFill="1" applyBorder="1" applyAlignment="1">
      <alignment horizontal="center" vertical="center" wrapText="1"/>
    </xf>
    <xf numFmtId="0" fontId="18" fillId="2" borderId="162" xfId="1" applyFont="1" applyFill="1" applyBorder="1" applyAlignment="1">
      <alignment horizontal="center" vertical="center"/>
    </xf>
    <xf numFmtId="0" fontId="15" fillId="16" borderId="162" xfId="0" applyFont="1" applyFill="1" applyBorder="1" applyAlignment="1">
      <alignment horizontal="center" vertical="center"/>
    </xf>
    <xf numFmtId="189" fontId="25" fillId="16" borderId="162" xfId="3" applyNumberFormat="1" applyFont="1" applyFill="1" applyBorder="1" applyAlignment="1">
      <alignment horizontal="center" vertical="center"/>
    </xf>
    <xf numFmtId="172" fontId="24" fillId="4" borderId="143" xfId="5" applyNumberFormat="1" applyFont="1" applyFill="1" applyBorder="1"/>
    <xf numFmtId="0" fontId="21" fillId="4" borderId="162" xfId="0" applyFont="1" applyFill="1" applyBorder="1" applyAlignment="1">
      <alignment vertical="top" wrapText="1"/>
    </xf>
    <xf numFmtId="172" fontId="21" fillId="4" borderId="162" xfId="5" applyNumberFormat="1" applyFont="1" applyFill="1" applyBorder="1" applyAlignment="1">
      <alignment horizontal="center"/>
    </xf>
    <xf numFmtId="172" fontId="21" fillId="4" borderId="163" xfId="5" applyNumberFormat="1" applyFont="1" applyFill="1" applyBorder="1" applyAlignment="1">
      <alignment horizontal="center"/>
    </xf>
    <xf numFmtId="172" fontId="21" fillId="4" borderId="168" xfId="5" applyNumberFormat="1" applyFont="1" applyFill="1" applyBorder="1" applyAlignment="1">
      <alignment horizontal="center"/>
    </xf>
    <xf numFmtId="0" fontId="18" fillId="6" borderId="143" xfId="6" applyFont="1" applyFill="1" applyBorder="1" applyAlignment="1">
      <alignment horizontal="center"/>
    </xf>
    <xf numFmtId="189" fontId="18" fillId="2" borderId="143" xfId="3" applyNumberFormat="1" applyFont="1" applyFill="1" applyBorder="1" applyAlignment="1">
      <alignment horizontal="center"/>
    </xf>
    <xf numFmtId="189" fontId="18" fillId="2" borderId="108" xfId="3" applyNumberFormat="1" applyFont="1" applyFill="1" applyBorder="1" applyAlignment="1">
      <alignment horizontal="center"/>
    </xf>
    <xf numFmtId="185" fontId="18" fillId="2" borderId="143" xfId="3" applyNumberFormat="1" applyFont="1" applyFill="1" applyBorder="1" applyAlignment="1">
      <alignment horizontal="center"/>
    </xf>
    <xf numFmtId="0" fontId="18" fillId="6" borderId="162" xfId="6" applyFont="1" applyFill="1" applyBorder="1"/>
    <xf numFmtId="189" fontId="18" fillId="7" borderId="108" xfId="3" applyNumberFormat="1" applyFont="1" applyFill="1" applyBorder="1" applyAlignment="1">
      <alignment horizontal="center"/>
    </xf>
    <xf numFmtId="189" fontId="18" fillId="7" borderId="130" xfId="3" applyNumberFormat="1" applyFont="1" applyFill="1" applyBorder="1" applyAlignment="1">
      <alignment horizontal="center"/>
    </xf>
    <xf numFmtId="189" fontId="18" fillId="7" borderId="162" xfId="3" applyNumberFormat="1" applyFont="1" applyFill="1" applyBorder="1" applyAlignment="1">
      <alignment horizontal="center"/>
    </xf>
    <xf numFmtId="185" fontId="18" fillId="7" borderId="162" xfId="3" applyNumberFormat="1" applyFont="1" applyFill="1" applyBorder="1" applyAlignment="1">
      <alignment horizontal="center"/>
    </xf>
    <xf numFmtId="172" fontId="21" fillId="4" borderId="160" xfId="5" applyNumberFormat="1" applyFont="1" applyFill="1" applyBorder="1" applyAlignment="1">
      <alignment horizontal="center"/>
    </xf>
    <xf numFmtId="172" fontId="21" fillId="4" borderId="117" xfId="5" applyNumberFormat="1" applyFont="1" applyFill="1" applyBorder="1" applyAlignment="1">
      <alignment horizontal="center"/>
    </xf>
    <xf numFmtId="172" fontId="21" fillId="4" borderId="175" xfId="5" applyNumberFormat="1" applyFont="1" applyFill="1" applyBorder="1" applyAlignment="1">
      <alignment horizontal="center"/>
    </xf>
    <xf numFmtId="172" fontId="21" fillId="4" borderId="155" xfId="5" applyNumberFormat="1" applyFont="1" applyFill="1" applyBorder="1" applyAlignment="1">
      <alignment horizontal="center"/>
    </xf>
    <xf numFmtId="172" fontId="21" fillId="4" borderId="174" xfId="5" applyNumberFormat="1" applyFont="1" applyFill="1" applyBorder="1" applyAlignment="1">
      <alignment horizontal="center"/>
    </xf>
    <xf numFmtId="172" fontId="21" fillId="4" borderId="161" xfId="5" applyNumberFormat="1" applyFont="1" applyFill="1" applyBorder="1" applyAlignment="1">
      <alignment horizontal="center"/>
    </xf>
    <xf numFmtId="172" fontId="21" fillId="4" borderId="120" xfId="5" applyNumberFormat="1" applyFont="1" applyFill="1" applyBorder="1" applyAlignment="1">
      <alignment horizontal="center"/>
    </xf>
    <xf numFmtId="172" fontId="21" fillId="4" borderId="176" xfId="5" applyNumberFormat="1" applyFont="1" applyFill="1" applyBorder="1" applyAlignment="1">
      <alignment horizontal="center"/>
    </xf>
    <xf numFmtId="172" fontId="21" fillId="4" borderId="125" xfId="5" applyNumberFormat="1" applyFont="1" applyFill="1" applyBorder="1" applyAlignment="1">
      <alignment horizontal="center" vertical="center"/>
    </xf>
    <xf numFmtId="0" fontId="21" fillId="4" borderId="141" xfId="0" applyFont="1" applyFill="1" applyBorder="1" applyAlignment="1">
      <alignment horizontal="center" vertical="center" wrapText="1"/>
    </xf>
    <xf numFmtId="0" fontId="21" fillId="4" borderId="125" xfId="0" applyFont="1" applyFill="1" applyBorder="1" applyAlignment="1">
      <alignment horizontal="center" vertical="center" wrapText="1"/>
    </xf>
    <xf numFmtId="172" fontId="21" fillId="4" borderId="141" xfId="5" applyNumberFormat="1" applyFont="1" applyFill="1" applyBorder="1" applyAlignment="1">
      <alignment horizontal="center" vertical="center"/>
    </xf>
    <xf numFmtId="172" fontId="21" fillId="4" borderId="169" xfId="5" applyNumberFormat="1" applyFont="1" applyFill="1" applyBorder="1" applyAlignment="1">
      <alignment horizontal="center" vertical="center"/>
    </xf>
    <xf numFmtId="172" fontId="21" fillId="4" borderId="159" xfId="5" applyNumberFormat="1" applyFont="1" applyFill="1" applyBorder="1" applyAlignment="1">
      <alignment horizontal="center" vertical="center"/>
    </xf>
    <xf numFmtId="172" fontId="21" fillId="4" borderId="129" xfId="5" applyNumberFormat="1" applyFont="1" applyFill="1" applyBorder="1" applyAlignment="1">
      <alignment horizontal="center" vertical="center"/>
    </xf>
    <xf numFmtId="172" fontId="21" fillId="4" borderId="175" xfId="5" applyNumberFormat="1" applyFont="1" applyFill="1" applyBorder="1" applyAlignment="1">
      <alignment horizontal="center" vertical="center"/>
    </xf>
    <xf numFmtId="3" fontId="18" fillId="2" borderId="108" xfId="5" applyNumberFormat="1" applyFont="1" applyFill="1" applyBorder="1" applyAlignment="1">
      <alignment horizontal="center" vertical="center"/>
    </xf>
    <xf numFmtId="0" fontId="21" fillId="4" borderId="125" xfId="0" applyFont="1" applyFill="1" applyBorder="1" applyAlignment="1">
      <alignment horizontal="center" wrapText="1"/>
    </xf>
    <xf numFmtId="172" fontId="21" fillId="4" borderId="125" xfId="5" applyNumberFormat="1" applyFont="1" applyFill="1" applyBorder="1" applyAlignment="1">
      <alignment horizontal="center"/>
    </xf>
    <xf numFmtId="172" fontId="21" fillId="4" borderId="169" xfId="5" applyNumberFormat="1" applyFont="1" applyFill="1" applyBorder="1" applyAlignment="1">
      <alignment horizontal="center"/>
    </xf>
    <xf numFmtId="172" fontId="21" fillId="4" borderId="150" xfId="5" applyNumberFormat="1" applyFont="1" applyFill="1" applyBorder="1" applyAlignment="1">
      <alignment horizontal="center"/>
    </xf>
    <xf numFmtId="172" fontId="21" fillId="4" borderId="146" xfId="5" applyNumberFormat="1" applyFont="1" applyFill="1" applyBorder="1" applyAlignment="1">
      <alignment horizontal="center"/>
    </xf>
    <xf numFmtId="172" fontId="21" fillId="4" borderId="141" xfId="5" applyNumberFormat="1" applyFont="1" applyFill="1" applyBorder="1" applyAlignment="1">
      <alignment horizontal="center"/>
    </xf>
    <xf numFmtId="172" fontId="21" fillId="4" borderId="155" xfId="5" applyNumberFormat="1" applyFont="1" applyFill="1" applyBorder="1" applyAlignment="1">
      <alignment horizontal="center" vertical="center"/>
    </xf>
    <xf numFmtId="0" fontId="21" fillId="4" borderId="120" xfId="0" applyFont="1" applyFill="1" applyBorder="1" applyAlignment="1">
      <alignment horizontal="center" vertical="center" wrapText="1"/>
    </xf>
    <xf numFmtId="172" fontId="21" fillId="4" borderId="161" xfId="5" applyNumberFormat="1" applyFont="1" applyFill="1" applyBorder="1" applyAlignment="1">
      <alignment horizontal="center" vertical="center"/>
    </xf>
    <xf numFmtId="172" fontId="21" fillId="4" borderId="174" xfId="5" applyNumberFormat="1" applyFont="1" applyFill="1" applyBorder="1" applyAlignment="1">
      <alignment horizontal="center" vertical="center"/>
    </xf>
    <xf numFmtId="172" fontId="21" fillId="4" borderId="150" xfId="5" applyNumberFormat="1" applyFont="1" applyFill="1" applyBorder="1" applyAlignment="1">
      <alignment horizontal="center" vertical="center"/>
    </xf>
    <xf numFmtId="0" fontId="18" fillId="6" borderId="108" xfId="6" applyFont="1" applyFill="1" applyBorder="1" applyAlignment="1">
      <alignment horizontal="center"/>
    </xf>
    <xf numFmtId="1" fontId="18" fillId="2" borderId="108" xfId="5" applyNumberFormat="1" applyFont="1" applyFill="1" applyBorder="1" applyAlignment="1">
      <alignment horizontal="center" vertical="center"/>
    </xf>
    <xf numFmtId="1" fontId="18" fillId="2" borderId="130" xfId="5" applyNumberFormat="1" applyFont="1" applyFill="1" applyBorder="1" applyAlignment="1">
      <alignment horizontal="center" vertical="center"/>
    </xf>
    <xf numFmtId="172" fontId="21" fillId="4" borderId="165" xfId="5" applyNumberFormat="1" applyFont="1" applyFill="1" applyBorder="1" applyAlignment="1">
      <alignment horizontal="center"/>
    </xf>
    <xf numFmtId="3" fontId="18" fillId="15" borderId="143" xfId="5" applyNumberFormat="1" applyFont="1" applyFill="1" applyBorder="1" applyAlignment="1">
      <alignment horizontal="center"/>
    </xf>
    <xf numFmtId="3" fontId="18" fillId="15" borderId="108" xfId="5" applyNumberFormat="1" applyFont="1" applyFill="1" applyBorder="1" applyAlignment="1">
      <alignment horizontal="center"/>
    </xf>
    <xf numFmtId="189" fontId="18" fillId="2" borderId="128" xfId="3" applyNumberFormat="1" applyFont="1" applyFill="1" applyBorder="1" applyAlignment="1">
      <alignment horizontal="center"/>
    </xf>
    <xf numFmtId="0" fontId="21" fillId="4" borderId="125" xfId="5" applyFont="1" applyFill="1" applyBorder="1" applyAlignment="1">
      <alignment horizontal="center" vertical="top"/>
    </xf>
    <xf numFmtId="0" fontId="21" fillId="4" borderId="126" xfId="5" applyFont="1" applyFill="1" applyBorder="1" applyAlignment="1">
      <alignment horizontal="center" vertical="top"/>
    </xf>
    <xf numFmtId="0" fontId="21" fillId="4" borderId="130" xfId="0" applyFont="1" applyFill="1" applyBorder="1" applyAlignment="1">
      <alignment vertical="top" wrapText="1"/>
    </xf>
    <xf numFmtId="172" fontId="59" fillId="4" borderId="155" xfId="5" applyNumberFormat="1" applyFont="1" applyFill="1" applyBorder="1" applyAlignment="1">
      <alignment horizontal="center"/>
    </xf>
    <xf numFmtId="172" fontId="21" fillId="4" borderId="167" xfId="5" applyNumberFormat="1" applyFont="1" applyFill="1" applyBorder="1" applyAlignment="1">
      <alignment horizontal="center"/>
    </xf>
    <xf numFmtId="172" fontId="21" fillId="4" borderId="163" xfId="5" applyNumberFormat="1" applyFont="1" applyFill="1" applyBorder="1" applyAlignment="1">
      <alignment horizontal="center" vertical="center"/>
    </xf>
    <xf numFmtId="172" fontId="21" fillId="4" borderId="130" xfId="5" applyNumberFormat="1" applyFont="1" applyFill="1" applyBorder="1" applyAlignment="1">
      <alignment horizontal="center" vertical="center"/>
    </xf>
    <xf numFmtId="172" fontId="21" fillId="4" borderId="166" xfId="5" applyNumberFormat="1" applyFont="1" applyFill="1" applyBorder="1" applyAlignment="1">
      <alignment horizontal="center" vertical="center"/>
    </xf>
    <xf numFmtId="3" fontId="18" fillId="2" borderId="143" xfId="0" applyNumberFormat="1" applyFont="1" applyFill="1" applyBorder="1" applyAlignment="1">
      <alignment horizontal="center"/>
    </xf>
    <xf numFmtId="3" fontId="18" fillId="7" borderId="162" xfId="0" applyNumberFormat="1" applyFont="1" applyFill="1" applyBorder="1" applyAlignment="1">
      <alignment horizontal="center"/>
    </xf>
    <xf numFmtId="3" fontId="18" fillId="7" borderId="168" xfId="0" applyNumberFormat="1" applyFont="1" applyFill="1" applyBorder="1" applyAlignment="1">
      <alignment horizontal="center"/>
    </xf>
    <xf numFmtId="3" fontId="18" fillId="7" borderId="127" xfId="0" applyNumberFormat="1" applyFont="1" applyFill="1" applyBorder="1" applyAlignment="1">
      <alignment horizontal="center"/>
    </xf>
    <xf numFmtId="3" fontId="18" fillId="7" borderId="130" xfId="5" applyNumberFormat="1" applyFont="1" applyFill="1" applyBorder="1" applyAlignment="1">
      <alignment horizontal="center"/>
    </xf>
    <xf numFmtId="3" fontId="18" fillId="7" borderId="162" xfId="5" applyNumberFormat="1" applyFont="1" applyFill="1" applyBorder="1" applyAlignment="1">
      <alignment horizontal="center"/>
    </xf>
    <xf numFmtId="3" fontId="18" fillId="7" borderId="127" xfId="5" applyNumberFormat="1" applyFont="1" applyFill="1" applyBorder="1" applyAlignment="1">
      <alignment horizontal="center"/>
    </xf>
    <xf numFmtId="3" fontId="18" fillId="7" borderId="130" xfId="0" applyNumberFormat="1" applyFont="1" applyFill="1" applyBorder="1" applyAlignment="1">
      <alignment horizontal="center"/>
    </xf>
    <xf numFmtId="3" fontId="36" fillId="7" borderId="130" xfId="0" applyNumberFormat="1" applyFont="1" applyFill="1" applyBorder="1" applyAlignment="1">
      <alignment horizontal="center" vertical="center"/>
    </xf>
    <xf numFmtId="3" fontId="18" fillId="7" borderId="130" xfId="0" applyNumberFormat="1" applyFont="1" applyFill="1" applyBorder="1" applyAlignment="1">
      <alignment horizontal="center" vertical="center"/>
    </xf>
    <xf numFmtId="3" fontId="18" fillId="2" borderId="130" xfId="0" applyNumberFormat="1" applyFont="1" applyFill="1" applyBorder="1" applyAlignment="1">
      <alignment horizontal="center" vertical="center"/>
    </xf>
    <xf numFmtId="3" fontId="18" fillId="2" borderId="162" xfId="0" applyNumberFormat="1" applyFont="1" applyFill="1" applyBorder="1" applyAlignment="1">
      <alignment horizontal="center" vertical="center"/>
    </xf>
    <xf numFmtId="3" fontId="18" fillId="2" borderId="127" xfId="0" applyNumberFormat="1" applyFont="1" applyFill="1" applyBorder="1" applyAlignment="1">
      <alignment horizontal="center" vertical="center"/>
    </xf>
    <xf numFmtId="3" fontId="18" fillId="0" borderId="162" xfId="0" applyNumberFormat="1" applyFont="1" applyBorder="1" applyAlignment="1">
      <alignment horizontal="center"/>
    </xf>
    <xf numFmtId="3" fontId="18" fillId="0" borderId="127" xfId="0" applyNumberFormat="1" applyFont="1" applyBorder="1" applyAlignment="1">
      <alignment horizontal="center"/>
    </xf>
    <xf numFmtId="172" fontId="21" fillId="4" borderId="107" xfId="5" applyNumberFormat="1" applyFont="1" applyFill="1" applyBorder="1" applyAlignment="1">
      <alignment horizontal="center"/>
    </xf>
    <xf numFmtId="172" fontId="21" fillId="4" borderId="178" xfId="5" applyNumberFormat="1" applyFont="1" applyFill="1" applyBorder="1" applyAlignment="1">
      <alignment horizontal="center"/>
    </xf>
    <xf numFmtId="172" fontId="59" fillId="4" borderId="124" xfId="5" applyNumberFormat="1" applyFont="1" applyFill="1" applyBorder="1"/>
    <xf numFmtId="172" fontId="59" fillId="4" borderId="179" xfId="5" applyNumberFormat="1" applyFont="1" applyFill="1" applyBorder="1"/>
    <xf numFmtId="172" fontId="59" fillId="4" borderId="180" xfId="5" applyNumberFormat="1" applyFont="1" applyFill="1" applyBorder="1"/>
    <xf numFmtId="172" fontId="21" fillId="4" borderId="165" xfId="5" applyNumberFormat="1" applyFont="1" applyFill="1" applyBorder="1" applyAlignment="1">
      <alignment horizontal="center" vertical="center"/>
    </xf>
    <xf numFmtId="172" fontId="21" fillId="4" borderId="167" xfId="5" applyNumberFormat="1" applyFont="1" applyFill="1" applyBorder="1" applyAlignment="1">
      <alignment horizontal="center" vertical="center"/>
    </xf>
    <xf numFmtId="172" fontId="21" fillId="4" borderId="164" xfId="5" applyNumberFormat="1" applyFont="1" applyFill="1" applyBorder="1" applyAlignment="1">
      <alignment horizontal="center" vertical="center"/>
    </xf>
    <xf numFmtId="172" fontId="21" fillId="4" borderId="181" xfId="5" applyNumberFormat="1" applyFont="1" applyFill="1" applyBorder="1" applyAlignment="1">
      <alignment horizontal="center" vertical="center"/>
    </xf>
    <xf numFmtId="172" fontId="21" fillId="4" borderId="182" xfId="5" applyNumberFormat="1" applyFont="1" applyFill="1" applyBorder="1" applyAlignment="1">
      <alignment horizontal="center" vertical="center"/>
    </xf>
    <xf numFmtId="3" fontId="18" fillId="2" borderId="108" xfId="0" applyNumberFormat="1" applyFont="1" applyFill="1" applyBorder="1" applyAlignment="1">
      <alignment horizontal="center"/>
    </xf>
    <xf numFmtId="180" fontId="18" fillId="2" borderId="143" xfId="0" applyNumberFormat="1" applyFont="1" applyFill="1" applyBorder="1" applyAlignment="1">
      <alignment horizontal="center"/>
    </xf>
    <xf numFmtId="189" fontId="18" fillId="2" borderId="108" xfId="3" applyNumberFormat="1" applyFont="1" applyFill="1" applyBorder="1" applyAlignment="1">
      <alignment horizontal="center" vertical="center"/>
    </xf>
    <xf numFmtId="189" fontId="18" fillId="2" borderId="143" xfId="3" applyNumberFormat="1" applyFont="1" applyFill="1" applyBorder="1" applyAlignment="1">
      <alignment horizontal="center" vertical="center"/>
    </xf>
    <xf numFmtId="189" fontId="18" fillId="2" borderId="130" xfId="3" applyNumberFormat="1" applyFont="1" applyFill="1" applyBorder="1" applyAlignment="1">
      <alignment horizontal="center" vertical="center"/>
    </xf>
    <xf numFmtId="189" fontId="18" fillId="2" borderId="162" xfId="3" applyNumberFormat="1" applyFont="1" applyFill="1" applyBorder="1" applyAlignment="1">
      <alignment horizontal="center" vertical="center"/>
    </xf>
    <xf numFmtId="3" fontId="18" fillId="2" borderId="183" xfId="0" applyNumberFormat="1" applyFont="1" applyFill="1" applyBorder="1" applyAlignment="1">
      <alignment horizontal="center"/>
    </xf>
    <xf numFmtId="3" fontId="18" fillId="2" borderId="162" xfId="0" applyNumberFormat="1" applyFont="1" applyFill="1" applyBorder="1" applyAlignment="1">
      <alignment horizontal="center"/>
    </xf>
    <xf numFmtId="172" fontId="21" fillId="4" borderId="107" xfId="5" applyNumberFormat="1" applyFont="1" applyFill="1" applyBorder="1" applyAlignment="1">
      <alignment horizontal="center" vertical="center" wrapText="1"/>
    </xf>
    <xf numFmtId="172" fontId="21" fillId="4" borderId="107" xfId="5" applyNumberFormat="1" applyFont="1" applyFill="1" applyBorder="1" applyAlignment="1">
      <alignment horizontal="center" vertical="center"/>
    </xf>
    <xf numFmtId="172" fontId="21" fillId="4" borderId="146" xfId="5" applyNumberFormat="1" applyFont="1" applyFill="1" applyBorder="1" applyAlignment="1">
      <alignment horizontal="center" vertical="center"/>
    </xf>
    <xf numFmtId="172" fontId="21" fillId="4" borderId="141" xfId="5" applyNumberFormat="1" applyFont="1" applyFill="1" applyBorder="1" applyAlignment="1">
      <alignment horizontal="center" vertical="center" wrapText="1"/>
    </xf>
    <xf numFmtId="172" fontId="59" fillId="4" borderId="126" xfId="5" applyNumberFormat="1" applyFont="1" applyFill="1" applyBorder="1" applyAlignment="1">
      <alignment vertical="center" wrapText="1"/>
    </xf>
    <xf numFmtId="172" fontId="21" fillId="4" borderId="130" xfId="5" applyNumberFormat="1" applyFont="1" applyFill="1" applyBorder="1" applyAlignment="1">
      <alignment horizontal="center"/>
    </xf>
    <xf numFmtId="172" fontId="21" fillId="4" borderId="166" xfId="5" applyNumberFormat="1" applyFont="1" applyFill="1" applyBorder="1" applyAlignment="1">
      <alignment horizontal="center"/>
    </xf>
    <xf numFmtId="172" fontId="21" fillId="4" borderId="164" xfId="5" applyNumberFormat="1" applyFont="1" applyFill="1" applyBorder="1" applyAlignment="1">
      <alignment horizontal="center"/>
    </xf>
    <xf numFmtId="0" fontId="18" fillId="6" borderId="143" xfId="6" applyFont="1" applyFill="1" applyBorder="1"/>
    <xf numFmtId="3" fontId="18" fillId="2" borderId="168" xfId="0" applyNumberFormat="1" applyFont="1" applyFill="1" applyBorder="1" applyAlignment="1">
      <alignment horizontal="center"/>
    </xf>
    <xf numFmtId="3" fontId="90" fillId="4" borderId="141" xfId="0" applyNumberFormat="1" applyFont="1" applyFill="1" applyBorder="1" applyAlignment="1">
      <alignment horizontal="center" vertical="center"/>
    </xf>
    <xf numFmtId="1" fontId="90" fillId="4" borderId="141" xfId="0" applyNumberFormat="1" applyFont="1" applyFill="1" applyBorder="1" applyAlignment="1">
      <alignment horizontal="center" vertical="center"/>
    </xf>
    <xf numFmtId="1" fontId="90" fillId="4" borderId="169" xfId="0" applyNumberFormat="1" applyFont="1" applyFill="1" applyBorder="1" applyAlignment="1">
      <alignment horizontal="center" vertical="center"/>
    </xf>
    <xf numFmtId="3" fontId="93" fillId="4" borderId="141" xfId="0" applyNumberFormat="1" applyFont="1" applyFill="1" applyBorder="1" applyAlignment="1">
      <alignment vertical="center"/>
    </xf>
    <xf numFmtId="1" fontId="93" fillId="4" borderId="141" xfId="0" applyNumberFormat="1" applyFont="1" applyFill="1" applyBorder="1" applyAlignment="1">
      <alignment horizontal="center" vertical="center"/>
    </xf>
    <xf numFmtId="1" fontId="93" fillId="4" borderId="169" xfId="0" applyNumberFormat="1" applyFont="1" applyFill="1" applyBorder="1" applyAlignment="1">
      <alignment horizontal="center" vertical="center"/>
    </xf>
    <xf numFmtId="3" fontId="94" fillId="2" borderId="107" xfId="0" applyNumberFormat="1" applyFont="1" applyFill="1" applyBorder="1" applyAlignment="1" applyProtection="1">
      <alignment horizontal="center" vertical="center"/>
      <protection locked="0"/>
    </xf>
    <xf numFmtId="1" fontId="94" fillId="3" borderId="107" xfId="0" applyNumberFormat="1" applyFont="1" applyFill="1" applyBorder="1" applyAlignment="1">
      <alignment horizontal="center" vertical="center"/>
    </xf>
    <xf numFmtId="173" fontId="94" fillId="2" borderId="107" xfId="3" applyNumberFormat="1" applyFont="1" applyFill="1" applyBorder="1" applyAlignment="1">
      <alignment horizontal="center"/>
    </xf>
    <xf numFmtId="0" fontId="90" fillId="4" borderId="129" xfId="0" applyFont="1" applyFill="1" applyBorder="1" applyAlignment="1">
      <alignment horizontal="left" vertical="center"/>
    </xf>
    <xf numFmtId="0" fontId="92" fillId="4" borderId="124" xfId="0" applyFont="1" applyFill="1" applyBorder="1" applyAlignment="1">
      <alignment horizontal="left" vertical="center" wrapText="1"/>
    </xf>
    <xf numFmtId="3" fontId="94" fillId="4" borderId="124" xfId="0" applyNumberFormat="1" applyFont="1" applyFill="1" applyBorder="1" applyAlignment="1" applyProtection="1">
      <alignment horizontal="center" vertical="center"/>
      <protection locked="0"/>
    </xf>
    <xf numFmtId="1" fontId="94" fillId="4" borderId="124" xfId="0" applyNumberFormat="1" applyFont="1" applyFill="1" applyBorder="1" applyAlignment="1">
      <alignment horizontal="center" vertical="center"/>
    </xf>
    <xf numFmtId="1" fontId="94" fillId="4" borderId="126" xfId="0" applyNumberFormat="1" applyFont="1" applyFill="1" applyBorder="1" applyAlignment="1">
      <alignment horizontal="center" vertical="center"/>
    </xf>
    <xf numFmtId="3" fontId="94" fillId="2" borderId="162" xfId="0" applyNumberFormat="1" applyFont="1" applyFill="1" applyBorder="1" applyAlignment="1" applyProtection="1">
      <alignment horizontal="center" vertical="center"/>
      <protection locked="0"/>
    </xf>
    <xf numFmtId="173" fontId="94" fillId="2" borderId="162" xfId="3" applyNumberFormat="1" applyFont="1" applyFill="1" applyBorder="1" applyAlignment="1">
      <alignment horizontal="center" vertical="center"/>
    </xf>
    <xf numFmtId="1" fontId="94" fillId="3" borderId="162" xfId="0" applyNumberFormat="1" applyFont="1" applyFill="1" applyBorder="1" applyAlignment="1">
      <alignment horizontal="center" vertical="center"/>
    </xf>
    <xf numFmtId="1" fontId="93" fillId="3" borderId="107" xfId="0" applyNumberFormat="1" applyFont="1" applyFill="1" applyBorder="1" applyAlignment="1">
      <alignment horizontal="center" vertical="center"/>
    </xf>
    <xf numFmtId="173" fontId="94" fillId="2" borderId="107" xfId="3" applyNumberFormat="1" applyFont="1" applyFill="1" applyBorder="1" applyAlignment="1">
      <alignment horizontal="center" vertical="center"/>
    </xf>
    <xf numFmtId="173" fontId="94" fillId="3" borderId="107" xfId="3" applyNumberFormat="1" applyFont="1" applyFill="1" applyBorder="1" applyAlignment="1">
      <alignment horizontal="center" vertical="center"/>
    </xf>
    <xf numFmtId="1" fontId="93" fillId="4" borderId="124" xfId="0" applyNumberFormat="1" applyFont="1" applyFill="1" applyBorder="1" applyAlignment="1">
      <alignment horizontal="center" vertical="center"/>
    </xf>
    <xf numFmtId="173" fontId="93" fillId="4" borderId="124" xfId="3" applyNumberFormat="1" applyFont="1" applyFill="1" applyBorder="1" applyAlignment="1">
      <alignment horizontal="center" vertical="center"/>
    </xf>
    <xf numFmtId="173" fontId="93" fillId="4" borderId="126" xfId="3" applyNumberFormat="1" applyFont="1" applyFill="1" applyBorder="1" applyAlignment="1">
      <alignment horizontal="center" vertical="center"/>
    </xf>
    <xf numFmtId="1" fontId="93" fillId="3" borderId="162" xfId="0" applyNumberFormat="1" applyFont="1" applyFill="1" applyBorder="1" applyAlignment="1">
      <alignment horizontal="center" vertical="center"/>
    </xf>
    <xf numFmtId="0" fontId="90" fillId="4" borderId="146" xfId="0" applyFont="1" applyFill="1" applyBorder="1" applyAlignment="1">
      <alignment vertical="center" wrapText="1"/>
    </xf>
    <xf numFmtId="1" fontId="81" fillId="4" borderId="141" xfId="0" applyNumberFormat="1" applyFont="1" applyFill="1" applyBorder="1" applyAlignment="1">
      <alignment horizontal="center" vertical="center"/>
    </xf>
    <xf numFmtId="1" fontId="81" fillId="4" borderId="169" xfId="0" applyNumberFormat="1" applyFont="1" applyFill="1" applyBorder="1" applyAlignment="1">
      <alignment horizontal="center" vertical="center"/>
    </xf>
    <xf numFmtId="3" fontId="93" fillId="2" borderId="162" xfId="0" applyNumberFormat="1" applyFont="1" applyFill="1" applyBorder="1" applyAlignment="1" applyProtection="1">
      <alignment horizontal="center" vertical="center"/>
      <protection locked="0"/>
    </xf>
    <xf numFmtId="173" fontId="41" fillId="2" borderId="162" xfId="3" applyNumberFormat="1" applyFont="1" applyFill="1" applyBorder="1" applyAlignment="1">
      <alignment horizontal="center" vertical="center"/>
    </xf>
    <xf numFmtId="1" fontId="52" fillId="4" borderId="141" xfId="0" applyNumberFormat="1" applyFont="1" applyFill="1" applyBorder="1" applyAlignment="1">
      <alignment horizontal="center" vertical="center"/>
    </xf>
    <xf numFmtId="0" fontId="54" fillId="14" borderId="141" xfId="0" applyFont="1" applyFill="1" applyBorder="1" applyAlignment="1">
      <alignment vertical="center"/>
    </xf>
    <xf numFmtId="0" fontId="54" fillId="14" borderId="141" xfId="0" applyFont="1" applyFill="1" applyBorder="1" applyAlignment="1">
      <alignment vertical="center" wrapText="1"/>
    </xf>
    <xf numFmtId="1" fontId="20" fillId="14" borderId="141" xfId="0" applyNumberFormat="1" applyFont="1" applyFill="1" applyBorder="1" applyAlignment="1">
      <alignment horizontal="center" vertical="center"/>
    </xf>
    <xf numFmtId="1" fontId="20" fillId="3" borderId="107" xfId="0" applyNumberFormat="1" applyFont="1" applyFill="1" applyBorder="1" applyAlignment="1">
      <alignment horizontal="center" vertical="center"/>
    </xf>
    <xf numFmtId="1" fontId="80" fillId="4" borderId="141" xfId="0" applyNumberFormat="1" applyFont="1" applyFill="1" applyBorder="1" applyAlignment="1">
      <alignment horizontal="center" vertical="center"/>
    </xf>
    <xf numFmtId="1" fontId="41" fillId="3" borderId="107" xfId="0" applyNumberFormat="1" applyFont="1" applyFill="1" applyBorder="1" applyAlignment="1">
      <alignment horizontal="center" vertical="center"/>
    </xf>
    <xf numFmtId="1" fontId="41" fillId="2" borderId="107" xfId="0" applyNumberFormat="1" applyFont="1" applyFill="1" applyBorder="1" applyAlignment="1">
      <alignment horizontal="center" vertical="center"/>
    </xf>
    <xf numFmtId="173" fontId="41" fillId="2" borderId="107" xfId="3" applyNumberFormat="1" applyFont="1" applyFill="1" applyBorder="1" applyAlignment="1">
      <alignment horizontal="center" vertical="center"/>
    </xf>
    <xf numFmtId="0" fontId="41" fillId="2" borderId="141" xfId="0" quotePrefix="1" applyFont="1" applyFill="1" applyBorder="1" applyAlignment="1" applyProtection="1">
      <alignment horizontal="left" vertical="center" wrapText="1"/>
      <protection locked="0"/>
    </xf>
    <xf numFmtId="173" fontId="41" fillId="2" borderId="141" xfId="3" applyNumberFormat="1" applyFont="1" applyFill="1" applyBorder="1" applyAlignment="1">
      <alignment horizontal="center" vertical="center"/>
    </xf>
    <xf numFmtId="2" fontId="18" fillId="2" borderId="167" xfId="0" applyNumberFormat="1" applyFont="1" applyFill="1" applyBorder="1" applyAlignment="1">
      <alignment horizontal="left"/>
    </xf>
    <xf numFmtId="2" fontId="18" fillId="2" borderId="166" xfId="0" applyNumberFormat="1" applyFont="1" applyFill="1" applyBorder="1" applyAlignment="1">
      <alignment horizontal="right"/>
    </xf>
    <xf numFmtId="0" fontId="18" fillId="2" borderId="167" xfId="0" applyFont="1" applyFill="1" applyBorder="1"/>
    <xf numFmtId="185" fontId="18" fillId="2" borderId="166" xfId="0" applyNumberFormat="1" applyFont="1" applyFill="1" applyBorder="1" applyAlignment="1">
      <alignment horizontal="center"/>
    </xf>
    <xf numFmtId="0" fontId="59" fillId="4" borderId="157" xfId="0" applyFont="1" applyFill="1" applyBorder="1"/>
    <xf numFmtId="0" fontId="59" fillId="4" borderId="159" xfId="1" applyFont="1" applyFill="1" applyBorder="1" applyAlignment="1">
      <alignment wrapText="1"/>
    </xf>
    <xf numFmtId="0" fontId="59" fillId="4" borderId="141" xfId="1" applyFont="1" applyFill="1" applyBorder="1" applyAlignment="1">
      <alignment wrapText="1"/>
    </xf>
    <xf numFmtId="0" fontId="59" fillId="4" borderId="141" xfId="1" applyFont="1" applyFill="1" applyBorder="1" applyAlignment="1">
      <alignment horizontal="center" vertical="center"/>
    </xf>
    <xf numFmtId="0" fontId="18" fillId="2" borderId="167" xfId="1" applyFont="1" applyFill="1" applyBorder="1" applyAlignment="1">
      <alignment horizontal="center" vertical="center" wrapText="1"/>
    </xf>
    <xf numFmtId="0" fontId="18" fillId="2" borderId="163" xfId="1" applyFont="1" applyFill="1" applyBorder="1" applyAlignment="1">
      <alignment horizontal="center" vertical="center" wrapText="1"/>
    </xf>
    <xf numFmtId="0" fontId="18" fillId="17" borderId="163" xfId="0" applyFont="1" applyFill="1" applyBorder="1"/>
    <xf numFmtId="166" fontId="18" fillId="2" borderId="172" xfId="3" applyFont="1" applyFill="1" applyBorder="1"/>
    <xf numFmtId="166" fontId="18" fillId="2" borderId="184" xfId="0" applyNumberFormat="1" applyFont="1" applyFill="1" applyBorder="1"/>
    <xf numFmtId="0" fontId="59" fillId="4" borderId="124" xfId="1" applyFont="1" applyFill="1" applyBorder="1" applyAlignment="1">
      <alignment horizontal="center" vertical="center"/>
    </xf>
    <xf numFmtId="0" fontId="59" fillId="4" borderId="146" xfId="1" applyFont="1" applyFill="1" applyBorder="1" applyAlignment="1">
      <alignment horizontal="center" vertical="center"/>
    </xf>
    <xf numFmtId="0" fontId="18" fillId="2" borderId="143" xfId="1" applyFont="1" applyFill="1" applyBorder="1" applyAlignment="1">
      <alignment wrapText="1"/>
    </xf>
    <xf numFmtId="0" fontId="36" fillId="17" borderId="143" xfId="0" applyFont="1" applyFill="1" applyBorder="1"/>
    <xf numFmtId="195" fontId="18" fillId="2" borderId="143" xfId="3" applyNumberFormat="1" applyFont="1" applyFill="1" applyBorder="1"/>
    <xf numFmtId="195" fontId="18" fillId="2" borderId="161" xfId="3" applyNumberFormat="1" applyFont="1" applyFill="1" applyBorder="1"/>
    <xf numFmtId="0" fontId="18" fillId="2" borderId="162" xfId="1" applyFont="1" applyFill="1" applyBorder="1" applyAlignment="1">
      <alignment wrapText="1"/>
    </xf>
    <xf numFmtId="0" fontId="36" fillId="17" borderId="162" xfId="0" applyFont="1" applyFill="1" applyBorder="1"/>
    <xf numFmtId="0" fontId="36" fillId="17" borderId="127" xfId="0" applyFont="1" applyFill="1" applyBorder="1"/>
    <xf numFmtId="195" fontId="18" fillId="2" borderId="162" xfId="3" applyNumberFormat="1" applyFont="1" applyFill="1" applyBorder="1"/>
    <xf numFmtId="190" fontId="18" fillId="2" borderId="166" xfId="0" applyNumberFormat="1" applyFont="1" applyFill="1" applyBorder="1"/>
    <xf numFmtId="0" fontId="25" fillId="8" borderId="141" xfId="0" applyFont="1" applyFill="1" applyBorder="1"/>
    <xf numFmtId="169" fontId="25" fillId="2" borderId="141" xfId="0" applyNumberFormat="1" applyFont="1" applyFill="1" applyBorder="1" applyAlignment="1">
      <alignment horizontal="center" vertical="center"/>
    </xf>
    <xf numFmtId="169" fontId="25" fillId="2" borderId="169" xfId="0" applyNumberFormat="1" applyFont="1" applyFill="1" applyBorder="1" applyAlignment="1">
      <alignment horizontal="center" vertical="center"/>
    </xf>
    <xf numFmtId="171" fontId="25" fillId="2" borderId="141" xfId="0" applyNumberFormat="1" applyFont="1" applyFill="1" applyBorder="1" applyAlignment="1">
      <alignment horizontal="center" vertical="center"/>
    </xf>
    <xf numFmtId="171" fontId="25" fillId="2" borderId="169" xfId="0" applyNumberFormat="1" applyFont="1" applyFill="1" applyBorder="1" applyAlignment="1">
      <alignment horizontal="center" vertical="center"/>
    </xf>
    <xf numFmtId="0" fontId="25" fillId="8" borderId="163" xfId="0" applyFont="1" applyFill="1" applyBorder="1"/>
    <xf numFmtId="169" fontId="25" fillId="2" borderId="163" xfId="0" applyNumberFormat="1" applyFont="1" applyFill="1" applyBorder="1" applyAlignment="1">
      <alignment horizontal="center" vertical="center"/>
    </xf>
    <xf numFmtId="169" fontId="25" fillId="2" borderId="166" xfId="0" applyNumberFormat="1" applyFont="1" applyFill="1" applyBorder="1" applyAlignment="1">
      <alignment horizontal="center" vertical="center"/>
    </xf>
    <xf numFmtId="169" fontId="25" fillId="2" borderId="141" xfId="0" applyNumberFormat="1" applyFont="1" applyFill="1" applyBorder="1" applyAlignment="1">
      <alignment horizontal="center"/>
    </xf>
    <xf numFmtId="169" fontId="25" fillId="2" borderId="169" xfId="0" applyNumberFormat="1" applyFont="1" applyFill="1" applyBorder="1" applyAlignment="1">
      <alignment horizontal="center"/>
    </xf>
    <xf numFmtId="4" fontId="25" fillId="2" borderId="141" xfId="0" applyNumberFormat="1" applyFont="1" applyFill="1" applyBorder="1" applyAlignment="1">
      <alignment horizontal="center"/>
    </xf>
    <xf numFmtId="4" fontId="25" fillId="2" borderId="169" xfId="0" applyNumberFormat="1" applyFont="1" applyFill="1" applyBorder="1" applyAlignment="1">
      <alignment horizontal="center"/>
    </xf>
    <xf numFmtId="196" fontId="25" fillId="2" borderId="141" xfId="0" applyNumberFormat="1" applyFont="1" applyFill="1" applyBorder="1" applyAlignment="1">
      <alignment horizontal="center"/>
    </xf>
    <xf numFmtId="196" fontId="25" fillId="2" borderId="169" xfId="0" applyNumberFormat="1" applyFont="1" applyFill="1" applyBorder="1" applyAlignment="1">
      <alignment horizontal="center"/>
    </xf>
    <xf numFmtId="0" fontId="25" fillId="2" borderId="141" xfId="0" applyFont="1" applyFill="1" applyBorder="1" applyAlignment="1">
      <alignment horizontal="center"/>
    </xf>
    <xf numFmtId="0" fontId="25" fillId="2" borderId="169" xfId="0" applyFont="1" applyFill="1" applyBorder="1" applyAlignment="1">
      <alignment horizontal="center"/>
    </xf>
    <xf numFmtId="169" fontId="25" fillId="2" borderId="163" xfId="0" applyNumberFormat="1" applyFont="1" applyFill="1" applyBorder="1" applyAlignment="1">
      <alignment horizontal="center"/>
    </xf>
    <xf numFmtId="169" fontId="25" fillId="2" borderId="166" xfId="0" applyNumberFormat="1" applyFont="1" applyFill="1" applyBorder="1" applyAlignment="1">
      <alignment horizontal="center"/>
    </xf>
    <xf numFmtId="0" fontId="25" fillId="8" borderId="107" xfId="0" applyFont="1" applyFill="1" applyBorder="1"/>
    <xf numFmtId="4" fontId="25" fillId="2" borderId="107" xfId="0" applyNumberFormat="1" applyFont="1" applyFill="1" applyBorder="1" applyAlignment="1">
      <alignment horizontal="center"/>
    </xf>
    <xf numFmtId="0" fontId="25" fillId="8" borderId="159" xfId="0" applyFont="1" applyFill="1" applyBorder="1" applyAlignment="1">
      <alignment horizontal="left" wrapText="1"/>
    </xf>
    <xf numFmtId="167" fontId="25" fillId="2" borderId="141" xfId="0" applyNumberFormat="1" applyFont="1" applyFill="1" applyBorder="1" applyAlignment="1">
      <alignment horizontal="center"/>
    </xf>
    <xf numFmtId="167" fontId="25" fillId="2" borderId="169" xfId="0" applyNumberFormat="1" applyFont="1" applyFill="1" applyBorder="1" applyAlignment="1">
      <alignment horizontal="center"/>
    </xf>
    <xf numFmtId="0" fontId="25" fillId="8" borderId="162" xfId="0" applyFont="1" applyFill="1" applyBorder="1"/>
    <xf numFmtId="168" fontId="25" fillId="2" borderId="162" xfId="0" applyNumberFormat="1" applyFont="1" applyFill="1" applyBorder="1" applyAlignment="1">
      <alignment horizontal="center"/>
    </xf>
    <xf numFmtId="0" fontId="16" fillId="4" borderId="141" xfId="0" applyFont="1" applyFill="1" applyBorder="1" applyAlignment="1">
      <alignment horizontal="center"/>
    </xf>
    <xf numFmtId="0" fontId="25" fillId="3" borderId="167" xfId="0" applyFont="1" applyFill="1" applyBorder="1" applyAlignment="1">
      <alignment horizontal="center" vertical="center" wrapText="1"/>
    </xf>
    <xf numFmtId="0" fontId="93" fillId="3" borderId="163" xfId="0" applyFont="1" applyFill="1" applyBorder="1" applyAlignment="1">
      <alignment horizontal="center" vertical="center"/>
    </xf>
    <xf numFmtId="168" fontId="25" fillId="2" borderId="163" xfId="0" applyNumberFormat="1" applyFont="1" applyFill="1" applyBorder="1" applyAlignment="1">
      <alignment horizontal="center" vertical="center"/>
    </xf>
    <xf numFmtId="170" fontId="25" fillId="2" borderId="163" xfId="0" applyNumberFormat="1" applyFont="1" applyFill="1" applyBorder="1" applyAlignment="1">
      <alignment horizontal="center" vertical="center"/>
    </xf>
    <xf numFmtId="0" fontId="25" fillId="2" borderId="166" xfId="0" applyFont="1" applyFill="1" applyBorder="1" applyAlignment="1">
      <alignment horizontal="center" vertical="center" wrapText="1"/>
    </xf>
    <xf numFmtId="0" fontId="50" fillId="3" borderId="107" xfId="1" applyFont="1" applyFill="1" applyBorder="1" applyAlignment="1">
      <alignment horizontal="left" vertical="center"/>
    </xf>
    <xf numFmtId="3" fontId="50" fillId="2" borderId="107" xfId="1" applyNumberFormat="1" applyFont="1" applyFill="1" applyBorder="1" applyAlignment="1">
      <alignment horizontal="center" vertical="center"/>
    </xf>
    <xf numFmtId="0" fontId="50" fillId="3" borderId="141" xfId="1" applyFont="1" applyFill="1" applyBorder="1" applyAlignment="1">
      <alignment horizontal="left" vertical="center"/>
    </xf>
    <xf numFmtId="3" fontId="50" fillId="2" borderId="141" xfId="1" applyNumberFormat="1" applyFont="1" applyFill="1" applyBorder="1" applyAlignment="1">
      <alignment horizontal="center" vertical="center"/>
    </xf>
    <xf numFmtId="3" fontId="50" fillId="2" borderId="169" xfId="1" applyNumberFormat="1" applyFont="1" applyFill="1" applyBorder="1" applyAlignment="1">
      <alignment horizontal="center" vertical="center"/>
    </xf>
    <xf numFmtId="0" fontId="50" fillId="3" borderId="141" xfId="1" applyFont="1" applyFill="1" applyBorder="1" applyAlignment="1">
      <alignment horizontal="left" vertical="center" indent="1"/>
    </xf>
    <xf numFmtId="0" fontId="50" fillId="3" borderId="163" xfId="1" applyFont="1" applyFill="1" applyBorder="1" applyAlignment="1">
      <alignment vertical="center"/>
    </xf>
    <xf numFmtId="3" fontId="50" fillId="2" borderId="163" xfId="1" applyNumberFormat="1" applyFont="1" applyFill="1" applyBorder="1" applyAlignment="1">
      <alignment horizontal="center" vertical="center"/>
    </xf>
    <xf numFmtId="3" fontId="50" fillId="2" borderId="166" xfId="1" applyNumberFormat="1" applyFont="1" applyFill="1" applyBorder="1" applyAlignment="1">
      <alignment horizontal="center" vertical="center"/>
    </xf>
    <xf numFmtId="0" fontId="50" fillId="3" borderId="129" xfId="1" applyFont="1" applyFill="1" applyBorder="1" applyAlignment="1">
      <alignment vertical="center"/>
    </xf>
    <xf numFmtId="0" fontId="50" fillId="2" borderId="141" xfId="1" applyFont="1" applyFill="1" applyBorder="1" applyAlignment="1">
      <alignment horizontal="center" vertical="center"/>
    </xf>
    <xf numFmtId="0" fontId="50" fillId="2" borderId="169" xfId="1" applyFont="1" applyFill="1" applyBorder="1" applyAlignment="1">
      <alignment horizontal="center" vertical="center"/>
    </xf>
    <xf numFmtId="0" fontId="50" fillId="3" borderId="171" xfId="1" applyFont="1" applyFill="1" applyBorder="1" applyAlignment="1">
      <alignment vertical="center"/>
    </xf>
    <xf numFmtId="0" fontId="50" fillId="2" borderId="163" xfId="1" applyFont="1" applyFill="1" applyBorder="1" applyAlignment="1">
      <alignment horizontal="center" vertical="center"/>
    </xf>
    <xf numFmtId="0" fontId="50" fillId="2" borderId="166" xfId="1" applyFont="1" applyFill="1" applyBorder="1" applyAlignment="1">
      <alignment horizontal="center" vertical="center"/>
    </xf>
    <xf numFmtId="0" fontId="25" fillId="3" borderId="159" xfId="0" applyFont="1" applyFill="1" applyBorder="1" applyAlignment="1">
      <alignment horizontal="center" vertical="center" wrapText="1"/>
    </xf>
    <xf numFmtId="0" fontId="25" fillId="2" borderId="141" xfId="0" applyFont="1" applyFill="1" applyBorder="1" applyAlignment="1">
      <alignment horizontal="center" vertical="center"/>
    </xf>
    <xf numFmtId="181" fontId="25" fillId="2" borderId="141" xfId="0" applyNumberFormat="1" applyFont="1" applyFill="1" applyBorder="1" applyAlignment="1">
      <alignment horizontal="center" vertical="center"/>
    </xf>
    <xf numFmtId="11" fontId="25" fillId="2" borderId="141" xfId="0" applyNumberFormat="1" applyFont="1" applyFill="1" applyBorder="1" applyAlignment="1">
      <alignment horizontal="center" vertical="center"/>
    </xf>
    <xf numFmtId="0" fontId="25" fillId="2" borderId="169" xfId="0" applyFont="1" applyFill="1" applyBorder="1" applyAlignment="1">
      <alignment horizontal="center" vertical="center"/>
    </xf>
    <xf numFmtId="1" fontId="25" fillId="2" borderId="141" xfId="0" applyNumberFormat="1" applyFont="1" applyFill="1" applyBorder="1" applyAlignment="1">
      <alignment horizontal="center" vertical="center"/>
    </xf>
    <xf numFmtId="183" fontId="25" fillId="2" borderId="141" xfId="0" applyNumberFormat="1" applyFont="1" applyFill="1" applyBorder="1" applyAlignment="1">
      <alignment horizontal="center" vertical="center"/>
    </xf>
    <xf numFmtId="0" fontId="25" fillId="0" borderId="141" xfId="0" applyFont="1" applyBorder="1" applyAlignment="1">
      <alignment horizontal="center" vertical="center"/>
    </xf>
    <xf numFmtId="168" fontId="25" fillId="2" borderId="141" xfId="0" applyNumberFormat="1" applyFont="1" applyFill="1" applyBorder="1" applyAlignment="1">
      <alignment horizontal="center" vertical="center"/>
    </xf>
    <xf numFmtId="0" fontId="25" fillId="2" borderId="163" xfId="0" applyFont="1" applyFill="1" applyBorder="1" applyAlignment="1">
      <alignment horizontal="center" vertical="center"/>
    </xf>
    <xf numFmtId="0" fontId="25" fillId="2" borderId="166" xfId="0" applyFont="1" applyFill="1" applyBorder="1" applyAlignment="1">
      <alignment horizontal="center" vertical="center"/>
    </xf>
    <xf numFmtId="0" fontId="25" fillId="8" borderId="159" xfId="0" applyFont="1" applyFill="1" applyBorder="1"/>
    <xf numFmtId="170" fontId="25" fillId="3" borderId="141" xfId="0" applyNumberFormat="1" applyFont="1" applyFill="1" applyBorder="1" applyAlignment="1">
      <alignment vertical="center"/>
    </xf>
    <xf numFmtId="181" fontId="25" fillId="2" borderId="141" xfId="0" applyNumberFormat="1" applyFont="1" applyFill="1" applyBorder="1" applyAlignment="1">
      <alignment horizontal="center"/>
    </xf>
    <xf numFmtId="168" fontId="25" fillId="2" borderId="141" xfId="0" applyNumberFormat="1" applyFont="1" applyFill="1" applyBorder="1" applyAlignment="1">
      <alignment horizontal="center"/>
    </xf>
    <xf numFmtId="182" fontId="25" fillId="2" borderId="169" xfId="0" applyNumberFormat="1" applyFont="1" applyFill="1" applyBorder="1" applyAlignment="1">
      <alignment horizontal="center"/>
    </xf>
    <xf numFmtId="1" fontId="25" fillId="2" borderId="141" xfId="0" applyNumberFormat="1" applyFont="1" applyFill="1" applyBorder="1" applyAlignment="1">
      <alignment horizontal="center"/>
    </xf>
    <xf numFmtId="2" fontId="25" fillId="2" borderId="141" xfId="0" applyNumberFormat="1" applyFont="1" applyFill="1" applyBorder="1" applyAlignment="1">
      <alignment horizontal="center"/>
    </xf>
    <xf numFmtId="170" fontId="25" fillId="2" borderId="169" xfId="0" applyNumberFormat="1" applyFont="1" applyFill="1" applyBorder="1" applyAlignment="1">
      <alignment horizontal="center"/>
    </xf>
    <xf numFmtId="170" fontId="25" fillId="2" borderId="141" xfId="0" applyNumberFormat="1" applyFont="1" applyFill="1" applyBorder="1" applyAlignment="1">
      <alignment horizontal="center"/>
    </xf>
    <xf numFmtId="168" fontId="25" fillId="2" borderId="169" xfId="0" applyNumberFormat="1" applyFont="1" applyFill="1" applyBorder="1" applyAlignment="1">
      <alignment horizontal="center"/>
    </xf>
    <xf numFmtId="183" fontId="25" fillId="2" borderId="169" xfId="0" applyNumberFormat="1" applyFont="1" applyFill="1" applyBorder="1" applyAlignment="1">
      <alignment horizontal="center"/>
    </xf>
    <xf numFmtId="182" fontId="25" fillId="2" borderId="141" xfId="0" applyNumberFormat="1" applyFont="1" applyFill="1" applyBorder="1" applyAlignment="1">
      <alignment horizontal="center"/>
    </xf>
    <xf numFmtId="0" fontId="25" fillId="8" borderId="167" xfId="0" applyFont="1" applyFill="1" applyBorder="1"/>
    <xf numFmtId="2" fontId="25" fillId="2" borderId="163" xfId="0" applyNumberFormat="1" applyFont="1" applyFill="1" applyBorder="1" applyAlignment="1">
      <alignment horizontal="center"/>
    </xf>
    <xf numFmtId="168" fontId="25" fillId="2" borderId="163" xfId="0" applyNumberFormat="1" applyFont="1" applyFill="1" applyBorder="1" applyAlignment="1">
      <alignment horizontal="center"/>
    </xf>
    <xf numFmtId="170" fontId="25" fillId="2" borderId="163" xfId="0" applyNumberFormat="1" applyFont="1" applyFill="1" applyBorder="1" applyAlignment="1">
      <alignment horizontal="center"/>
    </xf>
    <xf numFmtId="181" fontId="25" fillId="2" borderId="163" xfId="0" applyNumberFormat="1" applyFont="1" applyFill="1" applyBorder="1" applyAlignment="1">
      <alignment horizontal="center"/>
    </xf>
    <xf numFmtId="1" fontId="25" fillId="2" borderId="163" xfId="0" applyNumberFormat="1" applyFont="1" applyFill="1" applyBorder="1" applyAlignment="1">
      <alignment horizontal="center"/>
    </xf>
    <xf numFmtId="170" fontId="25" fillId="3" borderId="166" xfId="0" applyNumberFormat="1" applyFont="1" applyFill="1" applyBorder="1" applyAlignment="1">
      <alignment vertical="center"/>
    </xf>
    <xf numFmtId="184" fontId="25" fillId="2" borderId="141" xfId="0" applyNumberFormat="1" applyFont="1" applyFill="1" applyBorder="1" applyAlignment="1">
      <alignment horizontal="center"/>
    </xf>
    <xf numFmtId="184" fontId="25" fillId="2" borderId="169" xfId="0" applyNumberFormat="1" applyFont="1" applyFill="1" applyBorder="1" applyAlignment="1">
      <alignment horizontal="center"/>
    </xf>
    <xf numFmtId="172" fontId="25" fillId="2" borderId="141" xfId="0" applyNumberFormat="1" applyFont="1" applyFill="1" applyBorder="1" applyAlignment="1">
      <alignment horizontal="center"/>
    </xf>
    <xf numFmtId="172" fontId="25" fillId="2" borderId="163" xfId="0" applyNumberFormat="1" applyFont="1" applyFill="1" applyBorder="1" applyAlignment="1">
      <alignment horizontal="center"/>
    </xf>
    <xf numFmtId="0" fontId="16" fillId="4" borderId="141" xfId="0" applyFont="1" applyFill="1" applyBorder="1" applyAlignment="1">
      <alignment horizontal="left" vertical="center" wrapText="1"/>
    </xf>
    <xf numFmtId="0" fontId="16" fillId="4" borderId="141" xfId="0" applyFont="1" applyFill="1" applyBorder="1" applyAlignment="1">
      <alignment horizontal="left" vertical="center"/>
    </xf>
    <xf numFmtId="0" fontId="16" fillId="4" borderId="169" xfId="0" applyFont="1" applyFill="1" applyBorder="1" applyAlignment="1">
      <alignment horizontal="left" vertical="center" wrapText="1"/>
    </xf>
    <xf numFmtId="0" fontId="25" fillId="3" borderId="159" xfId="0" applyFont="1" applyFill="1" applyBorder="1" applyAlignment="1">
      <alignment horizontal="left" vertical="center" wrapText="1"/>
    </xf>
    <xf numFmtId="2" fontId="25" fillId="2" borderId="169" xfId="0" applyNumberFormat="1" applyFont="1" applyFill="1" applyBorder="1" applyAlignment="1">
      <alignment horizontal="center"/>
    </xf>
    <xf numFmtId="2" fontId="0" fillId="2" borderId="141" xfId="0" applyNumberFormat="1" applyFill="1" applyBorder="1" applyAlignment="1">
      <alignment horizontal="center"/>
    </xf>
    <xf numFmtId="2" fontId="0" fillId="2" borderId="169" xfId="0" applyNumberFormat="1" applyFill="1" applyBorder="1" applyAlignment="1">
      <alignment horizontal="center"/>
    </xf>
    <xf numFmtId="0" fontId="0" fillId="54" borderId="141" xfId="0" applyFill="1" applyBorder="1" applyAlignment="1">
      <alignment horizontal="center" vertical="center" wrapText="1"/>
    </xf>
    <xf numFmtId="0" fontId="0" fillId="53" borderId="141" xfId="0" applyFill="1" applyBorder="1" applyAlignment="1">
      <alignment horizontal="center" vertical="center" wrapText="1"/>
    </xf>
    <xf numFmtId="0" fontId="0" fillId="53" borderId="169" xfId="0" applyFill="1" applyBorder="1" applyAlignment="1">
      <alignment horizontal="center" vertical="center" wrapText="1"/>
    </xf>
    <xf numFmtId="0" fontId="0" fillId="2" borderId="141" xfId="0" applyFill="1" applyBorder="1" applyAlignment="1">
      <alignment horizontal="center" vertical="center" wrapText="1"/>
    </xf>
    <xf numFmtId="0" fontId="0" fillId="2" borderId="169" xfId="0" applyFill="1" applyBorder="1" applyAlignment="1">
      <alignment horizontal="center" vertical="center" wrapText="1"/>
    </xf>
    <xf numFmtId="4" fontId="0" fillId="2" borderId="141" xfId="3" applyNumberFormat="1" applyFont="1" applyFill="1" applyBorder="1" applyAlignment="1">
      <alignment horizontal="center"/>
    </xf>
    <xf numFmtId="0" fontId="0" fillId="53" borderId="141" xfId="0" applyFill="1" applyBorder="1" applyAlignment="1">
      <alignment horizontal="left" vertical="center" wrapText="1"/>
    </xf>
    <xf numFmtId="0" fontId="0" fillId="53" borderId="169" xfId="0" applyFill="1" applyBorder="1" applyAlignment="1">
      <alignment horizontal="left" vertical="center" wrapText="1"/>
    </xf>
    <xf numFmtId="170" fontId="0" fillId="2" borderId="141" xfId="3" applyNumberFormat="1" applyFont="1" applyFill="1" applyBorder="1" applyAlignment="1">
      <alignment horizontal="center"/>
    </xf>
    <xf numFmtId="3" fontId="0" fillId="2" borderId="141" xfId="3" applyNumberFormat="1" applyFont="1" applyFill="1" applyBorder="1" applyAlignment="1">
      <alignment horizontal="center" vertical="center"/>
    </xf>
    <xf numFmtId="0" fontId="25" fillId="3" borderId="167" xfId="0" applyFont="1" applyFill="1" applyBorder="1" applyAlignment="1">
      <alignment horizontal="left" vertical="center" wrapText="1"/>
    </xf>
    <xf numFmtId="2" fontId="0" fillId="2" borderId="163" xfId="0" applyNumberFormat="1" applyFill="1" applyBorder="1" applyAlignment="1">
      <alignment horizontal="center"/>
    </xf>
    <xf numFmtId="170" fontId="0" fillId="2" borderId="163" xfId="3" applyNumberFormat="1" applyFont="1" applyFill="1" applyBorder="1" applyAlignment="1">
      <alignment horizontal="center"/>
    </xf>
    <xf numFmtId="3" fontId="0" fillId="2" borderId="163" xfId="3" applyNumberFormat="1" applyFont="1" applyFill="1" applyBorder="1" applyAlignment="1">
      <alignment horizontal="center" vertical="center"/>
    </xf>
    <xf numFmtId="2" fontId="0" fillId="2" borderId="166" xfId="0" applyNumberFormat="1" applyFill="1" applyBorder="1" applyAlignment="1">
      <alignment horizontal="center"/>
    </xf>
    <xf numFmtId="0" fontId="22" fillId="4" borderId="156" xfId="0" applyFont="1" applyFill="1" applyBorder="1" applyAlignment="1">
      <alignment horizontal="center" vertical="center" wrapText="1"/>
    </xf>
    <xf numFmtId="0" fontId="12" fillId="3" borderId="125" xfId="0" applyFont="1" applyFill="1" applyBorder="1" applyAlignment="1">
      <alignment horizontal="left" vertical="center" wrapText="1"/>
    </xf>
    <xf numFmtId="0" fontId="13" fillId="0" borderId="141" xfId="0" applyFont="1" applyBorder="1" applyAlignment="1">
      <alignment vertical="top" wrapText="1"/>
    </xf>
    <xf numFmtId="0" fontId="190" fillId="0" borderId="141" xfId="2" applyFont="1" applyFill="1" applyBorder="1" applyAlignment="1">
      <alignment horizontal="left" vertical="top" wrapText="1"/>
    </xf>
    <xf numFmtId="0" fontId="13" fillId="3" borderId="141" xfId="0" applyFont="1" applyFill="1" applyBorder="1" applyAlignment="1">
      <alignment vertical="top" wrapText="1"/>
    </xf>
    <xf numFmtId="0" fontId="13" fillId="2" borderId="141" xfId="0" applyFont="1" applyFill="1" applyBorder="1" applyAlignment="1">
      <alignment horizontal="center" vertical="center" wrapText="1"/>
    </xf>
    <xf numFmtId="0" fontId="39" fillId="2" borderId="169" xfId="0" applyFont="1" applyFill="1" applyBorder="1" applyAlignment="1">
      <alignment horizontal="center" vertical="center"/>
    </xf>
    <xf numFmtId="0" fontId="13" fillId="2" borderId="141" xfId="13" applyFont="1" applyFill="1" applyBorder="1" applyAlignment="1">
      <alignment vertical="top" wrapText="1"/>
    </xf>
    <xf numFmtId="0" fontId="13" fillId="3" borderId="141" xfId="13" applyFont="1" applyFill="1" applyBorder="1" applyAlignment="1">
      <alignment vertical="top" wrapText="1"/>
    </xf>
    <xf numFmtId="0" fontId="13" fillId="2" borderId="141" xfId="0" applyFont="1" applyFill="1" applyBorder="1" applyAlignment="1">
      <alignment vertical="top" wrapText="1"/>
    </xf>
    <xf numFmtId="0" fontId="13" fillId="3" borderId="141" xfId="0" applyFont="1" applyFill="1" applyBorder="1" applyAlignment="1">
      <alignment horizontal="left" vertical="top" wrapText="1"/>
    </xf>
    <xf numFmtId="0" fontId="12" fillId="3" borderId="120" xfId="0" applyFont="1" applyFill="1" applyBorder="1" applyAlignment="1">
      <alignment horizontal="left" vertical="center" wrapText="1"/>
    </xf>
    <xf numFmtId="0" fontId="13" fillId="0" borderId="155" xfId="0" applyFont="1" applyBorder="1" applyAlignment="1">
      <alignment horizontal="left" vertical="top" wrapText="1"/>
    </xf>
    <xf numFmtId="0" fontId="13" fillId="3" borderId="155" xfId="0" applyFont="1" applyFill="1" applyBorder="1" applyAlignment="1">
      <alignment horizontal="left" vertical="top" wrapText="1"/>
    </xf>
    <xf numFmtId="0" fontId="13" fillId="0" borderId="155" xfId="0" applyFont="1" applyBorder="1" applyAlignment="1">
      <alignment horizontal="center" vertical="center" wrapText="1"/>
    </xf>
    <xf numFmtId="0" fontId="13" fillId="0" borderId="155" xfId="0" applyFont="1" applyBorder="1" applyAlignment="1">
      <alignment vertical="top" wrapText="1"/>
    </xf>
    <xf numFmtId="0" fontId="190" fillId="0" borderId="155" xfId="2" applyFont="1" applyBorder="1" applyAlignment="1">
      <alignment horizontal="left" vertical="top" wrapText="1"/>
    </xf>
    <xf numFmtId="0" fontId="12" fillId="3" borderId="141" xfId="0" applyFont="1" applyFill="1" applyBorder="1" applyAlignment="1">
      <alignment horizontal="left" vertical="center" wrapText="1"/>
    </xf>
    <xf numFmtId="0" fontId="13" fillId="0" borderId="107" xfId="0" applyFont="1" applyBorder="1" applyAlignment="1">
      <alignment horizontal="center" vertical="center"/>
    </xf>
    <xf numFmtId="0" fontId="45" fillId="3" borderId="141" xfId="0" applyFont="1" applyFill="1" applyBorder="1" applyAlignment="1">
      <alignment horizontal="left" vertical="center"/>
    </xf>
    <xf numFmtId="0" fontId="39" fillId="2" borderId="141" xfId="0" applyFont="1" applyFill="1" applyBorder="1" applyAlignment="1">
      <alignment vertical="top" wrapText="1"/>
    </xf>
    <xf numFmtId="0" fontId="13" fillId="0" borderId="141" xfId="0" applyFont="1" applyBorder="1" applyAlignment="1">
      <alignment horizontal="center" vertical="center"/>
    </xf>
    <xf numFmtId="0" fontId="39" fillId="2" borderId="107" xfId="0" applyFont="1" applyFill="1" applyBorder="1" applyAlignment="1">
      <alignment horizontal="center" vertical="center"/>
    </xf>
    <xf numFmtId="0" fontId="39" fillId="2" borderId="141" xfId="0" applyFont="1" applyFill="1" applyBorder="1" applyAlignment="1">
      <alignment horizontal="center" vertical="center"/>
    </xf>
    <xf numFmtId="0" fontId="190" fillId="2" borderId="141" xfId="2" applyFont="1" applyFill="1" applyBorder="1" applyAlignment="1">
      <alignment horizontal="left" vertical="top" wrapText="1"/>
    </xf>
    <xf numFmtId="0" fontId="39" fillId="2" borderId="161" xfId="0" applyFont="1" applyFill="1" applyBorder="1" applyAlignment="1">
      <alignment horizontal="center" vertical="center"/>
    </xf>
    <xf numFmtId="0" fontId="39" fillId="3" borderId="141" xfId="0" applyFont="1" applyFill="1" applyBorder="1" applyAlignment="1">
      <alignment vertical="top" wrapText="1"/>
    </xf>
    <xf numFmtId="0" fontId="39" fillId="3" borderId="141" xfId="0" applyFont="1" applyFill="1" applyBorder="1" applyAlignment="1">
      <alignment horizontal="center" vertical="center"/>
    </xf>
    <xf numFmtId="0" fontId="39" fillId="2" borderId="169" xfId="0" applyFont="1" applyFill="1" applyBorder="1" applyAlignment="1">
      <alignment horizontal="center" vertical="center" wrapText="1"/>
    </xf>
    <xf numFmtId="0" fontId="18" fillId="3" borderId="141" xfId="0" applyFont="1" applyFill="1" applyBorder="1" applyAlignment="1">
      <alignment horizontal="left" vertical="top" wrapText="1"/>
    </xf>
    <xf numFmtId="0" fontId="39" fillId="2" borderId="141" xfId="0" applyFont="1" applyFill="1" applyBorder="1" applyAlignment="1" applyProtection="1">
      <alignment vertical="top" wrapText="1"/>
      <protection locked="0"/>
    </xf>
    <xf numFmtId="0" fontId="18" fillId="2" borderId="141" xfId="0" applyFont="1" applyFill="1" applyBorder="1" applyAlignment="1">
      <alignment horizontal="left" vertical="top" wrapText="1"/>
    </xf>
    <xf numFmtId="0" fontId="114" fillId="3" borderId="141" xfId="0" applyFont="1" applyFill="1" applyBorder="1" applyAlignment="1">
      <alignment vertical="top" wrapText="1"/>
    </xf>
    <xf numFmtId="0" fontId="18" fillId="0" borderId="141" xfId="0" applyFont="1" applyBorder="1" applyAlignment="1">
      <alignment horizontal="left" vertical="top" wrapText="1"/>
    </xf>
    <xf numFmtId="0" fontId="24" fillId="3" borderId="167" xfId="0" applyFont="1" applyFill="1" applyBorder="1" applyAlignment="1">
      <alignment horizontal="center" vertical="center"/>
    </xf>
    <xf numFmtId="0" fontId="45" fillId="3" borderId="163" xfId="0" applyFont="1" applyFill="1" applyBorder="1" applyAlignment="1">
      <alignment horizontal="left" vertical="center"/>
    </xf>
    <xf numFmtId="0" fontId="18" fillId="3" borderId="163" xfId="0" applyFont="1" applyFill="1" applyBorder="1" applyAlignment="1">
      <alignment vertical="top" wrapText="1"/>
    </xf>
    <xf numFmtId="0" fontId="39" fillId="2" borderId="163" xfId="0" applyFont="1" applyFill="1" applyBorder="1" applyAlignment="1">
      <alignment vertical="top" wrapText="1"/>
    </xf>
    <xf numFmtId="0" fontId="190" fillId="2" borderId="163" xfId="2" applyFont="1" applyFill="1" applyBorder="1" applyAlignment="1">
      <alignment horizontal="left" vertical="top" wrapText="1"/>
    </xf>
    <xf numFmtId="0" fontId="39" fillId="2" borderId="163" xfId="0" applyFont="1" applyFill="1" applyBorder="1" applyAlignment="1">
      <alignment horizontal="center" vertical="center"/>
    </xf>
    <xf numFmtId="0" fontId="39" fillId="2" borderId="166" xfId="0" applyFont="1" applyFill="1" applyBorder="1" applyAlignment="1">
      <alignment horizontal="center" vertical="center"/>
    </xf>
    <xf numFmtId="0" fontId="13" fillId="2" borderId="0" xfId="0" applyFont="1" applyFill="1" applyAlignment="1" applyProtection="1">
      <alignment horizontal="left" vertical="center" wrapText="1"/>
      <protection locked="0"/>
    </xf>
    <xf numFmtId="0" fontId="0" fillId="2" borderId="0" xfId="0" applyFill="1" applyAlignment="1" applyProtection="1">
      <alignment horizontal="left" vertical="center" wrapText="1"/>
      <protection locked="0"/>
    </xf>
    <xf numFmtId="0" fontId="13" fillId="2" borderId="0" xfId="0" applyFont="1" applyFill="1" applyAlignment="1" applyProtection="1">
      <alignment horizontal="center" vertical="center" wrapText="1"/>
      <protection locked="0"/>
    </xf>
    <xf numFmtId="0" fontId="0" fillId="2" borderId="0" xfId="0" applyFill="1" applyAlignment="1" applyProtection="1">
      <alignment horizontal="center" vertical="center" wrapText="1"/>
      <protection locked="0"/>
    </xf>
    <xf numFmtId="0" fontId="12" fillId="2" borderId="0" xfId="0" applyFont="1" applyFill="1" applyAlignment="1" applyProtection="1">
      <alignment vertical="center" wrapText="1"/>
      <protection locked="0"/>
    </xf>
    <xf numFmtId="0" fontId="0" fillId="2" borderId="0" xfId="0" applyFill="1" applyAlignment="1" applyProtection="1">
      <alignment vertical="center" wrapText="1"/>
      <protection locked="0"/>
    </xf>
    <xf numFmtId="0" fontId="39" fillId="2" borderId="7" xfId="0" applyFont="1" applyFill="1" applyBorder="1" applyAlignment="1">
      <alignment horizontal="left" vertical="top" wrapText="1"/>
    </xf>
    <xf numFmtId="0" fontId="39" fillId="2" borderId="5" xfId="0" applyFont="1" applyFill="1" applyBorder="1" applyAlignment="1">
      <alignment horizontal="left" vertical="top" wrapText="1"/>
    </xf>
    <xf numFmtId="0" fontId="39" fillId="2" borderId="8" xfId="0" applyFont="1" applyFill="1" applyBorder="1" applyAlignment="1">
      <alignment horizontal="left" vertical="top" wrapText="1"/>
    </xf>
    <xf numFmtId="0" fontId="39" fillId="2" borderId="3" xfId="0" applyFont="1" applyFill="1" applyBorder="1" applyAlignment="1">
      <alignment horizontal="left" vertical="top" wrapText="1"/>
    </xf>
    <xf numFmtId="0" fontId="39" fillId="2" borderId="0" xfId="0" applyFont="1" applyFill="1" applyAlignment="1">
      <alignment horizontal="left" vertical="top" wrapText="1"/>
    </xf>
    <xf numFmtId="0" fontId="39" fillId="2" borderId="4" xfId="0" applyFont="1" applyFill="1" applyBorder="1" applyAlignment="1">
      <alignment horizontal="left" vertical="top" wrapText="1"/>
    </xf>
    <xf numFmtId="0" fontId="39" fillId="2" borderId="9" xfId="0" applyFont="1" applyFill="1" applyBorder="1" applyAlignment="1">
      <alignment horizontal="left" vertical="top" wrapText="1"/>
    </xf>
    <xf numFmtId="0" fontId="39" fillId="2" borderId="127" xfId="0" applyFont="1" applyFill="1" applyBorder="1" applyAlignment="1">
      <alignment horizontal="left" vertical="top" wrapText="1"/>
    </xf>
    <xf numFmtId="0" fontId="39" fillId="2" borderId="128" xfId="0" applyFont="1" applyFill="1" applyBorder="1" applyAlignment="1">
      <alignment horizontal="left" vertical="top" wrapText="1"/>
    </xf>
    <xf numFmtId="0" fontId="21" fillId="4" borderId="29" xfId="12" applyFont="1" applyFill="1" applyBorder="1" applyAlignment="1" applyProtection="1">
      <alignment horizontal="left" vertical="center" wrapText="1"/>
      <protection locked="0"/>
    </xf>
    <xf numFmtId="2" fontId="21" fillId="4" borderId="61" xfId="12" applyNumberFormat="1" applyFont="1" applyFill="1" applyBorder="1" applyAlignment="1">
      <alignment horizontal="center" vertical="center"/>
    </xf>
    <xf numFmtId="2" fontId="21" fillId="4" borderId="62" xfId="12" applyNumberFormat="1" applyFont="1" applyFill="1" applyBorder="1" applyAlignment="1">
      <alignment horizontal="center" vertical="center"/>
    </xf>
    <xf numFmtId="2" fontId="21" fillId="4" borderId="63" xfId="12" applyNumberFormat="1" applyFont="1" applyFill="1" applyBorder="1" applyAlignment="1">
      <alignment horizontal="center" vertical="center"/>
    </xf>
    <xf numFmtId="2" fontId="21" fillId="4" borderId="95" xfId="12" applyNumberFormat="1" applyFont="1" applyFill="1" applyBorder="1" applyAlignment="1">
      <alignment horizontal="center" vertical="center"/>
    </xf>
    <xf numFmtId="2" fontId="21" fillId="4" borderId="96" xfId="12" applyNumberFormat="1" applyFont="1" applyFill="1" applyBorder="1" applyAlignment="1">
      <alignment horizontal="center" vertical="center"/>
    </xf>
    <xf numFmtId="2" fontId="21" fillId="4" borderId="97" xfId="12" applyNumberFormat="1" applyFont="1" applyFill="1" applyBorder="1" applyAlignment="1">
      <alignment horizontal="center" vertical="center"/>
    </xf>
    <xf numFmtId="2" fontId="21" fillId="4" borderId="80" xfId="12" applyNumberFormat="1" applyFont="1" applyFill="1" applyBorder="1" applyAlignment="1">
      <alignment horizontal="center" vertical="center"/>
    </xf>
    <xf numFmtId="2" fontId="21" fillId="4" borderId="5" xfId="12" applyNumberFormat="1" applyFont="1" applyFill="1" applyBorder="1" applyAlignment="1">
      <alignment horizontal="center" vertical="center"/>
    </xf>
    <xf numFmtId="2" fontId="21" fillId="4" borderId="8" xfId="12" applyNumberFormat="1" applyFont="1" applyFill="1" applyBorder="1" applyAlignment="1">
      <alignment horizontal="center" vertical="center"/>
    </xf>
    <xf numFmtId="0" fontId="22" fillId="4" borderId="134" xfId="12" applyFont="1" applyFill="1" applyBorder="1" applyAlignment="1">
      <alignment horizontal="center" vertical="center" wrapText="1"/>
    </xf>
    <xf numFmtId="0" fontId="22" fillId="4" borderId="138" xfId="12" applyFont="1" applyFill="1" applyBorder="1" applyAlignment="1">
      <alignment horizontal="center" vertical="center" wrapText="1"/>
    </xf>
    <xf numFmtId="0" fontId="22" fillId="4" borderId="135" xfId="12" applyFont="1" applyFill="1" applyBorder="1" applyAlignment="1">
      <alignment horizontal="center"/>
    </xf>
    <xf numFmtId="0" fontId="22" fillId="4" borderId="136" xfId="12" applyFont="1" applyFill="1" applyBorder="1" applyAlignment="1">
      <alignment horizontal="center"/>
    </xf>
    <xf numFmtId="0" fontId="22" fillId="4" borderId="137" xfId="12" applyFont="1" applyFill="1" applyBorder="1" applyAlignment="1">
      <alignment horizontal="center"/>
    </xf>
    <xf numFmtId="0" fontId="22" fillId="4" borderId="147" xfId="12" applyFont="1" applyFill="1" applyBorder="1" applyAlignment="1">
      <alignment horizontal="center" wrapText="1"/>
    </xf>
    <xf numFmtId="0" fontId="22" fillId="4" borderId="103" xfId="12" applyFont="1" applyFill="1" applyBorder="1" applyAlignment="1">
      <alignment horizontal="center" wrapText="1"/>
    </xf>
    <xf numFmtId="0" fontId="22" fillId="4" borderId="104" xfId="12" applyFont="1" applyFill="1" applyBorder="1" applyAlignment="1">
      <alignment horizontal="center" wrapText="1"/>
    </xf>
    <xf numFmtId="0" fontId="22" fillId="4" borderId="148" xfId="12" applyFont="1" applyFill="1" applyBorder="1" applyAlignment="1">
      <alignment horizontal="center"/>
    </xf>
    <xf numFmtId="0" fontId="22" fillId="4" borderId="149" xfId="12" applyFont="1" applyFill="1" applyBorder="1" applyAlignment="1">
      <alignment horizontal="center"/>
    </xf>
    <xf numFmtId="0" fontId="22" fillId="4" borderId="113" xfId="12" applyFont="1" applyFill="1" applyBorder="1" applyAlignment="1">
      <alignment horizontal="center" vertical="center" wrapText="1"/>
    </xf>
    <xf numFmtId="0" fontId="0" fillId="0" borderId="105" xfId="0" applyBorder="1" applyAlignment="1">
      <alignment horizontal="center" vertical="center" wrapText="1"/>
    </xf>
    <xf numFmtId="0" fontId="22" fillId="4" borderId="150" xfId="12" applyFont="1" applyFill="1" applyBorder="1" applyAlignment="1">
      <alignment horizontal="center" vertical="center"/>
    </xf>
    <xf numFmtId="0" fontId="0" fillId="0" borderId="26" xfId="0" applyBorder="1" applyAlignment="1">
      <alignment horizontal="center" vertical="center"/>
    </xf>
    <xf numFmtId="0" fontId="0" fillId="0" borderId="106" xfId="0" applyBorder="1" applyAlignment="1">
      <alignment horizontal="center" vertical="center"/>
    </xf>
    <xf numFmtId="0" fontId="0" fillId="0" borderId="136" xfId="0" applyBorder="1" applyAlignment="1">
      <alignment horizontal="center"/>
    </xf>
    <xf numFmtId="0" fontId="0" fillId="0" borderId="137" xfId="0" applyBorder="1" applyAlignment="1">
      <alignment horizontal="center"/>
    </xf>
    <xf numFmtId="0" fontId="18" fillId="2" borderId="0" xfId="12" applyFont="1" applyFill="1" applyAlignment="1">
      <alignment vertical="center" wrapText="1"/>
    </xf>
    <xf numFmtId="0" fontId="39" fillId="2" borderId="171" xfId="1" applyFont="1" applyFill="1" applyBorder="1" applyAlignment="1" applyProtection="1">
      <alignment horizontal="left" vertical="center" wrapText="1"/>
      <protection locked="0"/>
    </xf>
    <xf numFmtId="0" fontId="39" fillId="2" borderId="172" xfId="1" applyFont="1" applyFill="1" applyBorder="1" applyAlignment="1" applyProtection="1">
      <alignment horizontal="left" vertical="center" wrapText="1"/>
      <protection locked="0"/>
    </xf>
    <xf numFmtId="0" fontId="39" fillId="2" borderId="164" xfId="1" applyFont="1" applyFill="1" applyBorder="1" applyAlignment="1" applyProtection="1">
      <alignment horizontal="left" vertical="center" wrapText="1"/>
      <protection locked="0"/>
    </xf>
    <xf numFmtId="0" fontId="39" fillId="2" borderId="32" xfId="1" applyFont="1" applyFill="1" applyBorder="1" applyAlignment="1" applyProtection="1">
      <alignment horizontal="left" vertical="center" wrapText="1"/>
      <protection locked="0"/>
    </xf>
    <xf numFmtId="0" fontId="39" fillId="2" borderId="116" xfId="1" applyFont="1" applyFill="1" applyBorder="1" applyAlignment="1" applyProtection="1">
      <alignment horizontal="left" vertical="center" wrapText="1"/>
      <protection locked="0"/>
    </xf>
    <xf numFmtId="0" fontId="39" fillId="2" borderId="170" xfId="1" applyFont="1" applyFill="1" applyBorder="1" applyAlignment="1" applyProtection="1">
      <alignment horizontal="left" vertical="center" wrapText="1"/>
      <protection locked="0"/>
    </xf>
    <xf numFmtId="0" fontId="59" fillId="4" borderId="156" xfId="1" applyFont="1" applyFill="1" applyBorder="1" applyAlignment="1">
      <alignment horizontal="center"/>
    </xf>
    <xf numFmtId="0" fontId="59" fillId="4" borderId="157" xfId="1" applyFont="1" applyFill="1" applyBorder="1" applyAlignment="1">
      <alignment horizontal="center"/>
    </xf>
    <xf numFmtId="0" fontId="59" fillId="4" borderId="158" xfId="1" applyFont="1" applyFill="1" applyBorder="1" applyAlignment="1">
      <alignment horizontal="center"/>
    </xf>
    <xf numFmtId="0" fontId="59" fillId="4" borderId="45" xfId="1" applyFont="1" applyFill="1" applyBorder="1" applyAlignment="1">
      <alignment horizontal="center"/>
    </xf>
    <xf numFmtId="0" fontId="59" fillId="4" borderId="173" xfId="1" applyFont="1" applyFill="1" applyBorder="1" applyAlignment="1">
      <alignment horizontal="center"/>
    </xf>
    <xf numFmtId="0" fontId="22" fillId="4" borderId="44" xfId="0" applyFont="1" applyFill="1" applyBorder="1" applyAlignment="1">
      <alignment horizontal="center" vertical="top" wrapText="1"/>
    </xf>
    <xf numFmtId="0" fontId="22" fillId="4" borderId="159" xfId="0" applyFont="1" applyFill="1" applyBorder="1" applyAlignment="1">
      <alignment horizontal="center" vertical="top" wrapText="1"/>
    </xf>
    <xf numFmtId="0" fontId="22" fillId="4" borderId="57" xfId="0" applyFont="1" applyFill="1" applyBorder="1" applyAlignment="1">
      <alignment horizontal="center" vertical="top" wrapText="1"/>
    </xf>
    <xf numFmtId="0" fontId="22" fillId="4" borderId="141" xfId="0" applyFont="1" applyFill="1" applyBorder="1" applyAlignment="1">
      <alignment horizontal="center" vertical="top" wrapText="1"/>
    </xf>
    <xf numFmtId="0" fontId="22" fillId="4" borderId="156" xfId="0" applyFont="1" applyFill="1" applyBorder="1" applyAlignment="1">
      <alignment horizontal="center" vertical="top" wrapText="1"/>
    </xf>
    <xf numFmtId="0" fontId="22" fillId="4" borderId="157" xfId="0" applyFont="1" applyFill="1" applyBorder="1" applyAlignment="1">
      <alignment horizontal="center" vertical="top" wrapText="1"/>
    </xf>
    <xf numFmtId="0" fontId="22" fillId="4" borderId="30" xfId="0" applyFont="1" applyFill="1" applyBorder="1" applyAlignment="1">
      <alignment horizontal="center" vertical="top" wrapText="1"/>
    </xf>
    <xf numFmtId="0" fontId="22" fillId="4" borderId="23" xfId="0" applyFont="1" applyFill="1" applyBorder="1" applyAlignment="1">
      <alignment horizontal="center" vertical="top" wrapText="1"/>
    </xf>
    <xf numFmtId="0" fontId="22" fillId="4" borderId="31" xfId="0" applyFont="1" applyFill="1" applyBorder="1" applyAlignment="1">
      <alignment horizontal="center" vertical="top" wrapText="1"/>
    </xf>
    <xf numFmtId="0" fontId="22" fillId="4" borderId="6" xfId="0" applyFont="1" applyFill="1" applyBorder="1" applyAlignment="1">
      <alignment horizontal="center" vertical="top" wrapText="1"/>
    </xf>
    <xf numFmtId="0" fontId="22" fillId="13" borderId="141" xfId="0" applyFont="1" applyFill="1" applyBorder="1" applyAlignment="1">
      <alignment horizontal="center" vertical="top"/>
    </xf>
    <xf numFmtId="0" fontId="22" fillId="4" borderId="155" xfId="0" applyFont="1" applyFill="1" applyBorder="1" applyAlignment="1">
      <alignment horizontal="center" vertical="top" wrapText="1"/>
    </xf>
    <xf numFmtId="0" fontId="22" fillId="4" borderId="143" xfId="0" applyFont="1" applyFill="1" applyBorder="1" applyAlignment="1">
      <alignment horizontal="center" vertical="top" wrapText="1"/>
    </xf>
    <xf numFmtId="0" fontId="22" fillId="4" borderId="158" xfId="0" applyFont="1" applyFill="1" applyBorder="1" applyAlignment="1">
      <alignment horizontal="center" vertical="top" wrapText="1"/>
    </xf>
    <xf numFmtId="0" fontId="22" fillId="4" borderId="120" xfId="0" applyFont="1" applyFill="1" applyBorder="1" applyAlignment="1">
      <alignment horizontal="center" vertical="top"/>
    </xf>
    <xf numFmtId="0" fontId="22" fillId="4" borderId="160" xfId="0" applyFont="1" applyFill="1" applyBorder="1" applyAlignment="1">
      <alignment horizontal="center" vertical="top"/>
    </xf>
    <xf numFmtId="0" fontId="22" fillId="4" borderId="45" xfId="0" applyFont="1" applyFill="1" applyBorder="1" applyAlignment="1">
      <alignment horizontal="center" vertical="top" wrapText="1"/>
    </xf>
    <xf numFmtId="0" fontId="59" fillId="4" borderId="7" xfId="0" applyFont="1" applyFill="1" applyBorder="1" applyAlignment="1">
      <alignment horizontal="center" vertical="center" wrapText="1"/>
    </xf>
    <xf numFmtId="0" fontId="59" fillId="4" borderId="5" xfId="0" applyFont="1" applyFill="1" applyBorder="1" applyAlignment="1">
      <alignment horizontal="center" vertical="center" wrapText="1"/>
    </xf>
    <xf numFmtId="0" fontId="59" fillId="4" borderId="24" xfId="0" applyFont="1" applyFill="1" applyBorder="1" applyAlignment="1">
      <alignment horizontal="center" vertical="center" wrapText="1"/>
    </xf>
    <xf numFmtId="0" fontId="59" fillId="4" borderId="32" xfId="0" applyFont="1" applyFill="1" applyBorder="1" applyAlignment="1">
      <alignment horizontal="center" vertical="center" wrapText="1"/>
    </xf>
    <xf numFmtId="0" fontId="59" fillId="4" borderId="116" xfId="0" applyFont="1" applyFill="1" applyBorder="1" applyAlignment="1">
      <alignment horizontal="center" vertical="center" wrapText="1"/>
    </xf>
    <xf numFmtId="0" fontId="59" fillId="4" borderId="170" xfId="0" applyFont="1" applyFill="1" applyBorder="1" applyAlignment="1">
      <alignment horizontal="center" vertical="center" wrapText="1"/>
    </xf>
    <xf numFmtId="1" fontId="59" fillId="4" borderId="156" xfId="0" applyNumberFormat="1" applyFont="1" applyFill="1" applyBorder="1" applyAlignment="1">
      <alignment horizontal="center" vertical="center"/>
    </xf>
    <xf numFmtId="1" fontId="59" fillId="4" borderId="157" xfId="0" applyNumberFormat="1" applyFont="1" applyFill="1" applyBorder="1" applyAlignment="1">
      <alignment horizontal="center" vertical="center"/>
    </xf>
    <xf numFmtId="1" fontId="59" fillId="4" borderId="158" xfId="0" applyNumberFormat="1" applyFont="1" applyFill="1" applyBorder="1" applyAlignment="1">
      <alignment horizontal="center" vertical="center"/>
    </xf>
    <xf numFmtId="0" fontId="22" fillId="4" borderId="25" xfId="0" applyFont="1" applyFill="1" applyBorder="1" applyAlignment="1">
      <alignment horizontal="center" vertical="top" wrapText="1"/>
    </xf>
    <xf numFmtId="0" fontId="22" fillId="4" borderId="18" xfId="0" applyFont="1" applyFill="1" applyBorder="1" applyAlignment="1">
      <alignment horizontal="center" vertical="top" wrapText="1"/>
    </xf>
    <xf numFmtId="0" fontId="22" fillId="4" borderId="125" xfId="0" applyFont="1" applyFill="1" applyBorder="1" applyAlignment="1">
      <alignment horizontal="center" vertical="top" wrapText="1"/>
    </xf>
    <xf numFmtId="0" fontId="22" fillId="4" borderId="146" xfId="0" applyFont="1" applyFill="1" applyBorder="1" applyAlignment="1">
      <alignment horizontal="center" vertical="top" wrapText="1"/>
    </xf>
    <xf numFmtId="0" fontId="22" fillId="4" borderId="124" xfId="0" applyFont="1" applyFill="1" applyBorder="1" applyAlignment="1">
      <alignment horizontal="center" vertical="top" wrapText="1"/>
    </xf>
    <xf numFmtId="0" fontId="22" fillId="4" borderId="126" xfId="0" applyFont="1" applyFill="1" applyBorder="1" applyAlignment="1">
      <alignment horizontal="center" vertical="top" wrapText="1"/>
    </xf>
    <xf numFmtId="0" fontId="22" fillId="4" borderId="129" xfId="0" applyFont="1" applyFill="1" applyBorder="1" applyAlignment="1">
      <alignment horizontal="center" vertical="top" wrapText="1"/>
    </xf>
    <xf numFmtId="172" fontId="21" fillId="4" borderId="161" xfId="5" applyNumberFormat="1" applyFont="1" applyFill="1" applyBorder="1" applyAlignment="1">
      <alignment horizontal="center"/>
    </xf>
    <xf numFmtId="172" fontId="21" fillId="4" borderId="15" xfId="5" applyNumberFormat="1" applyFont="1" applyFill="1" applyBorder="1" applyAlignment="1">
      <alignment horizontal="center"/>
    </xf>
    <xf numFmtId="172" fontId="21" fillId="4" borderId="174" xfId="5" applyNumberFormat="1" applyFont="1" applyFill="1" applyBorder="1" applyAlignment="1">
      <alignment horizontal="center"/>
    </xf>
    <xf numFmtId="172" fontId="21" fillId="4" borderId="14" xfId="5" applyNumberFormat="1" applyFont="1" applyFill="1" applyBorder="1" applyAlignment="1">
      <alignment horizontal="center"/>
    </xf>
    <xf numFmtId="0" fontId="21" fillId="4" borderId="155" xfId="0" applyFont="1" applyFill="1" applyBorder="1" applyAlignment="1">
      <alignment horizontal="center" wrapText="1"/>
    </xf>
    <xf numFmtId="0" fontId="21" fillId="4" borderId="162" xfId="0" applyFont="1" applyFill="1" applyBorder="1" applyAlignment="1">
      <alignment horizontal="center" wrapText="1"/>
    </xf>
    <xf numFmtId="0" fontId="21" fillId="4" borderId="31" xfId="0" applyFont="1" applyFill="1" applyBorder="1" applyAlignment="1">
      <alignment horizontal="center" vertical="center" wrapText="1"/>
    </xf>
    <xf numFmtId="0" fontId="21" fillId="4" borderId="143" xfId="0" applyFont="1" applyFill="1" applyBorder="1" applyAlignment="1">
      <alignment horizontal="center" vertical="center" wrapText="1"/>
    </xf>
    <xf numFmtId="0" fontId="21" fillId="4" borderId="162" xfId="0" applyFont="1" applyFill="1" applyBorder="1" applyAlignment="1">
      <alignment horizontal="center" vertical="center" wrapText="1"/>
    </xf>
    <xf numFmtId="0" fontId="21" fillId="4" borderId="30" xfId="0" applyFont="1" applyFill="1" applyBorder="1" applyAlignment="1">
      <alignment horizontal="center" vertical="center" wrapText="1"/>
    </xf>
    <xf numFmtId="0" fontId="21" fillId="4" borderId="13" xfId="0" applyFont="1" applyFill="1" applyBorder="1" applyAlignment="1">
      <alignment horizontal="center" vertical="center" wrapText="1"/>
    </xf>
    <xf numFmtId="0" fontId="21" fillId="4" borderId="14" xfId="0" applyFont="1" applyFill="1" applyBorder="1" applyAlignment="1">
      <alignment horizontal="center" vertical="center" wrapText="1"/>
    </xf>
    <xf numFmtId="172" fontId="21" fillId="4" borderId="156" xfId="5" applyNumberFormat="1" applyFont="1" applyFill="1" applyBorder="1" applyAlignment="1">
      <alignment horizontal="center"/>
    </xf>
    <xf numFmtId="172" fontId="21" fillId="4" borderId="157" xfId="5" applyNumberFormat="1" applyFont="1" applyFill="1" applyBorder="1" applyAlignment="1">
      <alignment horizontal="center"/>
    </xf>
    <xf numFmtId="172" fontId="21" fillId="4" borderId="158" xfId="5" applyNumberFormat="1" applyFont="1" applyFill="1" applyBorder="1" applyAlignment="1">
      <alignment horizontal="center"/>
    </xf>
    <xf numFmtId="172" fontId="21" fillId="4" borderId="156" xfId="5" applyNumberFormat="1" applyFont="1" applyFill="1" applyBorder="1" applyAlignment="1">
      <alignment horizontal="center" wrapText="1"/>
    </xf>
    <xf numFmtId="172" fontId="21" fillId="4" borderId="157" xfId="5" applyNumberFormat="1" applyFont="1" applyFill="1" applyBorder="1" applyAlignment="1">
      <alignment horizontal="center" wrapText="1"/>
    </xf>
    <xf numFmtId="172" fontId="21" fillId="4" borderId="158" xfId="5" applyNumberFormat="1" applyFont="1" applyFill="1" applyBorder="1" applyAlignment="1">
      <alignment horizontal="center" wrapText="1"/>
    </xf>
    <xf numFmtId="172" fontId="21" fillId="4" borderId="124" xfId="5" applyNumberFormat="1" applyFont="1" applyFill="1" applyBorder="1" applyAlignment="1">
      <alignment horizontal="center"/>
    </xf>
    <xf numFmtId="172" fontId="21" fillId="4" borderId="126" xfId="5" applyNumberFormat="1" applyFont="1" applyFill="1" applyBorder="1" applyAlignment="1">
      <alignment horizontal="center"/>
    </xf>
    <xf numFmtId="0" fontId="21" fillId="4" borderId="30" xfId="0" applyFont="1" applyFill="1" applyBorder="1" applyAlignment="1">
      <alignment horizontal="left" vertical="top" wrapText="1"/>
    </xf>
    <xf numFmtId="0" fontId="21" fillId="4" borderId="13" xfId="0" applyFont="1" applyFill="1" applyBorder="1" applyAlignment="1">
      <alignment horizontal="left" vertical="top" wrapText="1"/>
    </xf>
    <xf numFmtId="0" fontId="21" fillId="4" borderId="34" xfId="0" applyFont="1" applyFill="1" applyBorder="1" applyAlignment="1">
      <alignment horizontal="left" vertical="top" wrapText="1"/>
    </xf>
    <xf numFmtId="0" fontId="21" fillId="4" borderId="31" xfId="0" applyFont="1" applyFill="1" applyBorder="1" applyAlignment="1">
      <alignment horizontal="left" vertical="top" wrapText="1"/>
    </xf>
    <xf numFmtId="0" fontId="21" fillId="4" borderId="143" xfId="0" applyFont="1" applyFill="1" applyBorder="1" applyAlignment="1">
      <alignment horizontal="left" vertical="top" wrapText="1"/>
    </xf>
    <xf numFmtId="0" fontId="21" fillId="4" borderId="144" xfId="0" applyFont="1" applyFill="1" applyBorder="1" applyAlignment="1">
      <alignment horizontal="left" vertical="top" wrapText="1"/>
    </xf>
    <xf numFmtId="172" fontId="21" fillId="4" borderId="129" xfId="5" applyNumberFormat="1" applyFont="1" applyFill="1" applyBorder="1" applyAlignment="1">
      <alignment horizontal="center"/>
    </xf>
    <xf numFmtId="0" fontId="21" fillId="4" borderId="30" xfId="0" applyFont="1" applyFill="1" applyBorder="1" applyAlignment="1">
      <alignment horizontal="center" vertical="top" wrapText="1"/>
    </xf>
    <xf numFmtId="0" fontId="21" fillId="4" borderId="13" xfId="0" applyFont="1" applyFill="1" applyBorder="1" applyAlignment="1">
      <alignment horizontal="center" vertical="top" wrapText="1"/>
    </xf>
    <xf numFmtId="0" fontId="21" fillId="4" borderId="14" xfId="0" applyFont="1" applyFill="1" applyBorder="1" applyAlignment="1">
      <alignment horizontal="center" vertical="top" wrapText="1"/>
    </xf>
    <xf numFmtId="0" fontId="21" fillId="4" borderId="31" xfId="0" applyFont="1" applyFill="1" applyBorder="1" applyAlignment="1">
      <alignment horizontal="center" vertical="top" wrapText="1"/>
    </xf>
    <xf numFmtId="0" fontId="21" fillId="4" borderId="143" xfId="0" applyFont="1" applyFill="1" applyBorder="1" applyAlignment="1">
      <alignment horizontal="center" vertical="top" wrapText="1"/>
    </xf>
    <xf numFmtId="0" fontId="21" fillId="4" borderId="162" xfId="0" applyFont="1" applyFill="1" applyBorder="1" applyAlignment="1">
      <alignment horizontal="center" vertical="top" wrapText="1"/>
    </xf>
    <xf numFmtId="172" fontId="21" fillId="4" borderId="7" xfId="5" applyNumberFormat="1" applyFont="1" applyFill="1" applyBorder="1" applyAlignment="1">
      <alignment horizontal="center"/>
    </xf>
    <xf numFmtId="172" fontId="21" fillId="4" borderId="5" xfId="5" applyNumberFormat="1" applyFont="1" applyFill="1" applyBorder="1" applyAlignment="1">
      <alignment horizontal="center"/>
    </xf>
    <xf numFmtId="172" fontId="21" fillId="4" borderId="8" xfId="5" applyNumberFormat="1" applyFont="1" applyFill="1" applyBorder="1" applyAlignment="1">
      <alignment horizontal="center"/>
    </xf>
    <xf numFmtId="172" fontId="21" fillId="4" borderId="45" xfId="5" applyNumberFormat="1" applyFont="1" applyFill="1" applyBorder="1" applyAlignment="1">
      <alignment horizontal="center"/>
    </xf>
    <xf numFmtId="172" fontId="21" fillId="4" borderId="125" xfId="5" applyNumberFormat="1" applyFont="1" applyFill="1" applyBorder="1" applyAlignment="1">
      <alignment horizontal="center"/>
    </xf>
    <xf numFmtId="172" fontId="21" fillId="4" borderId="146" xfId="5" applyNumberFormat="1" applyFont="1" applyFill="1" applyBorder="1" applyAlignment="1">
      <alignment horizontal="center"/>
    </xf>
    <xf numFmtId="172" fontId="59" fillId="4" borderId="125" xfId="5" applyNumberFormat="1" applyFont="1" applyFill="1" applyBorder="1" applyAlignment="1">
      <alignment horizontal="center"/>
    </xf>
    <xf numFmtId="172" fontId="59" fillId="4" borderId="124" xfId="5" applyNumberFormat="1" applyFont="1" applyFill="1" applyBorder="1" applyAlignment="1">
      <alignment horizontal="center"/>
    </xf>
    <xf numFmtId="172" fontId="21" fillId="4" borderId="7" xfId="5" applyNumberFormat="1" applyFont="1" applyFill="1" applyBorder="1" applyAlignment="1">
      <alignment horizontal="center" vertical="top"/>
    </xf>
    <xf numFmtId="172" fontId="21" fillId="4" borderId="8" xfId="5" applyNumberFormat="1" applyFont="1" applyFill="1" applyBorder="1" applyAlignment="1">
      <alignment horizontal="center" vertical="top"/>
    </xf>
    <xf numFmtId="172" fontId="21" fillId="4" borderId="32" xfId="5" applyNumberFormat="1" applyFont="1" applyFill="1" applyBorder="1" applyAlignment="1">
      <alignment horizontal="center" vertical="top"/>
    </xf>
    <xf numFmtId="172" fontId="21" fillId="4" borderId="100" xfId="5" applyNumberFormat="1" applyFont="1" applyFill="1" applyBorder="1" applyAlignment="1">
      <alignment horizontal="center" vertical="top"/>
    </xf>
    <xf numFmtId="172" fontId="21" fillId="4" borderId="10" xfId="5" applyNumberFormat="1" applyFont="1" applyFill="1" applyBorder="1" applyAlignment="1">
      <alignment horizontal="center" vertical="top" wrapText="1"/>
    </xf>
    <xf numFmtId="172" fontId="21" fillId="4" borderId="12" xfId="5" applyNumberFormat="1" applyFont="1" applyFill="1" applyBorder="1" applyAlignment="1">
      <alignment horizontal="center" vertical="top" wrapText="1"/>
    </xf>
    <xf numFmtId="172" fontId="21" fillId="4" borderId="33" xfId="5" applyNumberFormat="1" applyFont="1" applyFill="1" applyBorder="1" applyAlignment="1">
      <alignment horizontal="center" vertical="top" wrapText="1"/>
    </xf>
    <xf numFmtId="172" fontId="21" fillId="4" borderId="117" xfId="5" applyNumberFormat="1" applyFont="1" applyFill="1" applyBorder="1" applyAlignment="1">
      <alignment horizontal="center"/>
    </xf>
    <xf numFmtId="172" fontId="21" fillId="4" borderId="160" xfId="5" applyNumberFormat="1" applyFont="1" applyFill="1" applyBorder="1" applyAlignment="1">
      <alignment horizontal="center"/>
    </xf>
    <xf numFmtId="172" fontId="21" fillId="4" borderId="155" xfId="5" applyNumberFormat="1" applyFont="1" applyFill="1" applyBorder="1" applyAlignment="1">
      <alignment horizontal="center"/>
    </xf>
    <xf numFmtId="0" fontId="21" fillId="4" borderId="125" xfId="0" applyFont="1" applyFill="1" applyBorder="1" applyAlignment="1">
      <alignment horizontal="center" wrapText="1"/>
    </xf>
    <xf numFmtId="0" fontId="21" fillId="4" borderId="124" xfId="0" applyFont="1" applyFill="1" applyBorder="1" applyAlignment="1">
      <alignment horizontal="center" wrapText="1"/>
    </xf>
    <xf numFmtId="0" fontId="21" fillId="4" borderId="146" xfId="0" applyFont="1" applyFill="1" applyBorder="1" applyAlignment="1">
      <alignment horizontal="center" wrapText="1"/>
    </xf>
    <xf numFmtId="172" fontId="21" fillId="4" borderId="41" xfId="5" applyNumberFormat="1" applyFont="1" applyFill="1" applyBorder="1" applyAlignment="1">
      <alignment horizontal="center"/>
    </xf>
    <xf numFmtId="172" fontId="21" fillId="4" borderId="177" xfId="5" applyNumberFormat="1" applyFont="1" applyFill="1" applyBorder="1" applyAlignment="1">
      <alignment horizontal="center"/>
    </xf>
    <xf numFmtId="172" fontId="21" fillId="4" borderId="32" xfId="5" applyNumberFormat="1" applyFont="1" applyFill="1" applyBorder="1" applyAlignment="1">
      <alignment horizontal="center"/>
    </xf>
    <xf numFmtId="172" fontId="21" fillId="4" borderId="98" xfId="5" applyNumberFormat="1" applyFont="1" applyFill="1" applyBorder="1" applyAlignment="1">
      <alignment horizontal="center"/>
    </xf>
    <xf numFmtId="172" fontId="21" fillId="4" borderId="102" xfId="5" applyNumberFormat="1" applyFont="1" applyFill="1" applyBorder="1" applyAlignment="1">
      <alignment horizontal="center"/>
    </xf>
    <xf numFmtId="172" fontId="21" fillId="4" borderId="44" xfId="5" applyNumberFormat="1" applyFont="1" applyFill="1" applyBorder="1" applyAlignment="1">
      <alignment horizontal="center"/>
    </xf>
    <xf numFmtId="172" fontId="21" fillId="4" borderId="57" xfId="5" applyNumberFormat="1" applyFont="1" applyFill="1" applyBorder="1" applyAlignment="1">
      <alignment horizontal="center"/>
    </xf>
    <xf numFmtId="172" fontId="21" fillId="4" borderId="37" xfId="5" applyNumberFormat="1" applyFont="1" applyFill="1" applyBorder="1" applyAlignment="1">
      <alignment horizontal="center"/>
    </xf>
    <xf numFmtId="172" fontId="21" fillId="4" borderId="10" xfId="5" applyNumberFormat="1" applyFont="1" applyFill="1" applyBorder="1" applyAlignment="1">
      <alignment horizontal="center" vertical="center"/>
    </xf>
    <xf numFmtId="172" fontId="21" fillId="4" borderId="33" xfId="5" applyNumberFormat="1" applyFont="1" applyFill="1" applyBorder="1" applyAlignment="1">
      <alignment horizontal="center" vertical="center"/>
    </xf>
    <xf numFmtId="172" fontId="21" fillId="4" borderId="156" xfId="5" applyNumberFormat="1" applyFont="1" applyFill="1" applyBorder="1" applyAlignment="1">
      <alignment horizontal="center" vertical="center"/>
    </xf>
    <xf numFmtId="172" fontId="21" fillId="4" borderId="157" xfId="5" applyNumberFormat="1" applyFont="1" applyFill="1" applyBorder="1" applyAlignment="1">
      <alignment horizontal="center" vertical="center"/>
    </xf>
    <xf numFmtId="172" fontId="21" fillId="4" borderId="158" xfId="5" applyNumberFormat="1" applyFont="1" applyFill="1" applyBorder="1" applyAlignment="1">
      <alignment horizontal="center" vertical="center"/>
    </xf>
    <xf numFmtId="172" fontId="21" fillId="4" borderId="44" xfId="5" applyNumberFormat="1" applyFont="1" applyFill="1" applyBorder="1" applyAlignment="1">
      <alignment horizontal="center" vertical="center"/>
    </xf>
    <xf numFmtId="172" fontId="21" fillId="4" borderId="57" xfId="5" applyNumberFormat="1" applyFont="1" applyFill="1" applyBorder="1" applyAlignment="1">
      <alignment horizontal="center" vertical="center"/>
    </xf>
    <xf numFmtId="172" fontId="21" fillId="4" borderId="58" xfId="5" applyNumberFormat="1" applyFont="1" applyFill="1" applyBorder="1" applyAlignment="1">
      <alignment horizontal="center" vertical="center"/>
    </xf>
    <xf numFmtId="172" fontId="21" fillId="4" borderId="159" xfId="5" applyNumberFormat="1" applyFont="1" applyFill="1" applyBorder="1" applyAlignment="1">
      <alignment horizontal="center" vertical="center"/>
    </xf>
    <xf numFmtId="172" fontId="21" fillId="4" borderId="141" xfId="5" applyNumberFormat="1" applyFont="1" applyFill="1" applyBorder="1" applyAlignment="1">
      <alignment horizontal="center" vertical="center"/>
    </xf>
    <xf numFmtId="172" fontId="21" fillId="4" borderId="169" xfId="5" applyNumberFormat="1" applyFont="1" applyFill="1" applyBorder="1" applyAlignment="1">
      <alignment horizontal="center" vertical="center"/>
    </xf>
    <xf numFmtId="172" fontId="21" fillId="4" borderId="7" xfId="5" applyNumberFormat="1" applyFont="1" applyFill="1" applyBorder="1" applyAlignment="1">
      <alignment horizontal="center" vertical="center"/>
    </xf>
    <xf numFmtId="172" fontId="21" fillId="4" borderId="5" xfId="5" applyNumberFormat="1" applyFont="1" applyFill="1" applyBorder="1" applyAlignment="1">
      <alignment horizontal="center" vertical="center"/>
    </xf>
    <xf numFmtId="172" fontId="21" fillId="4" borderId="8" xfId="5" applyNumberFormat="1" applyFont="1" applyFill="1" applyBorder="1" applyAlignment="1">
      <alignment horizontal="center" vertical="center"/>
    </xf>
    <xf numFmtId="172" fontId="21" fillId="4" borderId="124" xfId="5" applyNumberFormat="1" applyFont="1" applyFill="1" applyBorder="1" applyAlignment="1">
      <alignment horizontal="center" vertical="top" wrapText="1"/>
    </xf>
    <xf numFmtId="172" fontId="21" fillId="4" borderId="126" xfId="5" applyNumberFormat="1" applyFont="1" applyFill="1" applyBorder="1" applyAlignment="1">
      <alignment horizontal="center" vertical="top" wrapText="1"/>
    </xf>
    <xf numFmtId="0" fontId="16" fillId="4" borderId="125" xfId="0" applyFont="1" applyFill="1" applyBorder="1" applyAlignment="1">
      <alignment horizontal="center"/>
    </xf>
    <xf numFmtId="0" fontId="16" fillId="4" borderId="126" xfId="0" applyFont="1" applyFill="1" applyBorder="1" applyAlignment="1">
      <alignment horizontal="center"/>
    </xf>
    <xf numFmtId="172" fontId="59" fillId="4" borderId="129" xfId="5" applyNumberFormat="1" applyFont="1" applyFill="1" applyBorder="1" applyAlignment="1">
      <alignment horizontal="center"/>
    </xf>
    <xf numFmtId="172" fontId="59" fillId="4" borderId="146" xfId="5" applyNumberFormat="1" applyFont="1" applyFill="1" applyBorder="1" applyAlignment="1">
      <alignment horizontal="center"/>
    </xf>
    <xf numFmtId="0" fontId="16" fillId="4" borderId="146" xfId="0" applyFont="1" applyFill="1" applyBorder="1" applyAlignment="1">
      <alignment horizontal="center"/>
    </xf>
    <xf numFmtId="0" fontId="21" fillId="4" borderId="125" xfId="5" applyFont="1" applyFill="1" applyBorder="1" applyAlignment="1">
      <alignment horizontal="center" vertical="top"/>
    </xf>
    <xf numFmtId="0" fontId="21" fillId="4" borderId="146" xfId="5" applyFont="1" applyFill="1" applyBorder="1" applyAlignment="1">
      <alignment horizontal="center" vertical="top"/>
    </xf>
    <xf numFmtId="0" fontId="21" fillId="4" borderId="129" xfId="5" applyFont="1" applyFill="1" applyBorder="1" applyAlignment="1">
      <alignment horizontal="center" vertical="top"/>
    </xf>
    <xf numFmtId="172" fontId="21" fillId="4" borderId="101" xfId="5" applyNumberFormat="1" applyFont="1" applyFill="1" applyBorder="1" applyAlignment="1">
      <alignment horizontal="center"/>
    </xf>
    <xf numFmtId="172" fontId="21" fillId="4" borderId="99" xfId="5" applyNumberFormat="1" applyFont="1" applyFill="1" applyBorder="1" applyAlignment="1">
      <alignment horizontal="center"/>
    </xf>
    <xf numFmtId="0" fontId="93" fillId="2" borderId="163" xfId="0" applyFont="1" applyFill="1" applyBorder="1" applyAlignment="1" applyProtection="1">
      <alignment horizontal="center" vertical="center" wrapText="1"/>
      <protection locked="0"/>
    </xf>
    <xf numFmtId="0" fontId="93" fillId="2" borderId="9" xfId="0" applyFont="1" applyFill="1" applyBorder="1" applyAlignment="1" applyProtection="1">
      <alignment horizontal="left" vertical="center" wrapText="1"/>
      <protection locked="0"/>
    </xf>
    <xf numFmtId="0" fontId="93" fillId="2" borderId="127" xfId="0" applyFont="1" applyFill="1" applyBorder="1" applyAlignment="1" applyProtection="1">
      <alignment horizontal="left" vertical="center" wrapText="1"/>
      <protection locked="0"/>
    </xf>
    <xf numFmtId="0" fontId="93" fillId="2" borderId="168" xfId="0" applyFont="1" applyFill="1" applyBorder="1" applyAlignment="1" applyProtection="1">
      <alignment horizontal="left" vertical="center" wrapText="1"/>
      <protection locked="0"/>
    </xf>
    <xf numFmtId="0" fontId="90" fillId="4" borderId="44" xfId="0" applyFont="1" applyFill="1" applyBorder="1" applyAlignment="1">
      <alignment horizontal="center" vertical="center" wrapText="1"/>
    </xf>
    <xf numFmtId="0" fontId="90" fillId="4" borderId="57" xfId="0" applyFont="1" applyFill="1" applyBorder="1" applyAlignment="1">
      <alignment horizontal="center" vertical="center" wrapText="1"/>
    </xf>
    <xf numFmtId="0" fontId="93" fillId="2" borderId="32" xfId="0" applyFont="1" applyFill="1" applyBorder="1" applyAlignment="1" applyProtection="1">
      <alignment horizontal="left" vertical="center" wrapText="1"/>
      <protection locked="0"/>
    </xf>
    <xf numFmtId="0" fontId="93" fillId="2" borderId="98" xfId="0" applyFont="1" applyFill="1" applyBorder="1" applyAlignment="1" applyProtection="1">
      <alignment horizontal="left" vertical="center" wrapText="1"/>
      <protection locked="0"/>
    </xf>
    <xf numFmtId="0" fontId="93" fillId="2" borderId="99" xfId="0" applyFont="1" applyFill="1" applyBorder="1" applyAlignment="1" applyProtection="1">
      <alignment horizontal="left" vertical="center" wrapText="1"/>
      <protection locked="0"/>
    </xf>
    <xf numFmtId="0" fontId="93" fillId="2" borderId="101" xfId="0" applyFont="1" applyFill="1" applyBorder="1" applyAlignment="1" applyProtection="1">
      <alignment horizontal="left" vertical="center" wrapText="1"/>
      <protection locked="0"/>
    </xf>
    <xf numFmtId="0" fontId="93" fillId="2" borderId="129" xfId="0" applyFont="1" applyFill="1" applyBorder="1" applyAlignment="1" applyProtection="1">
      <alignment horizontal="left" vertical="center" wrapText="1"/>
      <protection locked="0"/>
    </xf>
    <xf numFmtId="0" fontId="93" fillId="2" borderId="124" xfId="0" applyFont="1" applyFill="1" applyBorder="1" applyAlignment="1" applyProtection="1">
      <alignment horizontal="left" vertical="center" wrapText="1"/>
      <protection locked="0"/>
    </xf>
    <xf numFmtId="0" fontId="93" fillId="2" borderId="146" xfId="0" applyFont="1" applyFill="1" applyBorder="1" applyAlignment="1" applyProtection="1">
      <alignment horizontal="left" vertical="center" wrapText="1"/>
      <protection locked="0"/>
    </xf>
    <xf numFmtId="0" fontId="93" fillId="2" borderId="125" xfId="0" applyFont="1" applyFill="1" applyBorder="1" applyAlignment="1" applyProtection="1">
      <alignment horizontal="left" vertical="center" wrapText="1"/>
      <protection locked="0"/>
    </xf>
    <xf numFmtId="1" fontId="90" fillId="4" borderId="57" xfId="0" applyNumberFormat="1" applyFont="1" applyFill="1" applyBorder="1" applyAlignment="1">
      <alignment horizontal="center" vertical="center"/>
    </xf>
    <xf numFmtId="1" fontId="90" fillId="4" borderId="58" xfId="0" applyNumberFormat="1" applyFont="1" applyFill="1" applyBorder="1" applyAlignment="1">
      <alignment horizontal="center" vertical="center"/>
    </xf>
    <xf numFmtId="0" fontId="90" fillId="4" borderId="125" xfId="0" applyFont="1" applyFill="1" applyBorder="1" applyAlignment="1">
      <alignment horizontal="center" vertical="center" wrapText="1"/>
    </xf>
    <xf numFmtId="0" fontId="90" fillId="4" borderId="124" xfId="0" applyFont="1" applyFill="1" applyBorder="1" applyAlignment="1">
      <alignment horizontal="center" vertical="center" wrapText="1"/>
    </xf>
    <xf numFmtId="0" fontId="90" fillId="4" borderId="146" xfId="0" applyFont="1" applyFill="1" applyBorder="1" applyAlignment="1">
      <alignment horizontal="center" vertical="center" wrapText="1"/>
    </xf>
    <xf numFmtId="0" fontId="90" fillId="4" borderId="159" xfId="0" applyFont="1" applyFill="1" applyBorder="1" applyAlignment="1">
      <alignment horizontal="center" vertical="center" wrapText="1"/>
    </xf>
    <xf numFmtId="0" fontId="90" fillId="4" borderId="141" xfId="0" applyFont="1" applyFill="1" applyBorder="1" applyAlignment="1">
      <alignment horizontal="center" vertical="center" wrapText="1"/>
    </xf>
    <xf numFmtId="0" fontId="90" fillId="4" borderId="129" xfId="0" applyFont="1" applyFill="1" applyBorder="1" applyAlignment="1">
      <alignment horizontal="left" vertical="center"/>
    </xf>
    <xf numFmtId="0" fontId="90" fillId="4" borderId="124" xfId="0" applyFont="1" applyFill="1" applyBorder="1" applyAlignment="1">
      <alignment horizontal="left" vertical="center"/>
    </xf>
    <xf numFmtId="3" fontId="90" fillId="4" borderId="155" xfId="0" applyNumberFormat="1" applyFont="1" applyFill="1" applyBorder="1" applyAlignment="1">
      <alignment horizontal="center" vertical="center"/>
    </xf>
    <xf numFmtId="3" fontId="90" fillId="4" borderId="107" xfId="0" applyNumberFormat="1" applyFont="1" applyFill="1" applyBorder="1" applyAlignment="1">
      <alignment horizontal="center" vertical="center"/>
    </xf>
    <xf numFmtId="0" fontId="93" fillId="2" borderId="171" xfId="0" applyFont="1" applyFill="1" applyBorder="1" applyAlignment="1" applyProtection="1">
      <alignment horizontal="left" vertical="center" wrapText="1"/>
      <protection locked="0"/>
    </xf>
    <xf numFmtId="0" fontId="93" fillId="2" borderId="172" xfId="0" applyFont="1" applyFill="1" applyBorder="1" applyAlignment="1" applyProtection="1">
      <alignment horizontal="left" vertical="center" wrapText="1"/>
      <protection locked="0"/>
    </xf>
    <xf numFmtId="0" fontId="93" fillId="2" borderId="164" xfId="0" applyFont="1" applyFill="1" applyBorder="1" applyAlignment="1" applyProtection="1">
      <alignment horizontal="left" vertical="center" wrapText="1"/>
      <protection locked="0"/>
    </xf>
    <xf numFmtId="0" fontId="93" fillId="2" borderId="165" xfId="0" applyFont="1" applyFill="1" applyBorder="1" applyAlignment="1" applyProtection="1">
      <alignment horizontal="left" vertical="center" wrapText="1"/>
      <protection locked="0"/>
    </xf>
    <xf numFmtId="0" fontId="90" fillId="4" borderId="129" xfId="0" applyFont="1" applyFill="1" applyBorder="1" applyAlignment="1">
      <alignment horizontal="left" vertical="center" wrapText="1"/>
    </xf>
    <xf numFmtId="0" fontId="90" fillId="4" borderId="124" xfId="0" applyFont="1" applyFill="1" applyBorder="1" applyAlignment="1">
      <alignment horizontal="left" vertical="center" wrapText="1"/>
    </xf>
    <xf numFmtId="0" fontId="90" fillId="4" borderId="126" xfId="0" applyFont="1" applyFill="1" applyBorder="1" applyAlignment="1">
      <alignment horizontal="left" vertical="center" wrapText="1"/>
    </xf>
    <xf numFmtId="0" fontId="90" fillId="4" borderId="45" xfId="0" applyFont="1" applyFill="1" applyBorder="1" applyAlignment="1">
      <alignment horizontal="center" vertical="center" wrapText="1"/>
    </xf>
    <xf numFmtId="0" fontId="90" fillId="4" borderId="157" xfId="0" applyFont="1" applyFill="1" applyBorder="1" applyAlignment="1">
      <alignment horizontal="center" vertical="center" wrapText="1"/>
    </xf>
    <xf numFmtId="0" fontId="90" fillId="4" borderId="173" xfId="0" applyFont="1" applyFill="1" applyBorder="1" applyAlignment="1">
      <alignment horizontal="center" vertical="center" wrapText="1"/>
    </xf>
    <xf numFmtId="1" fontId="90" fillId="4" borderId="156" xfId="0" applyNumberFormat="1" applyFont="1" applyFill="1" applyBorder="1" applyAlignment="1">
      <alignment horizontal="center" vertical="center"/>
    </xf>
    <xf numFmtId="1" fontId="90" fillId="4" borderId="157" xfId="0" applyNumberFormat="1" applyFont="1" applyFill="1" applyBorder="1" applyAlignment="1">
      <alignment horizontal="center" vertical="center"/>
    </xf>
    <xf numFmtId="1" fontId="90" fillId="4" borderId="158" xfId="0" applyNumberFormat="1" applyFont="1" applyFill="1" applyBorder="1" applyAlignment="1">
      <alignment horizontal="center" vertical="center"/>
    </xf>
    <xf numFmtId="0" fontId="92" fillId="4" borderId="125" xfId="0" applyFont="1" applyFill="1" applyBorder="1" applyAlignment="1">
      <alignment horizontal="center" vertical="center" wrapText="1"/>
    </xf>
    <xf numFmtId="0" fontId="92" fillId="4" borderId="124" xfId="0" applyFont="1" applyFill="1" applyBorder="1" applyAlignment="1">
      <alignment horizontal="center" vertical="center" wrapText="1"/>
    </xf>
    <xf numFmtId="0" fontId="92" fillId="4" borderId="146" xfId="0" applyFont="1" applyFill="1" applyBorder="1" applyAlignment="1">
      <alignment horizontal="center" vertical="center" wrapText="1"/>
    </xf>
    <xf numFmtId="0" fontId="90" fillId="4" borderId="129" xfId="0" applyFont="1" applyFill="1" applyBorder="1" applyAlignment="1">
      <alignment horizontal="center" vertical="center" wrapText="1"/>
    </xf>
    <xf numFmtId="0" fontId="90" fillId="4" borderId="146" xfId="0" applyFont="1" applyFill="1" applyBorder="1" applyAlignment="1">
      <alignment horizontal="left" vertical="center" wrapText="1"/>
    </xf>
    <xf numFmtId="0" fontId="93" fillId="2" borderId="130" xfId="0" applyFont="1" applyFill="1" applyBorder="1" applyAlignment="1" applyProtection="1">
      <alignment horizontal="left" vertical="center" wrapText="1"/>
      <protection locked="0"/>
    </xf>
    <xf numFmtId="0" fontId="20" fillId="2" borderId="125" xfId="0" applyFont="1" applyFill="1" applyBorder="1" applyAlignment="1" applyProtection="1">
      <alignment horizontal="left" vertical="center" wrapText="1"/>
      <protection locked="0"/>
    </xf>
    <xf numFmtId="0" fontId="20" fillId="2" borderId="124" xfId="0" applyFont="1" applyFill="1" applyBorder="1" applyAlignment="1" applyProtection="1">
      <alignment horizontal="left" vertical="center" wrapText="1"/>
      <protection locked="0"/>
    </xf>
    <xf numFmtId="0" fontId="20" fillId="2" borderId="146" xfId="0" applyFont="1" applyFill="1" applyBorder="1" applyAlignment="1" applyProtection="1">
      <alignment horizontal="left" vertical="center" wrapText="1"/>
      <protection locked="0"/>
    </xf>
    <xf numFmtId="0" fontId="53" fillId="2" borderId="125" xfId="0" applyFont="1" applyFill="1" applyBorder="1" applyAlignment="1" applyProtection="1">
      <alignment horizontal="left" vertical="center" wrapText="1"/>
      <protection locked="0"/>
    </xf>
    <xf numFmtId="0" fontId="53" fillId="2" borderId="124" xfId="0" applyFont="1" applyFill="1" applyBorder="1" applyAlignment="1" applyProtection="1">
      <alignment horizontal="left" vertical="center" wrapText="1"/>
      <protection locked="0"/>
    </xf>
    <xf numFmtId="0" fontId="53" fillId="2" borderId="146" xfId="0" applyFont="1" applyFill="1" applyBorder="1" applyAlignment="1" applyProtection="1">
      <alignment horizontal="left" vertical="center" wrapText="1"/>
      <protection locked="0"/>
    </xf>
    <xf numFmtId="0" fontId="20" fillId="2" borderId="101" xfId="0" applyFont="1" applyFill="1" applyBorder="1" applyAlignment="1" applyProtection="1">
      <alignment horizontal="left" vertical="center" wrapText="1"/>
      <protection locked="0"/>
    </xf>
    <xf numFmtId="0" fontId="20" fillId="2" borderId="98" xfId="0" applyFont="1" applyFill="1" applyBorder="1" applyAlignment="1" applyProtection="1">
      <alignment horizontal="left" vertical="center" wrapText="1"/>
      <protection locked="0"/>
    </xf>
    <xf numFmtId="0" fontId="20" fillId="2" borderId="99" xfId="0" applyFont="1" applyFill="1" applyBorder="1" applyAlignment="1" applyProtection="1">
      <alignment horizontal="left" vertical="center" wrapText="1"/>
      <protection locked="0"/>
    </xf>
    <xf numFmtId="0" fontId="20" fillId="0" borderId="125" xfId="0" applyFont="1" applyBorder="1" applyAlignment="1" applyProtection="1">
      <alignment horizontal="left" vertical="center" wrapText="1"/>
      <protection locked="0"/>
    </xf>
    <xf numFmtId="0" fontId="20" fillId="0" borderId="124" xfId="0" applyFont="1" applyBorder="1" applyAlignment="1" applyProtection="1">
      <alignment horizontal="left" vertical="center" wrapText="1"/>
      <protection locked="0"/>
    </xf>
    <xf numFmtId="0" fontId="20" fillId="0" borderId="146" xfId="0" applyFont="1" applyBorder="1" applyAlignment="1" applyProtection="1">
      <alignment horizontal="left" vertical="center" wrapText="1"/>
      <protection locked="0"/>
    </xf>
    <xf numFmtId="0" fontId="53" fillId="0" borderId="125" xfId="0" applyFont="1" applyBorder="1" applyAlignment="1" applyProtection="1">
      <alignment horizontal="left" vertical="center" wrapText="1"/>
      <protection locked="0"/>
    </xf>
    <xf numFmtId="0" fontId="53" fillId="0" borderId="124" xfId="0" applyFont="1" applyBorder="1" applyAlignment="1" applyProtection="1">
      <alignment horizontal="left" vertical="center" wrapText="1"/>
      <protection locked="0"/>
    </xf>
    <xf numFmtId="0" fontId="53" fillId="0" borderId="146" xfId="0" applyFont="1" applyBorder="1" applyAlignment="1" applyProtection="1">
      <alignment horizontal="left" vertical="center" wrapText="1"/>
      <protection locked="0"/>
    </xf>
    <xf numFmtId="1" fontId="52" fillId="4" borderId="141" xfId="0" applyNumberFormat="1" applyFont="1" applyFill="1" applyBorder="1" applyAlignment="1">
      <alignment horizontal="center" vertical="center"/>
    </xf>
    <xf numFmtId="0" fontId="52" fillId="4" borderId="141" xfId="0" applyFont="1" applyFill="1" applyBorder="1" applyAlignment="1">
      <alignment horizontal="center" vertical="center" wrapText="1"/>
    </xf>
    <xf numFmtId="0" fontId="52" fillId="4" borderId="125" xfId="0" applyFont="1" applyFill="1" applyBorder="1" applyAlignment="1">
      <alignment horizontal="left" vertical="center"/>
    </xf>
    <xf numFmtId="0" fontId="52" fillId="4" borderId="124" xfId="0" applyFont="1" applyFill="1" applyBorder="1" applyAlignment="1">
      <alignment horizontal="left" vertical="center"/>
    </xf>
    <xf numFmtId="0" fontId="52" fillId="4" borderId="146" xfId="0" applyFont="1" applyFill="1" applyBorder="1" applyAlignment="1">
      <alignment horizontal="left" vertical="center"/>
    </xf>
    <xf numFmtId="0" fontId="53" fillId="14" borderId="125" xfId="0" applyFont="1" applyFill="1" applyBorder="1" applyAlignment="1">
      <alignment horizontal="center" vertical="center" wrapText="1"/>
    </xf>
    <xf numFmtId="0" fontId="53" fillId="14" borderId="124" xfId="0" applyFont="1" applyFill="1" applyBorder="1" applyAlignment="1">
      <alignment horizontal="center" vertical="center" wrapText="1"/>
    </xf>
    <xf numFmtId="0" fontId="53" fillId="14" borderId="146" xfId="0" applyFont="1" applyFill="1" applyBorder="1" applyAlignment="1">
      <alignment horizontal="center" vertical="center" wrapText="1"/>
    </xf>
    <xf numFmtId="0" fontId="59" fillId="4" borderId="8" xfId="1" applyFont="1" applyFill="1" applyBorder="1" applyAlignment="1">
      <alignment horizontal="center" vertical="center" wrapText="1"/>
    </xf>
    <xf numFmtId="0" fontId="59" fillId="4" borderId="4" xfId="1" applyFont="1" applyFill="1" applyBorder="1" applyAlignment="1">
      <alignment horizontal="center" vertical="center" wrapText="1"/>
    </xf>
    <xf numFmtId="0" fontId="59" fillId="4" borderId="10" xfId="1" applyFont="1" applyFill="1" applyBorder="1" applyAlignment="1">
      <alignment horizontal="center" vertical="center" wrapText="1"/>
    </xf>
    <xf numFmtId="0" fontId="59" fillId="4" borderId="33" xfId="1" applyFont="1" applyFill="1" applyBorder="1" applyAlignment="1">
      <alignment horizontal="center" vertical="center" wrapText="1"/>
    </xf>
    <xf numFmtId="0" fontId="59" fillId="4" borderId="21" xfId="1" applyFont="1" applyFill="1" applyBorder="1" applyAlignment="1">
      <alignment horizontal="center" vertical="center" wrapText="1"/>
    </xf>
    <xf numFmtId="0" fontId="59" fillId="4" borderId="56" xfId="1" applyFont="1" applyFill="1" applyBorder="1" applyAlignment="1">
      <alignment horizontal="center" vertical="center" wrapText="1"/>
    </xf>
    <xf numFmtId="0" fontId="59" fillId="4" borderId="17" xfId="1" applyFont="1" applyFill="1" applyBorder="1" applyAlignment="1">
      <alignment horizontal="center"/>
    </xf>
    <xf numFmtId="0" fontId="59" fillId="4" borderId="19" xfId="1" applyFont="1" applyFill="1" applyBorder="1" applyAlignment="1">
      <alignment horizontal="center"/>
    </xf>
    <xf numFmtId="0" fontId="59" fillId="4" borderId="27" xfId="1" applyFont="1" applyFill="1" applyBorder="1" applyAlignment="1">
      <alignment horizontal="center"/>
    </xf>
    <xf numFmtId="0" fontId="59" fillId="4" borderId="28" xfId="1" applyFont="1" applyFill="1" applyBorder="1" applyAlignment="1">
      <alignment horizontal="center"/>
    </xf>
    <xf numFmtId="0" fontId="25" fillId="2" borderId="44" xfId="0" applyFont="1" applyFill="1" applyBorder="1" applyAlignment="1">
      <alignment horizontal="center" vertical="center"/>
    </xf>
    <xf numFmtId="0" fontId="25" fillId="2" borderId="159" xfId="0" applyFont="1" applyFill="1" applyBorder="1" applyAlignment="1">
      <alignment horizontal="center" vertical="center"/>
    </xf>
    <xf numFmtId="0" fontId="25" fillId="2" borderId="167" xfId="0" applyFont="1" applyFill="1" applyBorder="1" applyAlignment="1">
      <alignment horizontal="center" vertical="center"/>
    </xf>
    <xf numFmtId="0" fontId="16" fillId="4" borderId="44" xfId="1" applyFont="1" applyFill="1" applyBorder="1" applyAlignment="1">
      <alignment horizontal="center" vertical="center" wrapText="1"/>
    </xf>
    <xf numFmtId="0" fontId="16" fillId="4" borderId="57" xfId="1" applyFont="1" applyFill="1" applyBorder="1" applyAlignment="1">
      <alignment horizontal="center" vertical="center" wrapText="1"/>
    </xf>
    <xf numFmtId="0" fontId="16" fillId="4" borderId="141" xfId="1" applyFont="1" applyFill="1" applyBorder="1" applyAlignment="1">
      <alignment horizontal="center" vertical="center" wrapText="1"/>
    </xf>
    <xf numFmtId="0" fontId="25" fillId="8" borderId="31" xfId="0" applyFont="1" applyFill="1" applyBorder="1" applyAlignment="1">
      <alignment horizontal="center" vertical="center"/>
    </xf>
    <xf numFmtId="0" fontId="25" fillId="8" borderId="143" xfId="0" applyFont="1" applyFill="1" applyBorder="1" applyAlignment="1">
      <alignment horizontal="center" vertical="center"/>
    </xf>
    <xf numFmtId="0" fontId="25" fillId="8" borderId="107" xfId="0" applyFont="1" applyFill="1" applyBorder="1" applyAlignment="1">
      <alignment horizontal="center" vertical="center"/>
    </xf>
    <xf numFmtId="0" fontId="25" fillId="8" borderId="155" xfId="0" applyFont="1" applyFill="1" applyBorder="1" applyAlignment="1">
      <alignment horizontal="center" vertical="center"/>
    </xf>
    <xf numFmtId="0" fontId="25" fillId="8" borderId="155" xfId="0" applyFont="1" applyFill="1" applyBorder="1" applyAlignment="1">
      <alignment horizontal="center" vertical="center" wrapText="1"/>
    </xf>
    <xf numFmtId="0" fontId="25" fillId="8" borderId="143" xfId="0" applyFont="1" applyFill="1" applyBorder="1" applyAlignment="1">
      <alignment horizontal="center" vertical="center" wrapText="1"/>
    </xf>
    <xf numFmtId="0" fontId="25" fillId="8" borderId="107" xfId="0" applyFont="1" applyFill="1" applyBorder="1" applyAlignment="1">
      <alignment horizontal="center" vertical="center" wrapText="1"/>
    </xf>
    <xf numFmtId="0" fontId="25" fillId="8" borderId="162" xfId="0" applyFont="1" applyFill="1" applyBorder="1" applyAlignment="1">
      <alignment horizontal="center" vertical="center"/>
    </xf>
    <xf numFmtId="0" fontId="50" fillId="3" borderId="159" xfId="1" applyFont="1" applyFill="1" applyBorder="1" applyAlignment="1">
      <alignment horizontal="left" vertical="center" wrapText="1" indent="1"/>
    </xf>
    <xf numFmtId="0" fontId="50" fillId="3" borderId="141" xfId="1" applyFont="1" applyFill="1" applyBorder="1" applyAlignment="1">
      <alignment horizontal="left" vertical="center" wrapText="1" indent="1"/>
    </xf>
    <xf numFmtId="0" fontId="25" fillId="8" borderId="162" xfId="0" applyFont="1" applyFill="1" applyBorder="1" applyAlignment="1">
      <alignment horizontal="center" vertical="center" wrapText="1"/>
    </xf>
    <xf numFmtId="0" fontId="25" fillId="2" borderId="34" xfId="0" applyFont="1" applyFill="1" applyBorder="1" applyAlignment="1">
      <alignment horizontal="center" vertical="center"/>
    </xf>
    <xf numFmtId="0" fontId="25" fillId="8" borderId="141" xfId="0" applyFont="1" applyFill="1" applyBorder="1" applyAlignment="1">
      <alignment horizontal="center" vertical="center" wrapText="1"/>
    </xf>
    <xf numFmtId="0" fontId="112" fillId="4" borderId="44" xfId="0" applyFont="1" applyFill="1" applyBorder="1" applyAlignment="1">
      <alignment horizontal="center" vertical="center" wrapText="1"/>
    </xf>
    <xf numFmtId="0" fontId="112" fillId="4" borderId="159" xfId="0" applyFont="1" applyFill="1" applyBorder="1" applyAlignment="1">
      <alignment horizontal="center" vertical="center" wrapText="1"/>
    </xf>
    <xf numFmtId="0" fontId="25" fillId="0" borderId="141" xfId="0" applyFont="1" applyBorder="1" applyAlignment="1">
      <alignment horizontal="center" vertical="center" wrapText="1"/>
    </xf>
    <xf numFmtId="0" fontId="25" fillId="0" borderId="163" xfId="0" applyFont="1" applyBorder="1" applyAlignment="1">
      <alignment horizontal="center" vertical="center" wrapText="1"/>
    </xf>
    <xf numFmtId="0" fontId="25" fillId="8" borderId="141" xfId="0" applyFont="1" applyFill="1" applyBorder="1" applyAlignment="1">
      <alignment vertical="center"/>
    </xf>
    <xf numFmtId="0" fontId="50" fillId="3" borderId="167" xfId="1" applyFont="1" applyFill="1" applyBorder="1" applyAlignment="1">
      <alignment horizontal="left" vertical="center" wrapText="1" indent="1"/>
    </xf>
    <xf numFmtId="0" fontId="50" fillId="3" borderId="163" xfId="1" applyFont="1" applyFill="1" applyBorder="1" applyAlignment="1">
      <alignment horizontal="left" vertical="center" wrapText="1" indent="1"/>
    </xf>
    <xf numFmtId="0" fontId="19" fillId="2" borderId="0" xfId="0" applyFont="1" applyFill="1" applyAlignment="1">
      <alignment horizontal="center" vertical="center" wrapText="1"/>
    </xf>
    <xf numFmtId="0" fontId="90" fillId="4" borderId="57" xfId="0" applyFont="1" applyFill="1" applyBorder="1" applyAlignment="1">
      <alignment horizontal="center" vertical="center"/>
    </xf>
    <xf numFmtId="0" fontId="90" fillId="4" borderId="141" xfId="0" applyFont="1" applyFill="1" applyBorder="1" applyAlignment="1">
      <alignment horizontal="center" vertical="center"/>
    </xf>
    <xf numFmtId="10" fontId="0" fillId="2" borderId="0" xfId="0" quotePrefix="1" applyNumberFormat="1" applyFill="1" applyAlignment="1">
      <alignment horizontal="center"/>
    </xf>
    <xf numFmtId="11" fontId="0" fillId="2" borderId="0" xfId="0" applyNumberFormat="1" applyFill="1" applyAlignment="1">
      <alignment horizontal="center"/>
    </xf>
    <xf numFmtId="0" fontId="16" fillId="4" borderId="57" xfId="0" applyFont="1" applyFill="1" applyBorder="1" applyAlignment="1">
      <alignment horizontal="center"/>
    </xf>
    <xf numFmtId="0" fontId="16" fillId="4" borderId="58" xfId="0" applyFont="1" applyFill="1" applyBorder="1" applyAlignment="1">
      <alignment horizontal="center"/>
    </xf>
    <xf numFmtId="0" fontId="16" fillId="4" borderId="169" xfId="0" applyFont="1" applyFill="1" applyBorder="1" applyAlignment="1">
      <alignment horizontal="center"/>
    </xf>
    <xf numFmtId="0" fontId="16" fillId="4" borderId="58" xfId="1" applyFont="1" applyFill="1" applyBorder="1" applyAlignment="1">
      <alignment horizontal="center" vertical="center" wrapText="1"/>
    </xf>
    <xf numFmtId="0" fontId="50" fillId="3" borderId="34" xfId="1" applyFont="1" applyFill="1" applyBorder="1" applyAlignment="1">
      <alignment horizontal="left" vertical="center" wrapText="1" indent="1"/>
    </xf>
    <xf numFmtId="0" fontId="50" fillId="3" borderId="107" xfId="1" applyFont="1" applyFill="1" applyBorder="1" applyAlignment="1">
      <alignment horizontal="left" vertical="center" wrapText="1" indent="1"/>
    </xf>
    <xf numFmtId="0" fontId="16" fillId="4" borderId="159" xfId="1" applyFont="1" applyFill="1" applyBorder="1" applyAlignment="1">
      <alignment horizontal="center" vertical="center" wrapText="1"/>
    </xf>
    <xf numFmtId="0" fontId="16" fillId="4" borderId="169" xfId="1" applyFont="1" applyFill="1" applyBorder="1" applyAlignment="1">
      <alignment horizontal="center" vertical="center" wrapText="1"/>
    </xf>
    <xf numFmtId="0" fontId="25" fillId="8" borderId="155" xfId="0" applyFont="1" applyFill="1" applyBorder="1" applyAlignment="1">
      <alignment horizontal="left" vertical="center"/>
    </xf>
    <xf numFmtId="0" fontId="25" fillId="8" borderId="162" xfId="0" applyFont="1" applyFill="1" applyBorder="1" applyAlignment="1">
      <alignment horizontal="left" vertical="center"/>
    </xf>
    <xf numFmtId="0" fontId="24" fillId="3" borderId="174" xfId="0" applyFont="1" applyFill="1" applyBorder="1" applyAlignment="1">
      <alignment horizontal="center" vertical="center"/>
    </xf>
    <xf numFmtId="0" fontId="24" fillId="3" borderId="34" xfId="0" applyFont="1" applyFill="1" applyBorder="1" applyAlignment="1">
      <alignment horizontal="center" vertical="center"/>
    </xf>
    <xf numFmtId="0" fontId="24" fillId="3" borderId="13" xfId="0" applyFont="1" applyFill="1" applyBorder="1" applyAlignment="1">
      <alignment horizontal="center" vertical="center"/>
    </xf>
    <xf numFmtId="0" fontId="13" fillId="3" borderId="155" xfId="0" applyFont="1" applyFill="1" applyBorder="1" applyAlignment="1">
      <alignment horizontal="center" vertical="top" wrapText="1"/>
    </xf>
    <xf numFmtId="0" fontId="13" fillId="3" borderId="143" xfId="0" applyFont="1" applyFill="1" applyBorder="1" applyAlignment="1">
      <alignment horizontal="center" vertical="top" wrapText="1"/>
    </xf>
    <xf numFmtId="0" fontId="13" fillId="3" borderId="101" xfId="0" applyFont="1" applyFill="1" applyBorder="1" applyAlignment="1">
      <alignment horizontal="center" vertical="top" wrapText="1"/>
    </xf>
    <xf numFmtId="0" fontId="190" fillId="0" borderId="155" xfId="2" applyFont="1" applyBorder="1" applyAlignment="1">
      <alignment horizontal="center" vertical="top" wrapText="1"/>
    </xf>
    <xf numFmtId="0" fontId="190" fillId="0" borderId="143" xfId="2" applyFont="1" applyBorder="1" applyAlignment="1">
      <alignment horizontal="center" vertical="top" wrapText="1"/>
    </xf>
    <xf numFmtId="0" fontId="190" fillId="0" borderId="107" xfId="2" applyFont="1" applyBorder="1" applyAlignment="1">
      <alignment horizontal="center" vertical="top" wrapText="1"/>
    </xf>
    <xf numFmtId="0" fontId="39" fillId="2" borderId="161" xfId="0" applyFont="1" applyFill="1" applyBorder="1" applyAlignment="1">
      <alignment horizontal="center" vertical="center"/>
    </xf>
    <xf numFmtId="0" fontId="39" fillId="2" borderId="56" xfId="0" applyFont="1" applyFill="1" applyBorder="1" applyAlignment="1">
      <alignment horizontal="center" vertical="center"/>
    </xf>
    <xf numFmtId="0" fontId="12" fillId="3" borderId="174" xfId="0" applyFont="1" applyFill="1" applyBorder="1" applyAlignment="1">
      <alignment horizontal="center" vertical="center" wrapText="1"/>
    </xf>
    <xf numFmtId="0" fontId="12" fillId="3" borderId="13" xfId="0" applyFont="1" applyFill="1" applyBorder="1" applyAlignment="1">
      <alignment horizontal="center" vertical="center" wrapText="1"/>
    </xf>
    <xf numFmtId="0" fontId="13" fillId="2" borderId="155" xfId="0" applyFont="1" applyFill="1" applyBorder="1" applyAlignment="1">
      <alignment vertical="top" wrapText="1"/>
    </xf>
    <xf numFmtId="0" fontId="13" fillId="2" borderId="143" xfId="0" applyFont="1" applyFill="1" applyBorder="1" applyAlignment="1">
      <alignment vertical="top" wrapText="1"/>
    </xf>
    <xf numFmtId="0" fontId="13" fillId="2" borderId="107" xfId="0" applyFont="1" applyFill="1" applyBorder="1" applyAlignment="1">
      <alignment vertical="top" wrapText="1"/>
    </xf>
    <xf numFmtId="0" fontId="13" fillId="0" borderId="155" xfId="0" applyFont="1" applyBorder="1" applyAlignment="1">
      <alignment horizontal="center" vertical="top" wrapText="1"/>
    </xf>
    <xf numFmtId="0" fontId="13" fillId="0" borderId="143" xfId="0" applyFont="1" applyBorder="1" applyAlignment="1">
      <alignment horizontal="center" vertical="top" wrapText="1"/>
    </xf>
    <xf numFmtId="0" fontId="13" fillId="0" borderId="107" xfId="0" applyFont="1" applyBorder="1" applyAlignment="1">
      <alignment horizontal="center" vertical="top" wrapText="1"/>
    </xf>
    <xf numFmtId="0" fontId="13" fillId="0" borderId="141" xfId="0" applyFont="1" applyBorder="1" applyAlignment="1">
      <alignment horizontal="center" vertical="center"/>
    </xf>
    <xf numFmtId="0" fontId="13" fillId="0" borderId="155" xfId="0" applyFont="1" applyBorder="1" applyAlignment="1">
      <alignment horizontal="center" vertical="center"/>
    </xf>
    <xf numFmtId="0" fontId="13" fillId="0" borderId="143" xfId="0" applyFont="1" applyBorder="1" applyAlignment="1">
      <alignment horizontal="center" vertical="center"/>
    </xf>
    <xf numFmtId="0" fontId="190" fillId="0" borderId="155" xfId="2" applyFont="1" applyFill="1" applyBorder="1" applyAlignment="1">
      <alignment horizontal="left" vertical="top" wrapText="1"/>
    </xf>
    <xf numFmtId="0" fontId="13" fillId="0" borderId="143" xfId="0" applyFont="1" applyBorder="1" applyAlignment="1">
      <alignment horizontal="left" vertical="top" wrapText="1"/>
    </xf>
    <xf numFmtId="0" fontId="13" fillId="0" borderId="107" xfId="0" applyFont="1" applyBorder="1" applyAlignment="1">
      <alignment horizontal="left" vertical="top" wrapText="1"/>
    </xf>
    <xf numFmtId="0" fontId="13" fillId="0" borderId="141" xfId="0" applyFont="1" applyBorder="1" applyAlignment="1">
      <alignment vertical="top" wrapText="1"/>
    </xf>
    <xf numFmtId="0" fontId="13" fillId="0" borderId="141" xfId="0" applyFont="1" applyBorder="1" applyAlignment="1">
      <alignment horizontal="center" vertical="center" wrapText="1"/>
    </xf>
    <xf numFmtId="0" fontId="12" fillId="3" borderId="34" xfId="0" applyFont="1" applyFill="1" applyBorder="1" applyAlignment="1">
      <alignment horizontal="center" vertical="center" wrapText="1"/>
    </xf>
    <xf numFmtId="0" fontId="13" fillId="0" borderId="141" xfId="0" applyFont="1" applyBorder="1" applyAlignment="1">
      <alignment horizontal="left" vertical="top" wrapText="1"/>
    </xf>
    <xf numFmtId="0" fontId="13" fillId="3" borderId="107" xfId="0" applyFont="1" applyFill="1" applyBorder="1" applyAlignment="1">
      <alignment horizontal="center" vertical="top" wrapText="1"/>
    </xf>
  </cellXfs>
  <cellStyles count="638">
    <cellStyle name="%" xfId="490" xr:uid="{6B5618F1-E572-4842-A2DC-22ECCB828F8A}"/>
    <cellStyle name="20% - Accent1" xfId="32" builtinId="30" customBuiltin="1"/>
    <cellStyle name="20% - Accent1 2" xfId="248" xr:uid="{3C2F7A04-969E-44E4-B24D-9B8DD9788609}"/>
    <cellStyle name="20% - Accent1 2 2" xfId="336" xr:uid="{C25CF790-71E9-462D-875D-86899E43DD8D}"/>
    <cellStyle name="20% - Accent1 2 2 2" xfId="530" xr:uid="{F7D3DC76-99F4-4FE8-92C4-EB6222E7D055}"/>
    <cellStyle name="20% - Accent1 2 2 3" xfId="387" xr:uid="{D5CA4678-2650-4596-80C0-732D0D0C51F8}"/>
    <cellStyle name="20% - Accent1 2 3" xfId="527" xr:uid="{1F7D7091-B918-456C-92A1-34A374CDB4B1}"/>
    <cellStyle name="20% - Accent1 3" xfId="597" xr:uid="{9A0A55F4-C086-4E99-8617-9ADB61DAF763}"/>
    <cellStyle name="20% - Accent2" xfId="36" builtinId="34" customBuiltin="1"/>
    <cellStyle name="20% - Accent2 2" xfId="252" xr:uid="{6943A1B5-CF7F-411B-AF57-A4A8EE85B1A2}"/>
    <cellStyle name="20% - Accent2 2 2" xfId="236" xr:uid="{56B202F2-FD33-449C-8395-32302178D095}"/>
    <cellStyle name="20% - Accent2 2 2 2" xfId="459" xr:uid="{CD6F97D4-ED3A-4E47-94F5-919C2992CF92}"/>
    <cellStyle name="20% - Accent2 2 2 3" xfId="377" xr:uid="{6550BBE5-9CF7-42F2-9D13-AE8AE300186F}"/>
    <cellStyle name="20% - Accent2 2 3" xfId="529" xr:uid="{C4BCB957-BB39-4D10-BF98-B1C0F2B75A93}"/>
    <cellStyle name="20% - Accent2 3" xfId="596" xr:uid="{CB9F686D-D8B8-46E8-962F-6527A3F2ADD3}"/>
    <cellStyle name="20% - Accent3" xfId="40" builtinId="38" customBuiltin="1"/>
    <cellStyle name="20% - Accent3 2" xfId="256" xr:uid="{511D5200-4CA7-4209-AAA0-FE680467D583}"/>
    <cellStyle name="20% - Accent3 2 2" xfId="434" xr:uid="{81424C21-F483-438F-987F-788C727D9786}"/>
    <cellStyle name="20% - Accent3 2 2 2" xfId="321" xr:uid="{F073BE5A-BF53-471E-8D3A-E4E00011DCB7}"/>
    <cellStyle name="20% - Accent3 2 2 3" xfId="303" xr:uid="{72821497-5AB8-44DF-A396-3B6895C55B4C}"/>
    <cellStyle name="20% - Accent3 2 3" xfId="421" xr:uid="{F0494BBD-4CA5-4042-B8DF-01014DA30F5C}"/>
    <cellStyle name="20% - Accent3 3" xfId="595" xr:uid="{75894D87-BA26-40E4-BA3A-5BB3B14E1CC2}"/>
    <cellStyle name="20% - Accent4" xfId="44" builtinId="42" customBuiltin="1"/>
    <cellStyle name="20% - Accent4 2" xfId="260" xr:uid="{11C6C57F-7D72-4828-9E2C-6CAAC1B8A359}"/>
    <cellStyle name="20% - Accent4 2 2" xfId="545" xr:uid="{BFE37EAD-AE65-40A9-9860-5DE4A758F237}"/>
    <cellStyle name="20% - Accent4 2 2 2" xfId="541" xr:uid="{02C60AF5-6975-49A6-889F-009940E6089B}"/>
    <cellStyle name="20% - Accent4 2 2 3" xfId="494" xr:uid="{8382D828-D86F-46AB-A88C-9D9DAB1DB0F4}"/>
    <cellStyle name="20% - Accent4 2 3" xfId="470" xr:uid="{B8B053FF-4CCE-462C-B1A5-F154389EAE26}"/>
    <cellStyle name="20% - Accent4 3" xfId="594" xr:uid="{72A97026-4BF6-45DB-903D-E88CB6B974EC}"/>
    <cellStyle name="20% - Accent5" xfId="48" builtinId="46" customBuiltin="1"/>
    <cellStyle name="20% - Accent5 2" xfId="264" xr:uid="{672DD9EE-029D-441B-AF1C-F4B528548C5B}"/>
    <cellStyle name="20% - Accent5 2 2" xfId="316" xr:uid="{F811B7E6-788A-44D7-AA8D-D02AA2E36A1B}"/>
    <cellStyle name="20% - Accent5 2 2 2" xfId="384" xr:uid="{89228EDF-B1B2-4CD8-9506-9A24948FA681}"/>
    <cellStyle name="20% - Accent5 2 2 3" xfId="422" xr:uid="{DC979BDE-C2E4-4AF2-B061-43FD9954DB83}"/>
    <cellStyle name="20% - Accent5 2 3" xfId="524" xr:uid="{EBF10CEA-BE03-4C48-868C-93AA09F91F94}"/>
    <cellStyle name="20% - Accent5 3" xfId="593" xr:uid="{49AC3D82-B518-4205-88F1-DDF8A67CBB09}"/>
    <cellStyle name="20% - Accent6" xfId="52" builtinId="50" customBuiltin="1"/>
    <cellStyle name="20% - Accent6 2" xfId="268" xr:uid="{2430C760-95BA-461B-BF8D-CA7F7A2D693A}"/>
    <cellStyle name="20% - Accent6 2 2" xfId="489" xr:uid="{0815771D-2991-455A-AFE5-41CF14D49C38}"/>
    <cellStyle name="20% - Accent6 2 2 2" xfId="497" xr:uid="{293651FD-A071-415C-A8D1-980766033126}"/>
    <cellStyle name="20% - Accent6 2 2 3" xfId="375" xr:uid="{AC06DA6E-147C-401D-8AB1-847F3EC5060F}"/>
    <cellStyle name="20% - Accent6 2 3" xfId="488" xr:uid="{37B7063A-3322-49D4-B317-AF961800FDD1}"/>
    <cellStyle name="20% - Accent6 3" xfId="592" xr:uid="{9E3A4E22-C489-4B58-AA51-3C2ABC209ECC}"/>
    <cellStyle name="40% - Accent1" xfId="33" builtinId="31" customBuiltin="1"/>
    <cellStyle name="40% - Accent1 2" xfId="249" xr:uid="{2E50AB6E-0A19-490A-A9BE-5C711B8A9FA5}"/>
    <cellStyle name="40% - Accent1 2 2" xfId="356" xr:uid="{0D230272-D3A5-49F2-8E4A-D53BCD4B01EA}"/>
    <cellStyle name="40% - Accent1 2 2 2" xfId="469" xr:uid="{D1397373-4562-4526-B343-3C65A2520417}"/>
    <cellStyle name="40% - Accent1 2 2 3" xfId="295" xr:uid="{0CADC511-72BA-4174-827C-24A8CCC2B47A}"/>
    <cellStyle name="40% - Accent1 2 3" xfId="231" xr:uid="{D2505BEF-4A6D-40D7-B741-3BBF79307891}"/>
    <cellStyle name="40% - Accent1 3" xfId="591" xr:uid="{68224431-6B4B-40EC-8FF0-872AB696CFA2}"/>
    <cellStyle name="40% - Accent2" xfId="37" builtinId="35" customBuiltin="1"/>
    <cellStyle name="40% - Accent2 2" xfId="253" xr:uid="{7311EA8C-D541-4D9C-981B-39F5C617F964}"/>
    <cellStyle name="40% - Accent2 2 2" xfId="388" xr:uid="{82A37784-DDE6-49A5-914D-5421541FF8C0}"/>
    <cellStyle name="40% - Accent2 2 2 2" xfId="510" xr:uid="{5CE77532-CB14-47A7-BF2A-03F61DB4E61D}"/>
    <cellStyle name="40% - Accent2 2 2 3" xfId="309" xr:uid="{D4B4EB69-FD09-4628-87EC-0973AD0404B4}"/>
    <cellStyle name="40% - Accent2 2 3" xfId="403" xr:uid="{87D16B05-853D-4362-BDDD-0A5A75F91C84}"/>
    <cellStyle name="40% - Accent2 3" xfId="590" xr:uid="{9E609FBE-A8AC-468A-99D3-22C11C90425C}"/>
    <cellStyle name="40% - Accent3" xfId="41" builtinId="39" customBuiltin="1"/>
    <cellStyle name="40% - Accent3 2" xfId="257" xr:uid="{1D534E39-5AE7-4FA5-BDF7-072ACCEB5888}"/>
    <cellStyle name="40% - Accent3 2 2" xfId="405" xr:uid="{49FC288C-ED9D-402F-94B8-96977D677A3D}"/>
    <cellStyle name="40% - Accent3 2 2 2" xfId="492" xr:uid="{AFC25C3F-D196-4AC0-9853-AE042E351911}"/>
    <cellStyle name="40% - Accent3 2 2 3" xfId="343" xr:uid="{C81A6109-A75B-4B6B-8391-015CF16918B1}"/>
    <cellStyle name="40% - Accent3 2 3" xfId="452" xr:uid="{E941F915-52F6-42B1-AFB4-4BD85BB34BAC}"/>
    <cellStyle name="40% - Accent3 3" xfId="589" xr:uid="{8DC98A03-07BD-490A-8163-324779C8E1DA}"/>
    <cellStyle name="40% - Accent4" xfId="45" builtinId="43" customBuiltin="1"/>
    <cellStyle name="40% - Accent4 2" xfId="261" xr:uid="{C53CE368-3E80-493C-B383-16589B95B043}"/>
    <cellStyle name="40% - Accent4 2 2" xfId="382" xr:uid="{F9597389-0DA5-4694-81EE-2B5254EA16E7}"/>
    <cellStyle name="40% - Accent4 2 2 2" xfId="344" xr:uid="{1FF9C208-143C-44EE-A9E6-2BC41E0A83C9}"/>
    <cellStyle name="40% - Accent4 2 2 3" xfId="475" xr:uid="{41DBD127-CD82-470E-83D0-2FC3B44F3335}"/>
    <cellStyle name="40% - Accent4 2 3" xfId="509" xr:uid="{EA6BEF0F-0357-421D-8FD5-23A5AF8A2415}"/>
    <cellStyle name="40% - Accent4 3" xfId="588" xr:uid="{26913673-E223-4A8A-B5AE-61D81351BDAE}"/>
    <cellStyle name="40% - Accent5" xfId="49" builtinId="47" customBuiltin="1"/>
    <cellStyle name="40% - Accent5 2" xfId="265" xr:uid="{1E09B05D-C7D9-45B7-9CC6-4CAAC81520C4}"/>
    <cellStyle name="40% - Accent5 2 2" xfId="300" xr:uid="{0FB26609-1570-4E9A-B066-05C67BA88E06}"/>
    <cellStyle name="40% - Accent5 2 2 2" xfId="414" xr:uid="{7C6FE456-04BD-4F10-B1D2-C1A5DF371B7D}"/>
    <cellStyle name="40% - Accent5 2 2 3" xfId="533" xr:uid="{FC161555-81B3-4549-A25E-476D84271241}"/>
    <cellStyle name="40% - Accent5 2 3" xfId="458" xr:uid="{55469348-0F11-43CA-8C44-96BDC1BA63B7}"/>
    <cellStyle name="40% - Accent5 3" xfId="587" xr:uid="{5EED8522-7B5C-4205-9547-A05674714A93}"/>
    <cellStyle name="40% - Accent6" xfId="53" builtinId="51" customBuiltin="1"/>
    <cellStyle name="40% - Accent6 2" xfId="269" xr:uid="{192EF4ED-6906-48E7-B0C1-4FA356BB3F09}"/>
    <cellStyle name="40% - Accent6 2 2" xfId="360" xr:uid="{CF2F25B7-C0EC-44FF-A639-BACD1DFC3A76}"/>
    <cellStyle name="40% - Accent6 2 2 2" xfId="523" xr:uid="{9F76EBC8-B4A2-4520-B7D5-67A8FB9B9BE7}"/>
    <cellStyle name="40% - Accent6 2 2 3" xfId="239" xr:uid="{545E8101-F9E7-4D42-A9E3-CFA70312D870}"/>
    <cellStyle name="40% - Accent6 2 3" xfId="407" xr:uid="{840C4A45-A0DD-45FB-BF33-BD0D6A8CD26B}"/>
    <cellStyle name="40% - Accent6 3" xfId="586" xr:uid="{47431F82-928D-47C7-B2D8-02BBC14ECC0E}"/>
    <cellStyle name="5x indented GHG Textfiels" xfId="125" xr:uid="{0B76A708-C6FC-48FF-A508-4A0F112A3EDE}"/>
    <cellStyle name="60% - Accent1" xfId="34" builtinId="32" customBuiltin="1"/>
    <cellStyle name="60% - Accent1 2" xfId="250" xr:uid="{F5B61B2C-8F77-42DF-A16F-D3BA983BAA21}"/>
    <cellStyle name="60% - Accent1 2 2" xfId="313" xr:uid="{0C15EC22-F359-4B35-A642-08A54F964AA9}"/>
    <cellStyle name="60% - Accent1 2 2 2" xfId="364" xr:uid="{58CF9D33-F799-4EDF-8E31-74C37B60BF9D}"/>
    <cellStyle name="60% - Accent1 2 2 3" xfId="234" xr:uid="{27B13F6C-3753-4329-BF7D-5041195753AF}"/>
    <cellStyle name="60% - Accent1 2 3" xfId="537" xr:uid="{25652CED-9DC0-4E3D-AC49-3FDEB975F7B5}"/>
    <cellStyle name="60% - Accent1 3" xfId="585" xr:uid="{A47D8698-68E8-4A6C-92D6-BAD313CC309C}"/>
    <cellStyle name="60% - Accent2" xfId="38" builtinId="36" customBuiltin="1"/>
    <cellStyle name="60% - Accent2 2" xfId="254" xr:uid="{283252CE-E767-4DD0-AA8C-57468ACFCBA1}"/>
    <cellStyle name="60% - Accent2 2 2" xfId="506" xr:uid="{6EFD5221-70AC-43C8-BB5D-2BBB9962DCE9}"/>
    <cellStyle name="60% - Accent2 2 2 2" xfId="501" xr:uid="{AFD57720-8A00-4B95-BD5D-9FDA134D60F9}"/>
    <cellStyle name="60% - Accent2 2 2 3" xfId="499" xr:uid="{120668BA-C13F-48D9-8674-7C0242E0ECFB}"/>
    <cellStyle name="60% - Accent2 2 3" xfId="463" xr:uid="{973EF2E0-C572-41B1-A192-FE4931D976A9}"/>
    <cellStyle name="60% - Accent2 3" xfId="584" xr:uid="{0A012D76-9EB3-4502-B2B2-D598406AFA8D}"/>
    <cellStyle name="60% - Accent3" xfId="42" builtinId="40" customBuiltin="1"/>
    <cellStyle name="60% - Accent3 2" xfId="258" xr:uid="{9DC5C6D7-C0BA-45AD-9019-EE7B259E8E2F}"/>
    <cellStyle name="60% - Accent3 2 2" xfId="327" xr:uid="{8422974A-EC19-4F96-9775-7F4178D8FAB6}"/>
    <cellStyle name="60% - Accent3 2 2 2" xfId="503" xr:uid="{6BF8F55C-F535-47C7-9215-385C097C811D}"/>
    <cellStyle name="60% - Accent3 2 2 3" xfId="359" xr:uid="{36398312-1F3B-455F-A485-59C17D5F9A97}"/>
    <cellStyle name="60% - Accent3 2 3" xfId="299" xr:uid="{61035461-35EF-4C38-BA87-1E95A6573AB4}"/>
    <cellStyle name="60% - Accent3 3" xfId="583" xr:uid="{DEBB21AD-75C6-4EE6-A0AA-BDD1A58068E6}"/>
    <cellStyle name="60% - Accent4" xfId="46" builtinId="44" customBuiltin="1"/>
    <cellStyle name="60% - Accent4 2" xfId="262" xr:uid="{3DBD9A5D-495F-47F1-9C59-EABC73156C39}"/>
    <cellStyle name="60% - Accent4 2 2" xfId="355" xr:uid="{D20F6B59-19A0-49A3-8D0A-42B30C5EE581}"/>
    <cellStyle name="60% - Accent4 2 2 2" xfId="353" xr:uid="{7B6BE964-B2C9-4298-B372-E5F23A82DCEE}"/>
    <cellStyle name="60% - Accent4 2 2 3" xfId="369" xr:uid="{15EFE86C-C6E8-4765-9E07-5E5FE269CE00}"/>
    <cellStyle name="60% - Accent4 2 3" xfId="339" xr:uid="{27738BF1-E914-40A4-8575-C14E51AA5854}"/>
    <cellStyle name="60% - Accent4 3" xfId="582" xr:uid="{FEABDAE0-16FC-4CE3-ACAF-259A5BED5154}"/>
    <cellStyle name="60% - Accent5" xfId="50" builtinId="48" customBuiltin="1"/>
    <cellStyle name="60% - Accent5 2" xfId="266" xr:uid="{DE9B08DC-47C8-42FD-B3E9-EC9AB3C6E546}"/>
    <cellStyle name="60% - Accent5 2 2" xfId="480" xr:uid="{3B50201C-6D38-4718-888C-EAA107824A96}"/>
    <cellStyle name="60% - Accent5 2 2 2" xfId="415" xr:uid="{A2E38A9C-0599-499A-A70F-D65E9E76CC11}"/>
    <cellStyle name="60% - Accent5 2 2 3" xfId="409" xr:uid="{7ADE8A58-6255-47D8-979D-5058A810777C}"/>
    <cellStyle name="60% - Accent5 2 3" xfId="333" xr:uid="{CEB3072F-7DBD-4E82-A088-CF35E64C7A3E}"/>
    <cellStyle name="60% - Accent5 3" xfId="581" xr:uid="{101DDE8F-73D2-41D6-A839-C669D9FA1669}"/>
    <cellStyle name="60% - Accent6" xfId="54" builtinId="52" customBuiltin="1"/>
    <cellStyle name="60% - Accent6 2" xfId="270" xr:uid="{1F2FEB07-A585-42AB-A844-1FBBE544C40B}"/>
    <cellStyle name="60% - Accent6 2 2" xfId="404" xr:uid="{043174FD-495C-4456-B268-ACB291BF905A}"/>
    <cellStyle name="60% - Accent6 2 2 2" xfId="237" xr:uid="{DCA398F6-B264-4C54-92AD-808CC44E8398}"/>
    <cellStyle name="60% - Accent6 2 2 3" xfId="487" xr:uid="{4B331509-8A74-467E-A6FF-32DF056BB52B}"/>
    <cellStyle name="60% - Accent6 2 3" xfId="543" xr:uid="{8E9377F1-4EF6-4E9E-9387-143442A347FF}"/>
    <cellStyle name="60% - Accent6 3" xfId="580" xr:uid="{05E4FA9C-4036-4A2F-8696-25A156224833}"/>
    <cellStyle name="Accent1" xfId="31" builtinId="29" customBuiltin="1"/>
    <cellStyle name="Accent1 2" xfId="247" xr:uid="{A399CA19-4C32-48B9-8699-78675A7993B4}"/>
    <cellStyle name="Accent1 2 2" xfId="361" xr:uid="{D88246CC-8D71-4167-93E6-DECC3839E297}"/>
    <cellStyle name="Accent1 2 2 2" xfId="381" xr:uid="{0DAE5762-DAB6-4CF8-85C4-1C1D48772793}"/>
    <cellStyle name="Accent1 2 2 3" xfId="319" xr:uid="{789406D4-4A5F-4146-BD16-809E30A30025}"/>
    <cellStyle name="Accent1 2 3" xfId="371" xr:uid="{3145EBD5-CC65-47F8-B73D-8968ED524909}"/>
    <cellStyle name="Accent1 3" xfId="579" xr:uid="{1710816E-8566-49AF-AC86-634D317D5632}"/>
    <cellStyle name="Accent2" xfId="35" builtinId="33" customBuiltin="1"/>
    <cellStyle name="Accent2 2" xfId="251" xr:uid="{490BF4B1-EF0A-4EEC-A826-D2FE84FC32E6}"/>
    <cellStyle name="Accent2 2 2" xfId="448" xr:uid="{CF148132-C7F7-4C0F-B7E1-174180533E7E}"/>
    <cellStyle name="Accent2 2 2 2" xfId="482" xr:uid="{8B28FB9A-2735-4152-9BA5-B7EC262C11F3}"/>
    <cellStyle name="Accent2 2 2 3" xfId="486" xr:uid="{D55D52FF-30DE-494B-B39B-489D6AD44387}"/>
    <cellStyle name="Accent2 2 3" xfId="473" xr:uid="{39BA3AF9-3D2E-4166-9E64-AD1E343D9075}"/>
    <cellStyle name="Accent2 3" xfId="578" xr:uid="{36ADD46B-E331-460F-A0B4-91F072BBD63A}"/>
    <cellStyle name="Accent3" xfId="39" builtinId="37" customBuiltin="1"/>
    <cellStyle name="Accent3 2" xfId="255" xr:uid="{75F8E79C-30A6-42EF-9089-C1ECFE7A1235}"/>
    <cellStyle name="Accent3 2 2" xfId="426" xr:uid="{6A5183C3-CAC2-4876-A31B-0362B41BF4D2}"/>
    <cellStyle name="Accent3 2 2 2" xfId="402" xr:uid="{9465DD7B-DBF8-42C4-91E6-16B4673E8CA7}"/>
    <cellStyle name="Accent3 2 2 3" xfId="323" xr:uid="{B6EED52C-9D25-4DF6-8E06-2FEBAC0B1D4A}"/>
    <cellStyle name="Accent3 2 3" xfId="411" xr:uid="{350AFA8E-FD42-4553-8E20-BABE31D9EB0F}"/>
    <cellStyle name="Accent3 3" xfId="577" xr:uid="{6A0F7E37-1B26-4915-928E-8D8E905A96D1}"/>
    <cellStyle name="Accent4" xfId="43" builtinId="41" customBuiltin="1"/>
    <cellStyle name="Accent4 2" xfId="259" xr:uid="{677DF97F-1AA2-416D-8C94-949F5E54F5A3}"/>
    <cellStyle name="Accent4 2 2" xfId="392" xr:uid="{FBD2363A-66C4-4302-A076-C22E4891C239}"/>
    <cellStyle name="Accent4 2 2 2" xfId="511" xr:uid="{23FD4B80-DDC7-4028-88BC-BA5E502B89F7}"/>
    <cellStyle name="Accent4 2 2 3" xfId="427" xr:uid="{5FE270BA-B619-4E76-8CE0-D2CD1F6E742F}"/>
    <cellStyle name="Accent4 2 3" xfId="471" xr:uid="{C5DF9DC9-CF77-4DE5-AA7B-1B14959E7F28}"/>
    <cellStyle name="Accent4 3" xfId="576" xr:uid="{7B8C005A-41B0-4CC8-806A-2F22236DE1C2}"/>
    <cellStyle name="Accent5" xfId="47" builtinId="45" customBuiltin="1"/>
    <cellStyle name="Accent5 2" xfId="263" xr:uid="{433D2FB8-A2FC-4269-952E-4CB5EBDA0E07}"/>
    <cellStyle name="Accent5 2 2" xfId="374" xr:uid="{75255237-9596-47B8-9F12-3A1A463FF73C}"/>
    <cellStyle name="Accent5 2 2 2" xfId="410" xr:uid="{BC114747-2BC0-47E5-8800-B97FB369CD74}"/>
    <cellStyle name="Accent5 2 2 3" xfId="455" xr:uid="{2AFDE04F-A201-40A5-9EEF-F3EE85419A64}"/>
    <cellStyle name="Accent5 2 3" xfId="397" xr:uid="{E08F7F46-D069-40DE-9B01-3BBCD779ADDD}"/>
    <cellStyle name="Accent5 3" xfId="575" xr:uid="{9E3A7C50-816C-45B2-B125-525EBF108C0D}"/>
    <cellStyle name="Accent6" xfId="51" builtinId="49" customBuiltin="1"/>
    <cellStyle name="Accent6 2" xfId="267" xr:uid="{BC074C6B-AA62-4805-93A9-B3A9E251AD59}"/>
    <cellStyle name="Accent6 2 2" xfId="508" xr:uid="{E9A412C9-0783-42A4-8A05-0D6E9CEF2300}"/>
    <cellStyle name="Accent6 2 2 2" xfId="351" xr:uid="{F74CDE41-6745-4A92-855E-DD96C47AC320}"/>
    <cellStyle name="Accent6 2 2 3" xfId="525" xr:uid="{3563F0B1-097A-4EE5-8458-E9FCC4A1EE1F}"/>
    <cellStyle name="Accent6 2 3" xfId="474" xr:uid="{71E115D8-04ED-4EA1-8751-3ED65B283238}"/>
    <cellStyle name="Accent6 3" xfId="574" xr:uid="{FF2EE4E8-C667-4CAC-AA99-BCB20C8964C5}"/>
    <cellStyle name="AggblueCels_1x" xfId="126" xr:uid="{4B05C3E3-A60A-4845-A015-8E541C15B7C6}"/>
    <cellStyle name="Bad" xfId="28" builtinId="27" customBuiltin="1"/>
    <cellStyle name="Bad 2" xfId="101" xr:uid="{687EF936-0F9F-434E-9974-FC366DFED9A7}"/>
    <cellStyle name="Bad 2 2" xfId="347" xr:uid="{674A046F-5F9E-4F85-9DCB-879531E1323C}"/>
    <cellStyle name="Bad 2 2 2" xfId="443" xr:uid="{932BA97A-DC4A-460E-AF20-30738C786EF4}"/>
    <cellStyle name="Bad 2 2 3" xfId="352" xr:uid="{B7EBA01A-225B-478E-837E-9C9A0805B07A}"/>
    <cellStyle name="Bad 2 3" xfId="512" xr:uid="{B6014702-A78D-412F-9100-0FDF2FB94B4F}"/>
    <cellStyle name="Bad 3" xfId="244" xr:uid="{CFA170BC-3099-42ED-B725-DA9B1CDDFE4C}"/>
    <cellStyle name="Bold GHG Numbers (0.00)" xfId="127" xr:uid="{B1486AFF-04D7-49B8-A034-166E6F8E3CAC}"/>
    <cellStyle name="Bold GHG Numbers (0.00) 2" xfId="151" xr:uid="{92A2C602-93E5-42BD-9999-1CA944BC847B}"/>
    <cellStyle name="Bold GHG Numbers (0.00) 2 2" xfId="165" xr:uid="{5063BD80-DC56-453B-9E96-8FC0F35A25C2}"/>
    <cellStyle name="Bold GHG Numbers (0.00) 3" xfId="164" xr:uid="{430B0206-1A55-4CA6-8E99-02A18A149F3E}"/>
    <cellStyle name="Calculation 2" xfId="57" xr:uid="{DDD6F4E2-EC11-4344-852A-8DB6865A6E21}"/>
    <cellStyle name="Calculation 2 2" xfId="514" xr:uid="{825F7016-98ED-4B9F-972B-34DC3E72DE43}"/>
    <cellStyle name="Calculation 2 2 2" xfId="367" xr:uid="{ECEE35B4-FED0-47E4-A48F-B1B7437A0BA6}"/>
    <cellStyle name="Calculation 2 2 2 2" xfId="532" xr:uid="{811AF758-E9FE-469C-9CBC-455181950C3C}"/>
    <cellStyle name="Calculation 2 2 2 3" xfId="516" xr:uid="{7C274840-9B07-46EB-B5EF-B080013C165C}"/>
    <cellStyle name="Calculation 2 3" xfId="242" xr:uid="{43E59333-4523-4A74-AF04-20D385198E95}"/>
    <cellStyle name="Calculation 2 3 2" xfId="536" xr:uid="{8EDB15D4-1908-40B6-8E8C-4427E203D6E8}"/>
    <cellStyle name="Calculation 2 3 2 2" xfId="444" xr:uid="{833BE350-3423-46FA-BCFC-AE520C701A0D}"/>
    <cellStyle name="Calculation 2 3 2 3" xfId="226" xr:uid="{E74B233E-4C7E-42F6-BA3C-1876EBF773CD}"/>
    <cellStyle name="Calculation 2 4" xfId="379" xr:uid="{47D81861-9D25-40DF-96FC-D866FFE6556A}"/>
    <cellStyle name="Calculation 2 4 2" xfId="400" xr:uid="{3999FF88-FF13-4C6F-B467-87E88DBFF43A}"/>
    <cellStyle name="Calculation 2 4 3" xfId="358" xr:uid="{ECDAEF09-3A92-4960-9B0F-D25EE10FFD2F}"/>
    <cellStyle name="Calculation 2 5" xfId="572" xr:uid="{7EEED4DA-7D18-4027-94B7-933D761EA5D5}"/>
    <cellStyle name="Calculation 2 6" xfId="505" xr:uid="{1E269699-7217-4C7E-AC07-1A3F935D3808}"/>
    <cellStyle name="Calculation 3" xfId="56" xr:uid="{CE602C50-59FB-4AD5-8B0C-598FE1389FA3}"/>
    <cellStyle name="Check Cell" xfId="30" builtinId="23" customBuiltin="1"/>
    <cellStyle name="Check Cell 2" xfId="246" xr:uid="{F573213A-4423-4B9D-AF45-50E71C7903DA}"/>
    <cellStyle name="Check Cell 2 2" xfId="461" xr:uid="{444D49E5-82A5-458B-A553-AF7AA1473B0B}"/>
    <cellStyle name="Check Cell 2 2 2" xfId="438" xr:uid="{D44B151F-CE00-416E-A31B-320697774CCD}"/>
    <cellStyle name="Check Cell 2 2 3" xfId="457" xr:uid="{49C7A7F5-DD38-45C7-B19E-F4FCC1F647D6}"/>
    <cellStyle name="Check Cell 2 3" xfId="240" xr:uid="{7F0356FC-B7CF-458D-ACDD-94289A957AA4}"/>
    <cellStyle name="Check Cell 3" xfId="571" xr:uid="{2E51B585-1BDD-44F7-9D7D-31764544A48D}"/>
    <cellStyle name="Comma" xfId="3" builtinId="3"/>
    <cellStyle name="Comma 10" xfId="547" xr:uid="{71ACF15A-0B80-4765-BE1B-F4017598ED20}"/>
    <cellStyle name="Comma 11" xfId="10" xr:uid="{00000000-0005-0000-0000-000001000000}"/>
    <cellStyle name="Comma 11 2" xfId="631" xr:uid="{C246A7BD-7B16-40F0-A130-16A75D59DF59}"/>
    <cellStyle name="Comma 11 3" xfId="232" xr:uid="{AFE72E28-D091-461C-9AAE-DDEAFF2B3127}"/>
    <cellStyle name="Comma 12" xfId="330" xr:uid="{6F28EFB7-49D7-4CE7-86FF-2A9029710CE7}"/>
    <cellStyle name="Comma 13" xfId="96" xr:uid="{A14336D9-76E7-4EC0-9291-8B292577A9DC}"/>
    <cellStyle name="Comma 14" xfId="635" xr:uid="{7569301E-361D-4A8B-81E5-2CE9000C7DAD}"/>
    <cellStyle name="Comma 2" xfId="15" xr:uid="{00000000-0005-0000-0000-000002000000}"/>
    <cellStyle name="Comma 2 2" xfId="59" xr:uid="{226CEE3F-2063-4930-9943-DDCC8CDE4DAB}"/>
    <cellStyle name="Comma 2 2 2" xfId="155" xr:uid="{85DB3423-CAE7-48AE-841F-B9895A4E35B9}"/>
    <cellStyle name="Comma 2 2 2 2" xfId="200" xr:uid="{92F62296-1AA1-436F-BC63-9FD9788B6125}"/>
    <cellStyle name="Comma 2 2 2 2 2" xfId="623" xr:uid="{6C35C978-F8DC-4CB1-9AE7-FB1C3B4AE582}"/>
    <cellStyle name="Comma 2 2 2 3" xfId="606" xr:uid="{D2BCB413-2201-4909-B82C-6DEAD0A4A901}"/>
    <cellStyle name="Comma 2 2 3" xfId="179" xr:uid="{9641D01B-7A69-44BD-9DB3-C1F59E4DE54D}"/>
    <cellStyle name="Comma 2 2 3 2" xfId="616" xr:uid="{FF2A9AA7-518A-46ED-9236-EA90D6EBFAF4}"/>
    <cellStyle name="Comma 2 2 4" xfId="146" xr:uid="{075BFF13-1EF0-4953-B2B4-D8EAAC3D5536}"/>
    <cellStyle name="Comma 2 2 4 2" xfId="198" xr:uid="{C3291AE0-AB95-4C8C-98A5-5687076B2C09}"/>
    <cellStyle name="Comma 2 2 4 2 2" xfId="621" xr:uid="{8588199B-60EE-4B83-9B6A-75206C412AA3}"/>
    <cellStyle name="Comma 2 2 4 3" xfId="604" xr:uid="{9EA4F887-F5B7-4DC1-9F6E-8461E6EA1EAC}"/>
    <cellStyle name="Comma 2 2 5" xfId="273" xr:uid="{EEFFBE08-970D-4EDF-8BFB-8A106DDC6F54}"/>
    <cellStyle name="Comma 2 2 5 2" xfId="633" xr:uid="{139725D4-4080-4283-A5B6-68676CD5203F}"/>
    <cellStyle name="Comma 2 2 6" xfId="436" xr:uid="{E8B45EE1-267C-4096-B2DA-56BD62E8A6D8}"/>
    <cellStyle name="Comma 2 2 7" xfId="112" xr:uid="{CC424CF6-3B53-49A9-84D6-559AF748B405}"/>
    <cellStyle name="Comma 2 3" xfId="73" xr:uid="{0788B701-E4B0-42CB-B695-650C8180D674}"/>
    <cellStyle name="Comma 2 3 2" xfId="201" xr:uid="{03E1E579-62B8-4EE5-BCF5-E076B8B7FA6F}"/>
    <cellStyle name="Comma 2 3 2 2" xfId="624" xr:uid="{0E55A3E0-D2F1-41B6-A72B-3A1D9D2B6A85}"/>
    <cellStyle name="Comma 2 3 3" xfId="278" xr:uid="{B9BA08B7-618F-4FE7-985C-E27509611B37}"/>
    <cellStyle name="Comma 2 3 4" xfId="311" xr:uid="{79E27A84-9266-4CFC-9D73-FCE977238C76}"/>
    <cellStyle name="Comma 2 3 5" xfId="607" xr:uid="{33FB2145-98B0-40D2-8145-DCCD8B0EE8F1}"/>
    <cellStyle name="Comma 2 3 6" xfId="156" xr:uid="{E2FEB6F6-4F82-446F-A6A6-6DBA0AA3DB43}"/>
    <cellStyle name="Comma 2 4" xfId="173" xr:uid="{B298C294-5B87-49C5-98E7-8D23FB8A7A05}"/>
    <cellStyle name="Comma 2 4 2" xfId="472" xr:uid="{2A3E6198-9A25-4174-86D3-A4CDC3EB4E2A}"/>
    <cellStyle name="Comma 2 5" xfId="128" xr:uid="{F583BA8B-F837-44DE-8315-C069903391BA}"/>
    <cellStyle name="Comma 2 5 2" xfId="193" xr:uid="{408135E8-5C8F-48ED-A426-72E872C0FDC7}"/>
    <cellStyle name="Comma 2 5 2 2" xfId="619" xr:uid="{CEF878D4-FEE4-41FD-AB88-39E379C0BBC4}"/>
    <cellStyle name="Comma 2 5 3" xfId="569" xr:uid="{A793215D-5D6A-4F0D-819C-67059263CE57}"/>
    <cellStyle name="Comma 2 5 4" xfId="602" xr:uid="{888E4EFD-1E3B-4492-BAC1-A420331B60CC}"/>
    <cellStyle name="Comma 2 6" xfId="386" xr:uid="{A6CA6A63-F116-494A-986F-915EF8059A8D}"/>
    <cellStyle name="Comma 2 7" xfId="99" xr:uid="{614A888C-4D9E-4453-B3B5-4FEFCEC99283}"/>
    <cellStyle name="Comma 2 8" xfId="636" xr:uid="{C1E75B28-9279-4BC7-AA57-879CC4C8535C}"/>
    <cellStyle name="Comma 3" xfId="19" xr:uid="{00000000-0005-0000-0000-000003000000}"/>
    <cellStyle name="Comma 3 2" xfId="75" xr:uid="{3328EB33-E106-4C7C-AB3C-55890F3EC77D}"/>
    <cellStyle name="Comma 3 2 2" xfId="157" xr:uid="{1EBBCB2C-0E3B-4548-86D2-ED85F01DCA14}"/>
    <cellStyle name="Comma 3 2 2 2" xfId="202" xr:uid="{B134A7DC-C33D-4147-81B5-CC12814CDEDC}"/>
    <cellStyle name="Comma 3 2 2 2 2" xfId="625" xr:uid="{E9DD6998-DBCA-4527-90C0-6B3FE4B80A54}"/>
    <cellStyle name="Comma 3 2 2 3" xfId="608" xr:uid="{9C7C931E-1E71-43D1-95E7-27CFBE37FBF7}"/>
    <cellStyle name="Comma 3 2 3" xfId="199" xr:uid="{011E1BE0-9350-4441-8A7A-EDB7DE564383}"/>
    <cellStyle name="Comma 3 2 3 2" xfId="622" xr:uid="{5EFD1A87-4ACD-43D4-AE3F-F7DB1D1D9294}"/>
    <cellStyle name="Comma 3 2 4" xfId="280" xr:uid="{76472C70-AC0C-4C33-9AE0-69E163F62057}"/>
    <cellStyle name="Comma 3 2 5" xfId="605" xr:uid="{81B89CB0-0C72-484C-B25E-52DE5DAB451E}"/>
    <cellStyle name="Comma 3 2 6" xfId="150" xr:uid="{B14F6821-761F-41FE-948B-C4B18F72395E}"/>
    <cellStyle name="Comma 3 3" xfId="74" xr:uid="{36CDB8CA-C465-454A-BBDF-EAD4119185C9}"/>
    <cellStyle name="Comma 3 3 2" xfId="203" xr:uid="{C98B265E-8AC9-46AA-A773-B6E465E8B286}"/>
    <cellStyle name="Comma 3 3 2 2" xfId="626" xr:uid="{23E35AAD-E862-475E-9308-B9434B3CE62B}"/>
    <cellStyle name="Comma 3 3 3" xfId="279" xr:uid="{51FB7EAF-AA36-4632-A7B2-BC8766F9E08B}"/>
    <cellStyle name="Comma 3 3 4" xfId="609" xr:uid="{0F649960-DE4A-47F6-9ABE-FE5FA1676461}"/>
    <cellStyle name="Comma 3 3 5" xfId="158" xr:uid="{B0677DFD-C742-4E36-B72D-B66C13D5ED6D}"/>
    <cellStyle name="Comma 3 4" xfId="181" xr:uid="{A7A9DA65-605F-4ED3-B5ED-9805400B8DE0}"/>
    <cellStyle name="Comma 3 4 2" xfId="617" xr:uid="{D1AA4C8B-3508-4282-97AB-944E7B154DAA}"/>
    <cellStyle name="Comma 3 5" xfId="129" xr:uid="{C1DA333C-1427-44AF-A373-354B4A2CAF60}"/>
    <cellStyle name="Comma 3 5 2" xfId="194" xr:uid="{60E07111-7408-444B-BF44-89813B9B5B21}"/>
    <cellStyle name="Comma 3 5 2 2" xfId="620" xr:uid="{BE179C89-A5B4-47F1-A442-AD79C942FD9F}"/>
    <cellStyle name="Comma 3 5 3" xfId="603" xr:uid="{7EF9D4E1-35E6-4EED-93B9-EB9D014CF3B5}"/>
    <cellStyle name="Comma 3 6" xfId="468" xr:uid="{FFDC2332-C097-41F7-81DE-DA7EACCDF372}"/>
    <cellStyle name="Comma 3 7" xfId="599" xr:uid="{9DBA11E6-CF6D-4B2B-9447-7BD6B5B22A88}"/>
    <cellStyle name="Comma 3 8" xfId="114" xr:uid="{E81AC068-0EF6-4866-AC74-309D5BF43D5C}"/>
    <cellStyle name="Comma 4" xfId="58" xr:uid="{5875AB84-16B1-4DE1-BFAD-5089FC088C10}"/>
    <cellStyle name="Comma 4 2" xfId="160" xr:uid="{02C8F462-BE3A-46ED-9EF4-9620486B1E95}"/>
    <cellStyle name="Comma 4 2 2" xfId="204" xr:uid="{DAF09B46-AC93-4DA9-A5DB-0DD42BC10A87}"/>
    <cellStyle name="Comma 4 2 2 2" xfId="627" xr:uid="{DD6F37FC-87C5-4449-8031-1932EC7947AE}"/>
    <cellStyle name="Comma 4 2 3" xfId="610" xr:uid="{97CF47C7-D2D5-4D28-BD3D-C3F13863CB3C}"/>
    <cellStyle name="Comma 4 3" xfId="111" xr:uid="{30BE7E8B-38AC-460F-B407-EBD1041CBC7F}"/>
    <cellStyle name="Comma 4 3 2" xfId="178" xr:uid="{0A525F38-10E7-40CD-8A6D-7A0423144495}"/>
    <cellStyle name="Comma 4 3 2 2" xfId="615" xr:uid="{9D090F11-45EE-4390-8F6D-D07A3FEA1D7C}"/>
    <cellStyle name="Comma 4 3 3" xfId="598" xr:uid="{43DAB3BD-46CD-44FC-AD15-257A618E4028}"/>
    <cellStyle name="Comma 4 4" xfId="272" xr:uid="{6B64D600-011A-473B-B779-EA2D832B8C7E}"/>
    <cellStyle name="Comma 4 4 2" xfId="632" xr:uid="{564D9BFA-B4F4-467D-AEC9-ABC9F61230E6}"/>
    <cellStyle name="Comma 4 5" xfId="491" xr:uid="{0252CA0A-3967-434A-86A2-B55AAF2EE484}"/>
    <cellStyle name="Comma 4 6" xfId="159" xr:uid="{3B0D37C7-4CD2-40B7-B0E3-529DDB9CC6F2}"/>
    <cellStyle name="Comma 5" xfId="8" xr:uid="{00000000-0005-0000-0000-000004000000}"/>
    <cellStyle name="Comma 5 2" xfId="205" xr:uid="{56003CA8-10E6-43C5-8441-253BCDE084A3}"/>
    <cellStyle name="Comma 5 2 2" xfId="628" xr:uid="{C3E7CF0A-1853-4EA4-972A-96F6BA7A1AE7}"/>
    <cellStyle name="Comma 5 3" xfId="230" xr:uid="{AE2A73E0-B4F1-4B69-811C-4DB05B42CDA9}"/>
    <cellStyle name="Comma 5 3 2" xfId="630" xr:uid="{FB93479E-D8EE-431B-9295-0D5838B664D4}"/>
    <cellStyle name="Comma 5 4" xfId="570" xr:uid="{4269C218-661C-4E40-981E-DBA57CC818A9}"/>
    <cellStyle name="Comma 5 5" xfId="611" xr:uid="{BD023FB7-86EA-40E5-9348-CEE52AFC389E}"/>
    <cellStyle name="Comma 5 6" xfId="161" xr:uid="{4CD96D0E-41C6-4267-9169-157BC9C2A281}"/>
    <cellStyle name="Comma 6" xfId="71" xr:uid="{CEDFAEF5-68ED-43E2-9ECA-0FC6274C4C17}"/>
    <cellStyle name="Comma 6 2" xfId="613" xr:uid="{1CE1A283-50BC-46E2-9FC3-536E89D2A529}"/>
    <cellStyle name="Comma 6 3" xfId="172" xr:uid="{BFF648B3-1F7B-4331-B030-549CB9136BC1}"/>
    <cellStyle name="Comma 7" xfId="107" xr:uid="{3891289D-EA58-4DAA-AE30-E3E74DE586E4}"/>
    <cellStyle name="Comma 7 2" xfId="117" xr:uid="{7035214D-6795-4045-A125-D82DECC573D4}"/>
    <cellStyle name="Comma 7 2 2" xfId="182" xr:uid="{F8F74B1F-1E1E-466A-92DA-0687CA1D6C4D}"/>
    <cellStyle name="Comma 7 2 2 2" xfId="618" xr:uid="{5405B991-BD7E-4D20-B8DF-46F8BC641C0D}"/>
    <cellStyle name="Comma 7 2 3" xfId="600" xr:uid="{E30D9FC6-4873-4CEB-A1E2-393190C772B2}"/>
    <cellStyle name="Comma 7 3" xfId="177" xr:uid="{573F2A66-98C1-4762-B90C-40FF9A2FA952}"/>
    <cellStyle name="Comma 7 3 2" xfId="614" xr:uid="{33FD4068-05F6-4DED-A48C-25E2AF86B7B0}"/>
    <cellStyle name="Comma 7 4" xfId="573" xr:uid="{7A112159-D30B-49FA-86A0-163B5651F40D}"/>
    <cellStyle name="Comma 8" xfId="171" xr:uid="{883048CB-420F-4FA1-AB9D-C76780BE810D}"/>
    <cellStyle name="Comma 8 2" xfId="612" xr:uid="{194EE6AB-0674-4D75-9BAF-FFEC8E1CB1DD}"/>
    <cellStyle name="Comma 9" xfId="223" xr:uid="{D5572597-0D27-46B4-BF0D-64D57119FE1B}"/>
    <cellStyle name="Cover" xfId="342" xr:uid="{3CAB4C8F-D94A-427D-8B58-9F7511463DBD}"/>
    <cellStyle name="Dezimal [0]_Tfz-Anzahl" xfId="383" xr:uid="{6DC88F49-93FE-4AFA-ADB8-316206BC1B7A}"/>
    <cellStyle name="Dezimal_Tfz-Anzahl" xfId="366" xr:uid="{6647AA53-2B6F-4728-8EA5-49C283F38A3C}"/>
    <cellStyle name="Euro" xfId="526" xr:uid="{16F9819C-AF20-4C7A-985F-FEAA95E59206}"/>
    <cellStyle name="Euro 2" xfId="305" xr:uid="{432C09FA-7DBC-49A8-95E9-05C4D6E7D464}"/>
    <cellStyle name="Excel Built-in Normal" xfId="76" xr:uid="{763F7731-53E3-4298-9C08-FF73CFBFC7DD}"/>
    <cellStyle name="Explanatory Text 2" xfId="60" xr:uid="{5B8338CE-B068-40ED-AE3B-B2E64106A839}"/>
    <cellStyle name="Explanatory Text 2 2" xfId="495" xr:uid="{C0DE94C4-12CF-40F1-9934-370EB4A958A4}"/>
    <cellStyle name="Explanatory Text 3" xfId="568" xr:uid="{C6E61676-1CE2-432B-91F2-04E733D5A95E}"/>
    <cellStyle name="Followed Hyperlink 2" xfId="61" xr:uid="{468E75D0-3A6D-4099-8B56-DC0BA5BED406}"/>
    <cellStyle name="Good" xfId="27" builtinId="26" customBuiltin="1"/>
    <cellStyle name="Good 2" xfId="243" xr:uid="{DB6301BC-85D1-47B2-842C-3C733E5DE3A5}"/>
    <cellStyle name="Good 2 2" xfId="297" xr:uid="{CF7387AC-41DA-4A96-B385-26971193D808}"/>
    <cellStyle name="Good 2 2 2" xfId="332" xr:uid="{A8919D51-79AE-48C9-AAE8-D78E32966479}"/>
    <cellStyle name="Good 2 2 3" xfId="401" xr:uid="{5A1D17E5-06F3-484B-B890-4AA80E2D321A}"/>
    <cellStyle name="Good 2 3" xfId="433" xr:uid="{4203093B-64EE-4C9A-8A15-E8FD380FFD42}"/>
    <cellStyle name="Good 3" xfId="566" xr:uid="{7AD317D6-F71B-45CE-B618-4511DE0D6055}"/>
    <cellStyle name="Heading" xfId="130" xr:uid="{C20642B0-4CD4-4EC5-8AA8-2F5825823C69}"/>
    <cellStyle name="Heading 1 2" xfId="78" xr:uid="{D6DAAB40-FFE5-4B0B-8C11-FA6DE8CA3C5A}"/>
    <cellStyle name="Heading 1 2 2" xfId="282" xr:uid="{2DD3CC1B-3838-4034-ADBB-56E98B7CFCCE}"/>
    <cellStyle name="Heading 1 2 3" xfId="315" xr:uid="{8966C502-0BD9-4D46-9D90-032C55000F8A}"/>
    <cellStyle name="Heading 1 2 4" xfId="207" xr:uid="{700DDA7E-7F44-4AFA-8D09-8B417BB36297}"/>
    <cellStyle name="Heading 1 3" xfId="79" xr:uid="{6D4AECC9-1F0B-47CA-BDC4-74E8B398D867}"/>
    <cellStyle name="Heading 1 3 2" xfId="283" xr:uid="{3594E6D2-3462-44A1-8448-8300796DB41C}"/>
    <cellStyle name="Heading 1 3 3" xfId="124" xr:uid="{3A8AD7D1-287C-4B45-AD19-D9D083D88D24}"/>
    <cellStyle name="Heading 1 4" xfId="77" xr:uid="{38655E4E-6E00-4284-96C3-150B5C1E82DE}"/>
    <cellStyle name="Heading 1 4 2" xfId="281" xr:uid="{CBE52301-2699-4380-A578-E10D8E00E171}"/>
    <cellStyle name="Heading 1 4 3" xfId="209" xr:uid="{074E0454-EAA7-41B4-B6EA-A10B4EFF9749}"/>
    <cellStyle name="Heading 1 5" xfId="440" xr:uid="{DD87D95E-D158-4CD6-9FF7-00E0F52C5DBD}"/>
    <cellStyle name="Heading 2 2" xfId="80" xr:uid="{DF6F2876-FC48-48B2-9F69-9AFF3A88F36A}"/>
    <cellStyle name="Heading 2 2 2" xfId="187" xr:uid="{EACB9CF2-5550-4121-80E7-ADEC6FBC38BF}"/>
    <cellStyle name="Heading 2 2 3" xfId="175" xr:uid="{D0481583-8C89-466C-8EC6-91EDDE37544F}"/>
    <cellStyle name="Heading 2 2 4" xfId="213" xr:uid="{F20E69DC-806E-43F6-BA8B-30AFAAF3E1E4}"/>
    <cellStyle name="Heading 2 2 5" xfId="284" xr:uid="{C09EB4D6-95FC-4CC0-ABA9-3CB76FED2CA4}"/>
    <cellStyle name="Heading 2 2 6" xfId="334" xr:uid="{3FD4F13E-8ECC-45EA-89ED-15B05883DDD2}"/>
    <cellStyle name="Heading 2 2 7" xfId="169" xr:uid="{F0B0C568-DBFD-46EB-9272-9C24A3B7821D}"/>
    <cellStyle name="Heading 2 3" xfId="168" xr:uid="{353C1AEB-BD9B-4F12-ABF0-025035FC4017}"/>
    <cellStyle name="Heading 2 3 2" xfId="212" xr:uid="{67898B7A-EC65-4E7F-97CF-8790862BC567}"/>
    <cellStyle name="Heading 3 2" xfId="195" xr:uid="{F94CA5FF-B2A0-48D6-9EF3-74401CA503E7}"/>
    <cellStyle name="Heading 3 2 2" xfId="479" xr:uid="{ABD374B9-BBE1-470A-BC4D-26292E947359}"/>
    <cellStyle name="Heading 3 3" xfId="191" xr:uid="{5E90BF1D-9FAA-414D-82D7-161529ADE5CF}"/>
    <cellStyle name="Heading 4 2" xfId="328" xr:uid="{85C6E235-36A1-4261-8B71-964E9EB2CAD8}"/>
    <cellStyle name="Hyperlink" xfId="2" builtinId="8"/>
    <cellStyle name="Hyperlink 2" xfId="62" xr:uid="{00C09805-C436-4EDB-8A67-202B7804C4B2}"/>
    <cellStyle name="Hyperlink 2 2" xfId="83" xr:uid="{4F26A956-4D79-4C24-AA43-F458D3A3E2DB}"/>
    <cellStyle name="Hyperlink 2 2 2" xfId="287" xr:uid="{D9D36583-4BBA-48F4-9C1A-9AD039CAF073}"/>
    <cellStyle name="Hyperlink 2 2 3" xfId="176" xr:uid="{479D6B56-3E02-4380-A8B8-0398DA65F11B}"/>
    <cellStyle name="Hyperlink 2 2 4" xfId="84" xr:uid="{C50C2DE8-3858-494F-810F-CF37E2314FAD}"/>
    <cellStyle name="Hyperlink 2 3" xfId="82" xr:uid="{71422C40-05AB-4330-A93C-4151C0D1416C}"/>
    <cellStyle name="Hyperlink 2 3 2" xfId="192" xr:uid="{3EA74BCE-6C59-4F01-AE11-D06FFC50DD73}"/>
    <cellStyle name="Hyperlink 2 3 3" xfId="286" xr:uid="{DAC0C683-0362-49BA-9CAA-1FE7DBF637CB}"/>
    <cellStyle name="Hyperlink 2 3 4" xfId="147" xr:uid="{2FA4E837-708B-4943-9679-7122BF2CFF83}"/>
    <cellStyle name="Hyperlink 2 4" xfId="189" xr:uid="{3DAFD7FD-E349-4369-8027-62F592382AD8}"/>
    <cellStyle name="Hyperlink 2 5" xfId="274" xr:uid="{8D20EAA5-4D40-47E0-B239-CC44D309E7B1}"/>
    <cellStyle name="Hyperlink 2 6" xfId="105" xr:uid="{A5FFDDA3-C014-4C81-8545-3B85BA2DBF22}"/>
    <cellStyle name="Hyperlink 3" xfId="85" xr:uid="{C574B62B-9912-4C35-BC70-EF6AE067C3FF}"/>
    <cellStyle name="Hyperlink 3 2" xfId="180" xr:uid="{3BEB6A73-7C66-4777-80B9-EE48900D6EE3}"/>
    <cellStyle name="Hyperlink 3 3" xfId="153" xr:uid="{1BE334A7-F01A-4F66-B8FB-D9E6E0031C7C}"/>
    <cellStyle name="Hyperlink 3 4" xfId="188" xr:uid="{E37AD4F6-78C7-4F68-956D-21910CF89702}"/>
    <cellStyle name="Hyperlink 3 5" xfId="288" xr:uid="{B85634CE-A73D-442B-B8A6-EBDEE7C41A0F}"/>
    <cellStyle name="Hyperlink 3 6" xfId="325" xr:uid="{62BF63EA-73CD-4950-8C3D-42B6CAEDC380}"/>
    <cellStyle name="Hyperlink 3 7" xfId="113" xr:uid="{59327872-43CE-46EE-B7DE-7BEA418DE1CA}"/>
    <cellStyle name="Hyperlink 4" xfId="81" xr:uid="{B3B4FF7A-92A7-4D73-9067-E5934C3ADBF4}"/>
    <cellStyle name="Hyperlink 4 2" xfId="174" xr:uid="{7138106B-7437-4BC4-9615-D79ECB617EDE}"/>
    <cellStyle name="Hyperlink 4 3" xfId="166" xr:uid="{39DFF79A-1349-45BC-BE87-9D14FEC87059}"/>
    <cellStyle name="Hyperlink 4 4" xfId="285" xr:uid="{34625C1C-8C04-4B1A-B38A-296A368BD2C1}"/>
    <cellStyle name="Hyperlink 4 5" xfId="338" xr:uid="{A729EC3C-EEB7-4837-B86D-6987CE566BAA}"/>
    <cellStyle name="Hyperlink 4 6" xfId="102" xr:uid="{F5EE625D-4DA9-454D-BCED-F9F7DD866C4B}"/>
    <cellStyle name="Hyperlink 5" xfId="544" xr:uid="{1B41DA3B-9C6B-45EC-A9C3-2C36CCD9218A}"/>
    <cellStyle name="Hyperlink 6" xfId="477" xr:uid="{A6103982-E33D-48CB-A1EA-2618BD434E36}"/>
    <cellStyle name="Hyperlink 7" xfId="565" xr:uid="{DB46CC56-3426-4978-9EF6-B73FA04F8DAF}"/>
    <cellStyle name="Hyperlink 8" xfId="423" xr:uid="{3228CA0F-97E3-49D6-8356-AB999EEA6574}"/>
    <cellStyle name="Input 2" xfId="63" xr:uid="{A157D901-6D69-4D0D-9628-644EB8F5B314}"/>
    <cellStyle name="Input 2 2" xfId="219" xr:uid="{F8BF6CC5-637B-482C-ACB9-5A6C5FD860F9}"/>
    <cellStyle name="Input 2 2 2" xfId="357" xr:uid="{5B17FD30-5126-4551-8D17-8CEE48F143DF}"/>
    <cellStyle name="Input 2 2 2 2" xfId="308" xr:uid="{72491B8E-4108-496B-A76A-FDF45667389B}"/>
    <cellStyle name="Input 2 2 2 3" xfId="350" xr:uid="{2AF2CBA4-E2D0-475E-965F-1B6E15A17229}"/>
    <cellStyle name="Input 2 2 3" xfId="348" xr:uid="{0B262216-DA04-4379-9041-F9F83EBA728C}"/>
    <cellStyle name="Input 2 3" xfId="275" xr:uid="{268DAAAD-E051-48D0-AD37-AB50B9A7C7D2}"/>
    <cellStyle name="Input 2 3 2" xfId="354" xr:uid="{D3521016-F5A5-4934-B961-A4961BCACFB0}"/>
    <cellStyle name="Input 2 3 2 2" xfId="307" xr:uid="{DB0F415D-46C1-4244-B17E-D6264329DF2D}"/>
    <cellStyle name="Input 2 3 2 3" xfId="522" xr:uid="{0C152D24-1D6C-4248-AF5C-2341C8296180}"/>
    <cellStyle name="Input 2 3 3" xfId="306" xr:uid="{3EE552BE-2670-4659-A291-D3A7571B142C}"/>
    <cellStyle name="Input 2 4" xfId="519" xr:uid="{71AAEE28-DBA1-4C27-B002-91EF267611F8}"/>
    <cellStyle name="Input 2 4 2" xfId="322" xr:uid="{5D2530F3-D4CC-4ED1-95CC-09C47655122C}"/>
    <cellStyle name="Input 2 4 3" xfId="467" xr:uid="{A63034D5-2981-48EE-A4AE-ACD4FDFF5949}"/>
    <cellStyle name="Input 2 5" xfId="220" xr:uid="{D3370D17-5345-450D-9B8E-ED7053C17A8D}"/>
    <cellStyle name="Input 2 6" xfId="185" xr:uid="{263B89DB-60E9-4313-9A45-A780B42775BC}"/>
    <cellStyle name="Input 3" xfId="564" xr:uid="{834ADD66-C2D4-4640-B94D-16633BE2BBE7}"/>
    <cellStyle name="Input 4" xfId="601" xr:uid="{55E1D730-3313-4FCF-849E-2466DC36831B}"/>
    <cellStyle name="Input 5" xfId="123" xr:uid="{C6870CEA-07A4-427C-9CFE-28F34631994A}"/>
    <cellStyle name="Input data" xfId="64" xr:uid="{63E00523-6228-4176-999F-EB05A3BC3730}"/>
    <cellStyle name="InputCells12_BBorder_CRFReport-template" xfId="131" xr:uid="{B2787088-CC8E-4506-8420-62DD4B173C41}"/>
    <cellStyle name="Linked Cell 2" xfId="65" xr:uid="{E78C3085-E931-4B49-A6B3-1619935167B3}"/>
    <cellStyle name="Linked Cell 2 2" xfId="345" xr:uid="{F0FD372D-B526-497F-8919-43BEF48EE185}"/>
    <cellStyle name="Linked Cell 3" xfId="563" xr:uid="{A26EF569-6ECC-436A-8431-0CD3921FCA49}"/>
    <cellStyle name="Menu" xfId="235" xr:uid="{BF9D1111-D09C-4130-B403-1047681E255A}"/>
    <cellStyle name="Milliers [0]_03tabmat" xfId="408" xr:uid="{F47AEA56-4FB1-4BA6-A8FE-CFA369D75C8C}"/>
    <cellStyle name="Milliers_03tabmat" xfId="534" xr:uid="{37840D35-62B2-40B9-9CAC-1DEC197A4C96}"/>
    <cellStyle name="Monétaire [0]_03tabmat" xfId="298" xr:uid="{496F8F75-AFF3-40D1-BBD9-225D6A10EDE2}"/>
    <cellStyle name="Monétaire_03tabmat" xfId="314" xr:uid="{8681FDC9-DB97-497F-8D04-D38A2A8BF89B}"/>
    <cellStyle name="Neutral" xfId="29" builtinId="28" customBuiltin="1"/>
    <cellStyle name="Neutral 2" xfId="245" xr:uid="{1FE12F14-11C9-4CF7-98FB-8D3761BF2C88}"/>
    <cellStyle name="Neutral 2 2" xfId="393" xr:uid="{BBD86A82-2B7B-4FD9-8019-9E9DB4B12806}"/>
    <cellStyle name="Neutral 2 2 2" xfId="320" xr:uid="{C7084EDD-53D8-476E-8952-ED9DD525DC74}"/>
    <cellStyle name="Neutral 2 2 3" xfId="483" xr:uid="{36FAE6E6-C29F-47F2-878E-60D5B16005BE}"/>
    <cellStyle name="Neutral 2 3" xfId="447" xr:uid="{7595838F-4413-418E-8592-9A684FFD532E}"/>
    <cellStyle name="Neutral 3" xfId="562" xr:uid="{B6748563-8585-4E96-8421-0826B93048CA}"/>
    <cellStyle name="Normal" xfId="0" builtinId="0"/>
    <cellStyle name="Normal 10" xfId="104" xr:uid="{ED1C3915-69AC-4474-8680-7C402FE43900}"/>
    <cellStyle name="Normal 10 2" xfId="542" xr:uid="{62FA1E2A-D92E-4585-90F1-831EB933DBDC}"/>
    <cellStyle name="Normal 10 2 2" xfId="341" xr:uid="{6CF594A2-19E4-4719-8C68-3A462F3E4B30}"/>
    <cellStyle name="Normal 10 3" xfId="496" xr:uid="{87231A39-830B-44BB-94DE-F53B68E79240}"/>
    <cellStyle name="Normal 10 3 2" xfId="372" xr:uid="{E623D8AB-E80D-4FF7-920E-DF44B9A07415}"/>
    <cellStyle name="Normal 10 3 2 3" xfId="170" xr:uid="{57153D8B-B7C9-482C-A506-11A86AA9B6B7}"/>
    <cellStyle name="Normal 10 4" xfId="318" xr:uid="{D4D0DAEF-F001-4650-89BB-3376EE93850B}"/>
    <cellStyle name="Normal 10 5" xfId="449" xr:uid="{B93D5FE4-DF8D-4E71-A637-36359D1F0A51}"/>
    <cellStyle name="Normal 11" xfId="86" xr:uid="{CF867AEE-8566-4E45-8AB1-340DC85A010A}"/>
    <cellStyle name="Normal 11 2" xfId="289" xr:uid="{4815ADEB-461B-4D36-A58F-ACEFB83D0BC2}"/>
    <cellStyle name="Normal 11 2 2" xfId="394" xr:uid="{3CF53024-7378-4E90-A2CD-19B701108D57}"/>
    <cellStyle name="Normal 11 3" xfId="103" xr:uid="{10977904-900B-42EB-88DE-31EE00CF7CE7}"/>
    <cellStyle name="Normal 12" xfId="110" xr:uid="{B12A8CDA-DF1E-4DE1-810C-904DF9560E6B}"/>
    <cellStyle name="Normal 13" xfId="106" xr:uid="{93E87C37-F7B8-4D00-B801-FEDB72D56D58}"/>
    <cellStyle name="Normal 13 2" xfId="98" xr:uid="{F98AF296-EBA9-4A10-94BD-40F95099C027}"/>
    <cellStyle name="Normal 13 2 2" xfId="116" xr:uid="{22744E0F-7DA1-4F7B-8B5E-E1CD67A4706A}"/>
    <cellStyle name="Normal 13 2 3" xfId="418" xr:uid="{29BB63B8-006B-450D-94CE-4963BB4254A1}"/>
    <cellStyle name="Normal 13 3" xfId="464" xr:uid="{A07C201C-CCDB-4675-BCCC-9132A490D375}"/>
    <cellStyle name="Normal 14" xfId="445" xr:uid="{F88D162E-4196-41D5-AD67-9B83F22CA274}"/>
    <cellStyle name="Normal 14 2 2 2" xfId="548" xr:uid="{479A7A5F-C563-4E93-BCE4-3213F32A1A10}"/>
    <cellStyle name="Normal 15" xfId="416" xr:uid="{7A0730B2-FB16-47EA-B4C4-AD9EA1B52EA2}"/>
    <cellStyle name="Normal 15 2 2 2" xfId="549" xr:uid="{AF526BB7-9C15-418B-ACCF-E642523CBD8F}"/>
    <cellStyle name="Normal 16" xfId="550" xr:uid="{E75BCABA-A1BD-4022-A884-53EEFB2D1540}"/>
    <cellStyle name="Normal 16 2" xfId="551" xr:uid="{2E2CB79F-1D17-4C3B-B06F-98E2EC9C31F2}"/>
    <cellStyle name="Normal 17" xfId="406" xr:uid="{3C63E0BB-5280-4C34-9298-281DFBEDA4E4}"/>
    <cellStyle name="Normal 17 2" xfId="552" xr:uid="{1477EFDF-2616-49AD-BABC-98ED7D380A70}"/>
    <cellStyle name="Normal 17 4" xfId="553" xr:uid="{53E657EB-8BA9-4CF8-B772-5037F3B44CAA}"/>
    <cellStyle name="Normal 18" xfId="481" xr:uid="{0CEC469E-AC31-400F-95C1-97E89D2BA32E}"/>
    <cellStyle name="Normal 19" xfId="634" xr:uid="{424783BC-9C1F-4996-A83D-DA67788DD83E}"/>
    <cellStyle name="Normal 2" xfId="1" xr:uid="{00000000-0005-0000-0000-000007000000}"/>
    <cellStyle name="Normal 2 2" xfId="9" xr:uid="{00000000-0005-0000-0000-000008000000}"/>
    <cellStyle name="Normal 2 2 2" xfId="13" xr:uid="{00000000-0005-0000-0000-000009000000}"/>
    <cellStyle name="Normal 2 2 2 2" xfId="88" xr:uid="{ABACE6EF-7068-4C7A-97AD-3B3065FD44AA}"/>
    <cellStyle name="Normal 2 2 2 2 2" xfId="290" xr:uid="{02945BA2-56BD-4DBD-B42F-A8ACF178CBC9}"/>
    <cellStyle name="Normal 2 2 2 2 3" xfId="186" xr:uid="{927131EC-384A-4ECA-86BA-FFF18366BC30}"/>
    <cellStyle name="Normal 2 2 2 3" xfId="149" xr:uid="{1E40D249-F3F0-4271-BE97-2740BA3C9E09}"/>
    <cellStyle name="Normal 2 2 4" xfId="21" xr:uid="{00000000-0005-0000-0000-00000A000000}"/>
    <cellStyle name="Normal 2 3" xfId="20" xr:uid="{00000000-0005-0000-0000-00000B000000}"/>
    <cellStyle name="Normal 2 3 10 4" xfId="190" xr:uid="{57AA347A-0201-4B99-A688-6C7153761043}"/>
    <cellStyle name="Normal 2 3 2" xfId="89" xr:uid="{55AA8380-A332-4719-855B-189DC079B5FA}"/>
    <cellStyle name="Normal 2 3 2 2" xfId="291" xr:uid="{FACB4C7E-DD81-4915-A41A-F83A03A6419E}"/>
    <cellStyle name="Normal 2 3 2 3" xfId="119" xr:uid="{CD7F6A0F-7A67-4D90-A6B0-102245E8ABC4}"/>
    <cellStyle name="Normal 2 3 3" xfId="211" xr:uid="{558EAA80-D2B2-4EA8-8515-382E5829CA0A}"/>
    <cellStyle name="Normal 2 3 4" xfId="340" xr:uid="{EEAD2EB2-2982-44B6-AEC9-3BCDCD2CDC7F}"/>
    <cellStyle name="Normal 2 3 5" xfId="118" xr:uid="{B71F3D4D-D7C2-4D26-8A05-DA8C9582AB7E}"/>
    <cellStyle name="Normal 2 4" xfId="72" xr:uid="{752C6281-92C8-4F43-9801-0FA98F43E7D0}"/>
    <cellStyle name="Normal 2 4 2" xfId="218" xr:uid="{59A38222-14F1-4FBD-8F09-01DB940ED229}"/>
    <cellStyle name="Normal 2 4 3" xfId="277" xr:uid="{6D83B9F8-F0C1-4A50-8098-BAE2FEAC6B92}"/>
    <cellStyle name="Normal 2 4 4" xfId="132" xr:uid="{711D1D9B-9344-4F4A-B386-0C3CCF6BFC12}"/>
    <cellStyle name="Normal 2 5" xfId="90" xr:uid="{D94462F0-EA73-42F3-96BA-6C04C1A62267}"/>
    <cellStyle name="Normal 2 5 2" xfId="292" xr:uid="{0D8DB790-C207-4534-B7A1-08383E9D01C1}"/>
    <cellStyle name="Normal 2 5 3" xfId="167" xr:uid="{F16FAC6B-66C7-4A7E-8FE6-1CA2EF493844}"/>
    <cellStyle name="Normal 2 6" xfId="87" xr:uid="{B76773E5-5803-41DC-B146-703291702CBE}"/>
    <cellStyle name="Normal 2 7" xfId="517" xr:uid="{17ECA9BF-882E-4F8D-B110-3AD73B92678A}"/>
    <cellStyle name="Normal 20" xfId="637" xr:uid="{BADCBEB9-222A-4173-9A18-538D4C38CAA0}"/>
    <cellStyle name="Normal 209 2" xfId="554" xr:uid="{FE3FE817-363D-4BFF-BAF1-7A1E44FEDCF5}"/>
    <cellStyle name="Normal 21" xfId="555" xr:uid="{39B29AE2-CA96-4794-8444-8AABD3F38C1B}"/>
    <cellStyle name="Normal 22" xfId="556" xr:uid="{3A80F029-46CB-49CB-B320-5EECA9618DAB}"/>
    <cellStyle name="Normal 228" xfId="196" xr:uid="{05A0D550-C76D-4CD3-8737-BBB006C63276}"/>
    <cellStyle name="Normal 233" xfId="208" xr:uid="{DF282B0C-6427-46D0-BE2D-3260216C1708}"/>
    <cellStyle name="Normal 24" xfId="557" xr:uid="{4F6FDF8D-A89A-4D01-B270-DBC94A14686D}"/>
    <cellStyle name="Normal 3" xfId="6" xr:uid="{00000000-0005-0000-0000-00000C000000}"/>
    <cellStyle name="Normal 3 2" xfId="91" xr:uid="{51750B1D-C941-4B79-A8B3-D405C6707360}"/>
    <cellStyle name="Normal 3 2 2" xfId="183" xr:uid="{B7E89DF4-A8B7-4F88-8ED5-839B027717ED}"/>
    <cellStyle name="Normal 3 2 3" xfId="134" xr:uid="{15052FCD-EF1E-4499-9C81-35EC92DA4F46}"/>
    <cellStyle name="Normal 3 2 4" xfId="439" xr:uid="{DDA902FB-158D-4E9D-B4D2-CF10A1288FBC}"/>
    <cellStyle name="Normal 3 2 5" xfId="120" xr:uid="{174E34BA-51A9-4635-8236-DD8BE5704DDE}"/>
    <cellStyle name="Normal 3 3" xfId="133" xr:uid="{4B34E68B-F707-41FB-BC24-5741DF4D71B7}"/>
    <cellStyle name="Normal 3 3 2" xfId="293" xr:uid="{524A8E50-D933-421B-85EC-470FA5E90B9F}"/>
    <cellStyle name="Normal 3 4" xfId="23" xr:uid="{00000000-0005-0000-0000-00000D000000}"/>
    <cellStyle name="Normal 3 4 2" xfId="430" xr:uid="{86A5B911-44AE-4BA4-90D5-AE1A56007FEE}"/>
    <cellStyle name="Normal 3 5" xfId="229" xr:uid="{9C00D1EE-C602-4CBA-A77D-1C8636CCF2EB}"/>
    <cellStyle name="Normal 3 6" xfId="500" xr:uid="{7262B2B2-40F1-49FB-827B-DB25E73D89C3}"/>
    <cellStyle name="Normal 4" xfId="11" xr:uid="{00000000-0005-0000-0000-00000E000000}"/>
    <cellStyle name="Normal 4 2" xfId="25" xr:uid="{A61281DF-F0AC-44C1-98F6-1FEA6DD3A5F8}"/>
    <cellStyle name="Normal 4 2 2" xfId="214" xr:uid="{29F68D22-1C75-4A03-A58B-C56C6A439700}"/>
    <cellStyle name="Normal 4 2 2 2" xfId="425" xr:uid="{FCC055DF-36B8-48CB-9E74-D343742FCC52}"/>
    <cellStyle name="Normal 4 2 3" xfId="215" xr:uid="{663D520D-1EA3-4143-B00E-D1EB1D3C1C98}"/>
    <cellStyle name="Normal 4 2 4" xfId="241" xr:uid="{B10E231E-B696-477B-BC2A-39459C912E03}"/>
    <cellStyle name="Normal 4 2 5" xfId="136" xr:uid="{58657F84-7795-4D97-9953-0B9075D5B966}"/>
    <cellStyle name="Normal 4 3" xfId="92" xr:uid="{219BEBF0-BBC0-4FD0-A228-E5992ABBF20F}"/>
    <cellStyle name="Normal 4 3 2" xfId="216" xr:uid="{46524437-E521-469E-8A68-240D4CFBE2DF}"/>
    <cellStyle name="Normal 4 3 2 2" xfId="507" xr:uid="{6459DC28-6027-4E93-9B1E-A8220471EFBB}"/>
    <cellStyle name="Normal 4 3 3" xfId="294" xr:uid="{A3965C73-E6A7-4544-B1C6-8E7ABFF4AB10}"/>
    <cellStyle name="Normal 4 3 4" xfId="109" xr:uid="{7D12BC1E-4A2A-4E0A-9628-30981E19A12C}"/>
    <cellStyle name="Normal 4 4" xfId="184" xr:uid="{802F3B78-9F0A-42C5-919D-75AC308DCCCA}"/>
    <cellStyle name="Normal 4 4 2" xfId="346" xr:uid="{B40FAA0F-A2D0-4944-B840-8D46E2D1BAA9}"/>
    <cellStyle name="Normal 4 5" xfId="135" xr:uid="{A5F2E7D2-804C-4B96-861E-CA386ACD9850}"/>
    <cellStyle name="Normal 4 5 2" xfId="419" xr:uid="{99EC22A8-FD2B-4F10-B389-EAF31EF93B7C}"/>
    <cellStyle name="Normal 4 6" xfId="210" xr:uid="{69EE5CE3-1DD7-41FF-8521-D7077658C1B4}"/>
    <cellStyle name="Normal 4 7" xfId="233" xr:uid="{1CB121B4-BA95-4EF9-86BA-B60BA573734E}"/>
    <cellStyle name="Normal 4 8" xfId="502" xr:uid="{FB7BAB34-EE16-4A70-88B7-9DFC942AD49C}"/>
    <cellStyle name="Normal 4 9" xfId="122" xr:uid="{B0CE893A-CD3B-485B-9C25-40B3D86FD1D5}"/>
    <cellStyle name="Normal 5" xfId="12" xr:uid="{00000000-0005-0000-0000-00000F000000}"/>
    <cellStyle name="Normal 5 2" xfId="217" xr:uid="{E3292202-75E5-4E57-838D-D794C015756D}"/>
    <cellStyle name="Normal 5 2 2" xfId="498" xr:uid="{F176C81A-2773-4B26-B2D0-C19F59279DDC}"/>
    <cellStyle name="Normal 5 3" xfId="97" xr:uid="{6352598A-403F-481D-9B59-3367D2981EFC}"/>
    <cellStyle name="Normal 6" xfId="5" xr:uid="{00000000-0005-0000-0000-000010000000}"/>
    <cellStyle name="Normal 6 2" xfId="24" xr:uid="{00000000-0005-0000-0000-000011000000}"/>
    <cellStyle name="Normal 6 3" xfId="228" xr:uid="{DC9F39F5-7CD0-4D14-B7B0-5854DF349E31}"/>
    <cellStyle name="Normal 6 4" xfId="451" xr:uid="{6C622D8F-FA55-49FF-9861-D745CDF30FE4}"/>
    <cellStyle name="Normal 6 5" xfId="137" xr:uid="{85ADBFC8-C26D-4098-ADE9-428C95D7FBA9}"/>
    <cellStyle name="Normal 7" xfId="55" xr:uid="{53D32685-276E-4848-AC47-D31CECF7F532}"/>
    <cellStyle name="Normal 7 2" xfId="162" xr:uid="{FF853042-A142-40D3-AE23-EE9FDA4931A1}"/>
    <cellStyle name="Normal 7 3" xfId="271" xr:uid="{154A77A8-5CFB-4593-85FE-87431C1D40C6}"/>
    <cellStyle name="Normal 7 4" xfId="310" xr:uid="{4571DC72-1AC0-4B9C-A2B6-3A48B889456A}"/>
    <cellStyle name="Normal 7 5" xfId="138" xr:uid="{3170193A-9494-46BD-860A-0A19E23F53A3}"/>
    <cellStyle name="Normal 8" xfId="152" xr:uid="{2DFA15DB-308A-4815-BE3B-78E977CCCEB8}"/>
    <cellStyle name="Normal 8 2" xfId="378" xr:uid="{3601F194-DE41-464A-906B-D84A44C9E7B4}"/>
    <cellStyle name="Normal 9" xfId="154" xr:uid="{4637FA04-8FE6-4F64-A2BD-274221B9C4C2}"/>
    <cellStyle name="Normal 9 2" xfId="540" xr:uid="{D6C95392-B66B-47CC-9DD6-43E4F536B6E9}"/>
    <cellStyle name="Normal GHG-Shade" xfId="139" xr:uid="{27077ECC-1161-4A70-B804-7792EF04C829}"/>
    <cellStyle name="Normal_(3) Q&amp;A ES overview questions_13062012" xfId="18" xr:uid="{00000000-0005-0000-0000-000012000000}"/>
    <cellStyle name="Normal_Sheet1" xfId="16" xr:uid="{00000000-0005-0000-0000-000014000000}"/>
    <cellStyle name="Normal_Sheet3" xfId="7" xr:uid="{00000000-0005-0000-0000-000015000000}"/>
    <cellStyle name="Note 2" xfId="66" xr:uid="{94BC995A-07F1-4AC5-BACE-B9852462EDBC}"/>
    <cellStyle name="Note 2 2" xfId="317" xr:uid="{4A55F522-C14D-45D6-A06C-73786F6F15CF}"/>
    <cellStyle name="Note 2 2 2" xfId="380" xr:uid="{96F9C58C-9057-4399-A58E-08DF3B0935E5}"/>
    <cellStyle name="Note 2 2 2 2" xfId="462" xr:uid="{4E065075-D6C7-4A85-BC67-AF5ED7EDDF53}"/>
    <cellStyle name="Note 2 2 2 3" xfId="493" xr:uid="{ECE25DF0-E081-496E-A5F1-CD36ACE472DD}"/>
    <cellStyle name="Note 2 3" xfId="335" xr:uid="{80324393-56D6-4E3C-815E-36B4C0AE6E8F}"/>
    <cellStyle name="Note 2 3 2" xfId="224" xr:uid="{1E9AB1DB-3AED-456E-928F-4AC2CFB114C0}"/>
    <cellStyle name="Note 2 3 3" xfId="476" xr:uid="{B4039BAC-A911-4698-9FA6-E9BDA893AFCB}"/>
    <cellStyle name="Note 2 4" xfId="373" xr:uid="{ACD0443F-7764-4F6D-8320-68A1DC72EAFF}"/>
    <cellStyle name="Note 3" xfId="561" xr:uid="{73AE97F3-50EE-4CC4-866C-EAEC44497485}"/>
    <cellStyle name="Output 2" xfId="67" xr:uid="{E27A078A-B93C-4E4A-8CD8-1BFB84F127A9}"/>
    <cellStyle name="Output 2 2" xfId="227" xr:uid="{AF03364C-3E2E-4DD6-920A-41C0C0031DA8}"/>
    <cellStyle name="Output 2 2 2" xfId="420" xr:uid="{2BC77AA2-6B5D-4ADA-86FA-7B70141B0349}"/>
    <cellStyle name="Output 2 2 2 2" xfId="304" xr:uid="{32716B50-ACEB-4ACB-83D8-2FA8D75C81A2}"/>
    <cellStyle name="Output 2 2 2 3" xfId="391" xr:uid="{4C004837-8CDF-43B3-87A0-1545B64D6F8D}"/>
    <cellStyle name="Output 2 3" xfId="441" xr:uid="{3977E14A-76E8-4EF2-B8CC-BB25DE93D9D1}"/>
    <cellStyle name="Output 2 3 2" xfId="531" xr:uid="{E5D2E115-AC83-4746-8BFB-3CFFCE17411A}"/>
    <cellStyle name="Output 2 3 3" xfId="302" xr:uid="{8BA84ACE-7FE0-494B-9D16-D80B9852A37A}"/>
    <cellStyle name="Output 2 4" xfId="370" xr:uid="{49234232-535E-42F3-929C-71BC772D9A6C}"/>
    <cellStyle name="Output 3" xfId="560" xr:uid="{D7B490BF-3EE7-43BE-BE24-450D78A2BC86}"/>
    <cellStyle name="Paragraph Han" xfId="93" xr:uid="{0A6AC994-6708-4486-9A4B-14D8416C211C}"/>
    <cellStyle name="Percent" xfId="4" builtinId="5"/>
    <cellStyle name="Percent 10" xfId="513" xr:uid="{4291D96E-4767-4529-B6F9-0E4E932359F6}"/>
    <cellStyle name="Percent 10 2" xfId="385" xr:uid="{CF610F53-2CFB-446A-85B9-465BE05062A6}"/>
    <cellStyle name="Percent 10 3" xfId="312" xr:uid="{9508891D-9CEF-4F45-9EA8-7C4AADBEFD1F}"/>
    <cellStyle name="Percent 11" xfId="428" xr:uid="{67166CE8-FBA7-4AFA-893C-4B9F3929EB74}"/>
    <cellStyle name="Percent 2" xfId="14" xr:uid="{00000000-0005-0000-0000-000017000000}"/>
    <cellStyle name="Percent 2 2" xfId="68" xr:uid="{F6811F85-8927-4533-835A-57CD2653DA08}"/>
    <cellStyle name="Percent 2 2 2" xfId="276" xr:uid="{F6F377BF-2654-4731-BB72-C3BDC1458473}"/>
    <cellStyle name="Percent 2 2 3" xfId="456" xr:uid="{ADA1FC9B-CEDE-4983-A9E3-69674A662D87}"/>
    <cellStyle name="Percent 2 2 4" xfId="222" xr:uid="{1464AA1B-8F12-4606-BAA3-D95295B30AA6}"/>
    <cellStyle name="Percent 2 3" xfId="94" xr:uid="{B66FB92C-05F6-4201-BB77-744C4D4977BA}"/>
    <cellStyle name="Percent 2 3 2" xfId="453" xr:uid="{6621D87C-6826-42D5-9B92-3A0134F3BCD9}"/>
    <cellStyle name="Percent 2 3 3" xfId="296" xr:uid="{01773335-DA25-4259-ACE5-84BCA189A8FE}"/>
    <cellStyle name="Percent 2 4" xfId="446" xr:uid="{AF40B2F0-6F0D-4B6D-AE1D-464F335AD8A2}"/>
    <cellStyle name="Percent 2 5" xfId="559" xr:uid="{7818B2AA-C01D-447A-988D-86319DAF57BF}"/>
    <cellStyle name="Percent 2 6" xfId="518" xr:uid="{C63EB675-C046-4F1B-8B49-D896AFB20E38}"/>
    <cellStyle name="Percent 2 7" xfId="108" xr:uid="{2DD105D3-6936-466F-BAA2-9D2EB0785E84}"/>
    <cellStyle name="Percent 3" xfId="17" xr:uid="{00000000-0005-0000-0000-000018000000}"/>
    <cellStyle name="Percent 3 2" xfId="238" xr:uid="{7D20B5F1-6A15-4263-B899-CCEE0DE7EFDA}"/>
    <cellStyle name="Percent 3 3" xfId="546" xr:uid="{39F80027-D870-43D6-AE70-A6E4AEE85A93}"/>
    <cellStyle name="Percent 3 4" xfId="100" xr:uid="{076E7D31-4511-47FA-A157-1853D3EF30E7}"/>
    <cellStyle name="Percent 4" xfId="148" xr:uid="{3434D0E8-491F-4981-8E97-42F5A70845D3}"/>
    <cellStyle name="Percent 4 2" xfId="363" xr:uid="{2C737B87-EE26-48C1-A8A5-4EAD458D17DA}"/>
    <cellStyle name="Percent 5" xfId="221" xr:uid="{D388A9CB-B06A-4519-A772-4C8794E3BC6C}"/>
    <cellStyle name="Percent 5 2" xfId="460" xr:uid="{CB062CE9-7235-4A22-BC7D-811C837CF92F}"/>
    <cellStyle name="Percent 5 3" xfId="337" xr:uid="{BC80501A-3A5C-45F0-BF97-6235A0E681E2}"/>
    <cellStyle name="Percent 6" xfId="115" xr:uid="{AB9CB0C7-949F-4892-986C-A543DE58F6FC}"/>
    <cellStyle name="Percent 6 2" xfId="376" xr:uid="{E48DBF07-CF43-4F9B-B40D-FB48DBF1620B}"/>
    <cellStyle name="Percent 7" xfId="390" xr:uid="{E0C1D632-4D73-42D5-A14E-AE65B9466B4D}"/>
    <cellStyle name="Percent 8" xfId="450" xr:uid="{4CEDD62D-0D4A-45AE-91B7-FA024469472B}"/>
    <cellStyle name="Percent 9" xfId="324" xr:uid="{68906155-F98C-45E5-AD6C-CBBF817FE851}"/>
    <cellStyle name="Publication_style" xfId="140" xr:uid="{93C17491-4829-4E74-907C-447C529F4F20}"/>
    <cellStyle name="qa_check" xfId="121" xr:uid="{AAECBA83-B0C9-478A-8818-4862246EEAC1}"/>
    <cellStyle name="Refdb standard" xfId="141" xr:uid="{309E5D93-7EB0-4D0B-A4CA-433E94E3F275}"/>
    <cellStyle name="Refdb standard 2" xfId="142" xr:uid="{474144F0-9A56-488F-89F7-F5E873830C0F}"/>
    <cellStyle name="Selection" xfId="69" xr:uid="{60803EA6-530A-426E-A2E7-B5884C0E12B9}"/>
    <cellStyle name="Shade" xfId="143" xr:uid="{4E892787-5874-423E-A638-A0A5E8BB514B}"/>
    <cellStyle name="Shade 2" xfId="163" xr:uid="{02914344-D9D3-4F4D-887D-64DE953A7C64}"/>
    <cellStyle name="Shade 2 2" xfId="206" xr:uid="{D298E046-5F61-41F5-BBEC-ED3699526561}"/>
    <cellStyle name="Shade 2 2 2" xfId="629" xr:uid="{8134D09B-4BFC-44A7-B942-D72B3B7F9376}"/>
    <cellStyle name="Shade 2 3" xfId="395" xr:uid="{C08DDFAB-01A3-4F13-853F-0E34380239DE}"/>
    <cellStyle name="Shade 3" xfId="197" xr:uid="{6597F883-2D05-435F-AE7A-68B57CDF99B5}"/>
    <cellStyle name="Shade 3 2" xfId="362" xr:uid="{FC2DE1F6-3438-41A4-9B24-0406DD073C7C}"/>
    <cellStyle name="Shade 4" xfId="520" xr:uid="{AE303419-E3C9-41E9-A371-D10DA0087651}"/>
    <cellStyle name="Source" xfId="413" xr:uid="{5D38F00E-E5C5-4EF8-AD1E-6BF5D1A078F8}"/>
    <cellStyle name="Source Hed" xfId="484" xr:uid="{8F5D6D3B-E37E-4583-8639-936C5788B804}"/>
    <cellStyle name="Source Text" xfId="535" xr:uid="{40FFCA5B-CA4F-452F-8518-E40CD2A9DA3B}"/>
    <cellStyle name="Source_1_1" xfId="22" xr:uid="{00000000-0005-0000-0000-000019000000}"/>
    <cellStyle name="Standard_E00seit45" xfId="424" xr:uid="{AF625137-3F96-4363-A2E5-2D7B047283CA}"/>
    <cellStyle name="Style 2" xfId="567" xr:uid="{F897AF8F-E01B-4E25-B033-F502021158DE}"/>
    <cellStyle name="Style 21" xfId="368" xr:uid="{DF7D0EF0-3943-48D7-874E-82136E931BFA}"/>
    <cellStyle name="Style 21 2" xfId="389" xr:uid="{F5D62BAB-6A95-48B5-887D-90D786E2F627}"/>
    <cellStyle name="Style 22" xfId="417" xr:uid="{9E519813-F8BB-4B1E-9E64-8FAEE56E2493}"/>
    <cellStyle name="Style 22 2" xfId="398" xr:uid="{1D3ACD2C-2648-40B6-97E0-9A5CB6BD46C3}"/>
    <cellStyle name="Style 23" xfId="412" xr:uid="{72C31D52-9EA6-4273-9CBC-F5A7797DBFED}"/>
    <cellStyle name="Style 23 2" xfId="429" xr:uid="{0377D714-49E4-4209-A8C6-9F067FCED675}"/>
    <cellStyle name="Style 24" xfId="442" xr:uid="{9C418D5A-198E-4035-8A2F-5BBECF6CF97C}"/>
    <cellStyle name="Style 24 2" xfId="515" xr:uid="{3597535E-B4E4-497B-A57D-5D862E5A764F}"/>
    <cellStyle name="Style 29" xfId="399" xr:uid="{9DDFA28B-DD2F-48CB-B195-9E063C245AE3}"/>
    <cellStyle name="Style 29 2" xfId="349" xr:uid="{3D74303F-C2C8-407E-AD8B-40A5C8116F5F}"/>
    <cellStyle name="Style 30" xfId="329" xr:uid="{9D787B3B-826F-4D36-8256-5279A3AB32D8}"/>
    <cellStyle name="Style 30 2" xfId="454" xr:uid="{3F02C27E-3D49-478F-9E29-EC5B10BE9653}"/>
    <cellStyle name="Style 31" xfId="478" xr:uid="{73F8C004-7B75-42A8-AEBE-CE466D91B929}"/>
    <cellStyle name="Style 31 2" xfId="331" xr:uid="{1C6388FD-F11A-48AB-8491-60BD0A2578A7}"/>
    <cellStyle name="Style 32" xfId="504" xr:uid="{A874DEAE-E96B-4526-8987-3E5761C6FCAA}"/>
    <cellStyle name="Style 32 2" xfId="326" xr:uid="{EFAEFD02-E2D7-48B9-B5E6-1837FF8F0A9D}"/>
    <cellStyle name="Style5" xfId="95" xr:uid="{15F33314-EF1A-4B20-969B-833E7D7ACCFC}"/>
    <cellStyle name="Tabref" xfId="144" xr:uid="{E64E8651-593B-4B6C-AC5E-0C7D4B2799C4}"/>
    <cellStyle name="Title" xfId="26" builtinId="15" customBuiltin="1"/>
    <cellStyle name="Title 2" xfId="539" xr:uid="{04A02E35-D30B-49C1-AF1C-7CE9C837FC99}"/>
    <cellStyle name="Title-1" xfId="521" xr:uid="{EC7D58EF-05A1-498A-83A4-5C8048D5DC88}"/>
    <cellStyle name="Title-2" xfId="465" xr:uid="{5352B7F0-B2B5-4FD2-B327-F7CA49AD5DCA}"/>
    <cellStyle name="Titre ligne" xfId="485" xr:uid="{1F94BEA4-6107-4406-B9C7-2E685F63ACB4}"/>
    <cellStyle name="Total 2" xfId="538" xr:uid="{6BA0D6D5-2B49-42FB-92F4-209AE26D90A7}"/>
    <cellStyle name="Total 2 2" xfId="466" xr:uid="{ED05F99C-BA6D-43D3-B0C2-133D069B3101}"/>
    <cellStyle name="Total intermediaire" xfId="528" xr:uid="{FF0FCB15-6E06-4A91-B8B1-BC054ECCE411}"/>
    <cellStyle name="Tusenskille [0]_rob4-mon.xls Diagram 1" xfId="396" xr:uid="{4626E8F9-E745-4E35-9B1D-45E6496921A2}"/>
    <cellStyle name="Tusenskille_rob4-mon.xls Diagram 1" xfId="301" xr:uid="{9813D0F6-A392-40C0-AE77-CDCB2297EE4F}"/>
    <cellStyle name="Valuta [0]_rob4-mon.xls Diagram 1" xfId="432" xr:uid="{A0CFDABB-4865-4B30-8444-DFCA48CDA8AF}"/>
    <cellStyle name="Valuta_rob4-mon.xls Diagram 1" xfId="365" xr:uid="{9BE80ADC-46C2-4638-9813-94E219F98CE3}"/>
    <cellStyle name="Währung [0]_Excel2" xfId="431" xr:uid="{1C4D491B-4189-4196-9A7C-C2A5F30506B4}"/>
    <cellStyle name="Währung_Excel2" xfId="225" xr:uid="{E9576608-D7F0-466C-BE2F-EDF53247AD8D}"/>
    <cellStyle name="Warning Text 2" xfId="70" xr:uid="{AE78BD9A-C418-4F98-BB69-23C482DA7562}"/>
    <cellStyle name="Warning Text 2 2" xfId="435" xr:uid="{95282F96-5662-4B21-9B36-5F4E21D59AC4}"/>
    <cellStyle name="Warning Text 3" xfId="558" xr:uid="{CF475F0A-B636-41DB-BF41-E1860245D58E}"/>
    <cellStyle name="Year" xfId="437" xr:uid="{5758F5EF-A32A-498D-B9D5-2CEB8B5FFD45}"/>
    <cellStyle name="Обычный_2++_CRFReport-template" xfId="145" xr:uid="{754964AD-D503-4988-A58F-86D955A88865}"/>
  </cellStyles>
  <dxfs count="2">
    <dxf>
      <font>
        <color rgb="FF9C0006"/>
      </font>
      <fill>
        <patternFill>
          <bgColor rgb="FFFFC7CE"/>
        </patternFill>
      </fill>
    </dxf>
    <dxf>
      <fill>
        <patternFill>
          <bgColor indexed="10"/>
        </patternFill>
      </fill>
    </dxf>
  </dxfs>
  <tableStyles count="0" defaultTableStyle="TableStyleMedium2" defaultPivotStyle="PivotStyleLight16"/>
  <colors>
    <mruColors>
      <color rgb="FF00FF00"/>
      <color rgb="FFFFCC99"/>
      <color rgb="FFE9A89F"/>
      <color rgb="FFF9F9F9"/>
      <color rgb="FFFFFFCC"/>
      <color rgb="FF0000FF"/>
      <color rgb="FFFF3300"/>
      <color rgb="FFCCFFFF"/>
      <color rgb="FFFFCCCC"/>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Total CO</a:t>
            </a:r>
            <a:r>
              <a:rPr lang="en-GB" b="1" baseline="-25000"/>
              <a:t>2</a:t>
            </a:r>
            <a:r>
              <a:rPr lang="en-GB" b="1"/>
              <a:t>e emissions, 2023</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58-4C83-BF6D-012719A5EE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58-4C83-BF6D-012719A5EE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58-4C83-BF6D-012719A5EE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58-4C83-BF6D-012719A5EEF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458-4C83-BF6D-012719A5EEF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458-4C83-BF6D-012719A5EEF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458-4C83-BF6D-012719A5EEF7}"/>
              </c:ext>
            </c:extLst>
          </c:dPt>
          <c:dLbls>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1-B458-4C83-BF6D-012719A5EEF7}"/>
                </c:ext>
              </c:extLst>
            </c:dLbl>
            <c:dLbl>
              <c:idx val="4"/>
              <c:layout>
                <c:manualLayout>
                  <c:x val="-5.4041316281460271E-2"/>
                  <c:y val="-0.1503192292928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458-4C83-BF6D-012719A5EEF7}"/>
                </c:ext>
              </c:extLst>
            </c:dLbl>
            <c:dLbl>
              <c:idx val="5"/>
              <c:layout>
                <c:manualLayout>
                  <c:x val="6.9422823390959135E-2"/>
                  <c:y val="-0.1502149966107674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B458-4C83-BF6D-012719A5EEF7}"/>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Charts!$N$7:$N$12</c:f>
              <c:strCache>
                <c:ptCount val="6"/>
                <c:pt idx="0">
                  <c:v>Domestic</c:v>
                </c:pt>
                <c:pt idx="1">
                  <c:v>Industrial &amp; Commercial</c:v>
                </c:pt>
                <c:pt idx="2">
                  <c:v>Transport (inc. NRMM)</c:v>
                </c:pt>
                <c:pt idx="3">
                  <c:v>IPPU</c:v>
                </c:pt>
                <c:pt idx="4">
                  <c:v>Waste</c:v>
                </c:pt>
                <c:pt idx="5">
                  <c:v>AFOLU</c:v>
                </c:pt>
              </c:strCache>
            </c:strRef>
          </c:cat>
          <c:val>
            <c:numRef>
              <c:f>Charts!$O$7:$O$12</c:f>
              <c:numCache>
                <c:formatCode>0.00</c:formatCode>
                <c:ptCount val="6"/>
                <c:pt idx="0">
                  <c:v>8.8490569179836811</c:v>
                </c:pt>
                <c:pt idx="1">
                  <c:v>9.4590200154111006</c:v>
                </c:pt>
                <c:pt idx="2">
                  <c:v>8.7199879350515541</c:v>
                </c:pt>
                <c:pt idx="3">
                  <c:v>1.0101036196923097</c:v>
                </c:pt>
                <c:pt idx="4">
                  <c:v>0.44454284258542998</c:v>
                </c:pt>
                <c:pt idx="5">
                  <c:v>0.12783062353149721</c:v>
                </c:pt>
              </c:numCache>
            </c:numRef>
          </c:val>
          <c:extLst>
            <c:ext xmlns:c16="http://schemas.microsoft.com/office/drawing/2014/chart" uri="{C3380CC4-5D6E-409C-BE32-E72D297353CC}">
              <c16:uniqueId val="{00000000-93D4-47BB-8870-D352D1D6ECE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b="1"/>
              <a:t>Domestic CO</a:t>
            </a:r>
            <a:r>
              <a:rPr lang="en-US" b="1" baseline="-25000"/>
              <a:t>2</a:t>
            </a:r>
            <a:r>
              <a:rPr lang="en-US" b="1"/>
              <a:t>e emissions, 2023</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41-4D98-9DDB-603E3CB1DB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41-4D98-9DDB-603E3CB1DB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41-4D98-9DDB-603E3CB1DB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41-4D98-9DDB-603E3CB1DB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441-4D98-9DDB-603E3CB1DB08}"/>
              </c:ext>
            </c:extLst>
          </c:dPt>
          <c:dLbls>
            <c:dLbl>
              <c:idx val="0"/>
              <c:layout>
                <c:manualLayout>
                  <c:x val="-0.10654674347626052"/>
                  <c:y val="-0.21909659937303208"/>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441-4D98-9DDB-603E3CB1DB08}"/>
                </c:ext>
              </c:extLst>
            </c:dLbl>
            <c:dLbl>
              <c:idx val="2"/>
              <c:layout>
                <c:manualLayout>
                  <c:x val="-9.7686142015012981E-2"/>
                  <c:y val="-1.198202632011222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441-4D98-9DDB-603E3CB1DB08}"/>
                </c:ext>
              </c:extLst>
            </c:dLbl>
            <c:dLbl>
              <c:idx val="3"/>
              <c:layout>
                <c:manualLayout>
                  <c:x val="0.34583355716083058"/>
                  <c:y val="3.35487130849042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441-4D98-9DDB-603E3CB1DB08}"/>
                </c:ext>
              </c:extLst>
            </c:dLbl>
            <c:dLbl>
              <c:idx val="4"/>
              <c:layout>
                <c:manualLayout>
                  <c:x val="6.5498591113863441E-2"/>
                  <c:y val="-5.7169721260232863E-3"/>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8.0002073349448907E-2"/>
                      <c:h val="0.10222986726591742"/>
                    </c:manualLayout>
                  </c15:layout>
                </c:ext>
                <c:ext xmlns:c16="http://schemas.microsoft.com/office/drawing/2014/chart" uri="{C3380CC4-5D6E-409C-BE32-E72D297353CC}">
                  <c16:uniqueId val="{00000009-8441-4D98-9DDB-603E3CB1DB08}"/>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Charts!$N$21:$N$25</c:f>
              <c:strCache>
                <c:ptCount val="5"/>
                <c:pt idx="0">
                  <c:v>Gas</c:v>
                </c:pt>
                <c:pt idx="1">
                  <c:v>Electricity</c:v>
                </c:pt>
                <c:pt idx="2">
                  <c:v>Coal</c:v>
                </c:pt>
                <c:pt idx="3">
                  <c:v>Bioenergy and waste (not grid connected)</c:v>
                </c:pt>
                <c:pt idx="4">
                  <c:v>Oil</c:v>
                </c:pt>
              </c:strCache>
            </c:strRef>
          </c:cat>
          <c:val>
            <c:numRef>
              <c:f>Charts!$O$21:$O$25</c:f>
              <c:numCache>
                <c:formatCode>0.00</c:formatCode>
                <c:ptCount val="5"/>
                <c:pt idx="0">
                  <c:v>6.1728838576789107</c:v>
                </c:pt>
                <c:pt idx="1">
                  <c:v>2.3269511832391832</c:v>
                </c:pt>
                <c:pt idx="2">
                  <c:v>8.4403921176574068E-2</c:v>
                </c:pt>
                <c:pt idx="3">
                  <c:v>0.11313979331810628</c:v>
                </c:pt>
                <c:pt idx="4">
                  <c:v>4.5903075617407127E-2</c:v>
                </c:pt>
              </c:numCache>
            </c:numRef>
          </c:val>
          <c:extLst>
            <c:ext xmlns:c16="http://schemas.microsoft.com/office/drawing/2014/chart" uri="{C3380CC4-5D6E-409C-BE32-E72D297353CC}">
              <c16:uniqueId val="{00000000-1F0B-4264-94E7-94FC47C19F9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b="1"/>
              <a:t>Industrial Commercial CO</a:t>
            </a:r>
            <a:r>
              <a:rPr lang="en-US" b="1" baseline="-25000"/>
              <a:t>2</a:t>
            </a:r>
            <a:r>
              <a:rPr lang="en-US" b="1"/>
              <a:t>e emissions, 2023</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3498691497824434"/>
          <c:y val="0.28828332000752893"/>
          <c:w val="0.3375721615428563"/>
          <c:h val="0.63193624205881271"/>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AF-4CE1-AB2E-B6E258BDB3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AF-4CE1-AB2E-B6E258BDB3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AF-4CE1-AB2E-B6E258BDB3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AF-4CE1-AB2E-B6E258BDB3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AAF-4CE1-AB2E-B6E258BDB38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AAF-4CE1-AB2E-B6E258BDB38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AAF-4CE1-AB2E-B6E258BDB38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D1A-46AC-9C0F-6CBAAFB71F1E}"/>
              </c:ext>
            </c:extLst>
          </c:dPt>
          <c:dLbls>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1-1AAF-4CE1-AB2E-B6E258BDB388}"/>
                </c:ext>
              </c:extLst>
            </c:dLbl>
            <c:dLbl>
              <c:idx val="1"/>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1AAF-4CE1-AB2E-B6E258BDB388}"/>
                </c:ext>
              </c:extLst>
            </c:dLbl>
            <c:dLbl>
              <c:idx val="2"/>
              <c:layout>
                <c:manualLayout>
                  <c:x val="-0.11515689658997472"/>
                  <c:y val="0.1112756682981408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AAF-4CE1-AB2E-B6E258BDB388}"/>
                </c:ext>
              </c:extLst>
            </c:dLbl>
            <c:dLbl>
              <c:idx val="3"/>
              <c:layout>
                <c:manualLayout>
                  <c:x val="-0.26120258824215831"/>
                  <c:y val="5.516163146552633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AAF-4CE1-AB2E-B6E258BDB388}"/>
                </c:ext>
              </c:extLst>
            </c:dLbl>
            <c:dLbl>
              <c:idx val="4"/>
              <c:layout>
                <c:manualLayout>
                  <c:x val="7.4023893427953486E-4"/>
                  <c:y val="-5.80626549686842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AAF-4CE1-AB2E-B6E258BDB388}"/>
                </c:ext>
              </c:extLst>
            </c:dLbl>
            <c:dLbl>
              <c:idx val="5"/>
              <c:layout>
                <c:manualLayout>
                  <c:x val="0.13541140602074966"/>
                  <c:y val="1.738959155600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AAF-4CE1-AB2E-B6E258BDB388}"/>
                </c:ext>
              </c:extLst>
            </c:dLbl>
            <c:dLbl>
              <c:idx val="7"/>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F-FD1A-46AC-9C0F-6CBAAFB71F1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Charts!$N$35:$N$40</c:f>
              <c:strCache>
                <c:ptCount val="6"/>
                <c:pt idx="0">
                  <c:v>Electricity</c:v>
                </c:pt>
                <c:pt idx="1">
                  <c:v>Gas</c:v>
                </c:pt>
                <c:pt idx="2">
                  <c:v>Oil</c:v>
                </c:pt>
                <c:pt idx="3">
                  <c:v>Bioenergy and waste (not grid connected)</c:v>
                </c:pt>
                <c:pt idx="4">
                  <c:v>Large industrial gas </c:v>
                </c:pt>
                <c:pt idx="5">
                  <c:v>Coal</c:v>
                </c:pt>
              </c:strCache>
            </c:strRef>
          </c:cat>
          <c:val>
            <c:numRef>
              <c:f>Charts!$O$35:$O$40</c:f>
              <c:numCache>
                <c:formatCode>0.00</c:formatCode>
                <c:ptCount val="6"/>
                <c:pt idx="0">
                  <c:v>3.871271704707905</c:v>
                </c:pt>
                <c:pt idx="1">
                  <c:v>3.3333827661945787</c:v>
                </c:pt>
                <c:pt idx="2">
                  <c:v>2.045964127509619</c:v>
                </c:pt>
                <c:pt idx="3">
                  <c:v>8.3124726585061565E-2</c:v>
                </c:pt>
                <c:pt idx="4">
                  <c:v>9.7394471076800004E-3</c:v>
                </c:pt>
                <c:pt idx="5">
                  <c:v>5.8251369967112845E-2</c:v>
                </c:pt>
              </c:numCache>
            </c:numRef>
          </c:val>
          <c:extLst>
            <c:ext xmlns:c16="http://schemas.microsoft.com/office/drawing/2014/chart" uri="{C3380CC4-5D6E-409C-BE32-E72D297353CC}">
              <c16:uniqueId val="{00000000-2907-4080-90D0-07CD2657740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b="1"/>
              <a:t>Transport CO</a:t>
            </a:r>
            <a:r>
              <a:rPr lang="en-US" b="1" baseline="-25000"/>
              <a:t>2</a:t>
            </a:r>
            <a:r>
              <a:rPr lang="en-US" b="1"/>
              <a:t>e, 2023</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C1-4B5C-AE96-3F547E8503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C1-4B5C-AE96-3F547E8503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C1-4B5C-AE96-3F547E8503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C1-4B5C-AE96-3F547E8503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C1-4B5C-AE96-3F547E8503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C1-4B5C-AE96-3F547E85037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5C1-4B5C-AE96-3F547E85037F}"/>
              </c:ext>
            </c:extLst>
          </c:dPt>
          <c:dLbls>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1-15C1-4B5C-AE96-3F547E85037F}"/>
                </c:ext>
              </c:extLst>
            </c:dLbl>
            <c:dLbl>
              <c:idx val="1"/>
              <c:layout>
                <c:manualLayout>
                  <c:x val="-2.1429336681992872E-2"/>
                  <c:y val="1.77467316397952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5C1-4B5C-AE96-3F547E85037F}"/>
                </c:ext>
              </c:extLst>
            </c:dLbl>
            <c:dLbl>
              <c:idx val="5"/>
              <c:layout>
                <c:manualLayout>
                  <c:x val="0.13083162741780446"/>
                  <c:y val="2.58073370893551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5C1-4B5C-AE96-3F547E85037F}"/>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Charts!$N$52:$N$57</c:f>
              <c:strCache>
                <c:ptCount val="6"/>
                <c:pt idx="0">
                  <c:v>Road transport (non electric)</c:v>
                </c:pt>
                <c:pt idx="1">
                  <c:v>Aviation</c:v>
                </c:pt>
                <c:pt idx="2">
                  <c:v>Rail (electric)</c:v>
                </c:pt>
                <c:pt idx="3">
                  <c:v>NRMM</c:v>
                </c:pt>
                <c:pt idx="4">
                  <c:v>Rail (diesel)</c:v>
                </c:pt>
                <c:pt idx="5">
                  <c:v>Shipping</c:v>
                </c:pt>
              </c:strCache>
            </c:strRef>
          </c:cat>
          <c:val>
            <c:numRef>
              <c:f>Charts!$O$52:$O$57</c:f>
              <c:numCache>
                <c:formatCode>0.00</c:formatCode>
                <c:ptCount val="6"/>
                <c:pt idx="0">
                  <c:v>6.6461606833228482</c:v>
                </c:pt>
                <c:pt idx="1">
                  <c:v>0.811172142917164</c:v>
                </c:pt>
                <c:pt idx="2">
                  <c:v>0.45528490903400487</c:v>
                </c:pt>
                <c:pt idx="3">
                  <c:v>0.54355991228994216</c:v>
                </c:pt>
                <c:pt idx="4">
                  <c:v>8.461915754137074E-2</c:v>
                </c:pt>
                <c:pt idx="5">
                  <c:v>5.8835909344170566E-2</c:v>
                </c:pt>
              </c:numCache>
            </c:numRef>
          </c:val>
          <c:extLst>
            <c:ext xmlns:c16="http://schemas.microsoft.com/office/drawing/2014/chart" uri="{C3380CC4-5D6E-409C-BE32-E72D297353CC}">
              <c16:uniqueId val="{00000000-93C3-4C2D-8C0F-57C74DFB9ED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Agriculture CO</a:t>
            </a:r>
            <a:r>
              <a:rPr lang="en-US" b="1" baseline="-25000"/>
              <a:t>2</a:t>
            </a:r>
            <a:r>
              <a:rPr lang="en-US" b="1"/>
              <a:t>e emissions, 2023</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9F-480C-AA18-DABB653401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9F-480C-AA18-DABB653401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9F-480C-AA18-DABB653401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9F-480C-AA18-DABB65340104}"/>
              </c:ext>
            </c:extLst>
          </c:dPt>
          <c:dLbls>
            <c:dLbl>
              <c:idx val="0"/>
              <c:layout>
                <c:manualLayout>
                  <c:x val="0.10654196774485619"/>
                  <c:y val="2.07163070978861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79F-480C-AA18-DABB65340104}"/>
                </c:ext>
              </c:extLst>
            </c:dLbl>
            <c:dLbl>
              <c:idx val="3"/>
              <c:layout>
                <c:manualLayout>
                  <c:x val="-0.15975497305188049"/>
                  <c:y val="3.339893904981667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79F-480C-AA18-DABB653401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Charts!$N$116:$N$119</c:f>
              <c:strCache>
                <c:ptCount val="4"/>
                <c:pt idx="0">
                  <c:v>Livestock</c:v>
                </c:pt>
                <c:pt idx="1">
                  <c:v>Land</c:v>
                </c:pt>
                <c:pt idx="2">
                  <c:v>Aggregate Sources and Non-CO2 Emissions Sources on Land</c:v>
                </c:pt>
                <c:pt idx="3">
                  <c:v>Other</c:v>
                </c:pt>
              </c:strCache>
            </c:strRef>
          </c:cat>
          <c:val>
            <c:numRef>
              <c:f>Charts!$O$116:$O$119</c:f>
              <c:numCache>
                <c:formatCode>0.00</c:formatCode>
                <c:ptCount val="4"/>
                <c:pt idx="0">
                  <c:v>1.191474395566804E-2</c:v>
                </c:pt>
                <c:pt idx="1">
                  <c:v>0.10901989537494816</c:v>
                </c:pt>
                <c:pt idx="2">
                  <c:v>0</c:v>
                </c:pt>
                <c:pt idx="3">
                  <c:v>6.8959842008810149E-3</c:v>
                </c:pt>
              </c:numCache>
            </c:numRef>
          </c:val>
          <c:extLst>
            <c:ext xmlns:c16="http://schemas.microsoft.com/office/drawing/2014/chart" uri="{C3380CC4-5D6E-409C-BE32-E72D297353CC}">
              <c16:uniqueId val="{00000000-D220-4F95-9814-7A81D6DA652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Waste CO</a:t>
            </a:r>
            <a:r>
              <a:rPr lang="en-GB" b="1" baseline="-25000"/>
              <a:t>2</a:t>
            </a:r>
            <a:r>
              <a:rPr lang="en-GB" b="1"/>
              <a:t>e,</a:t>
            </a:r>
            <a:r>
              <a:rPr lang="en-GB" b="1" baseline="0"/>
              <a:t> 2023</a:t>
            </a:r>
          </a:p>
        </c:rich>
      </c:tx>
      <c:layout>
        <c:manualLayout>
          <c:xMode val="edge"/>
          <c:yMode val="edge"/>
          <c:x val="0.34245504500574847"/>
          <c:y val="3.31604553062195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43795996451905"/>
          <c:y val="0.2080105258634255"/>
          <c:w val="0.40147238640932659"/>
          <c:h val="0.67462719554046668"/>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76-4444-B89E-24FED5FFD6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76-4444-B89E-24FED5FFD6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76-4444-B89E-24FED5FFD602}"/>
              </c:ext>
            </c:extLst>
          </c:dPt>
          <c:dLbls>
            <c:dLbl>
              <c:idx val="0"/>
              <c:layout>
                <c:manualLayout>
                  <c:x val="-0.1196553517784598"/>
                  <c:y val="-1.3641640251802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476-4444-B89E-24FED5FFD602}"/>
                </c:ext>
              </c:extLst>
            </c:dLbl>
            <c:dLbl>
              <c:idx val="1"/>
              <c:layout>
                <c:manualLayout>
                  <c:x val="1.9052647832329624E-2"/>
                  <c:y val="-1.8314278578013237E-3"/>
                </c:manualLayout>
              </c:layout>
              <c:spPr>
                <a:noFill/>
                <a:ln>
                  <a:noFill/>
                </a:ln>
                <a:effectLst/>
              </c:spPr>
              <c:txPr>
                <a:bodyPr rot="0" spcFirstLastPara="1" vertOverflow="ellipsis" vert="horz" wrap="square" lIns="38100" tIns="19050" rIns="38100" bIns="19050" anchor="ctr" anchorCtr="0">
                  <a:noAutofit/>
                </a:bodyPr>
                <a:lstStyle/>
                <a:p>
                  <a:pPr algn="ctr" rtl="0">
                    <a:defRPr lang="en-US" sz="900" b="0"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822437375217212"/>
                      <c:h val="0.13376596562098425"/>
                    </c:manualLayout>
                  </c15:layout>
                </c:ext>
                <c:ext xmlns:c16="http://schemas.microsoft.com/office/drawing/2014/chart" uri="{C3380CC4-5D6E-409C-BE32-E72D297353CC}">
                  <c16:uniqueId val="{00000003-D476-4444-B89E-24FED5FFD602}"/>
                </c:ext>
              </c:extLst>
            </c:dLbl>
            <c:dLbl>
              <c:idx val="2"/>
              <c:layout>
                <c:manualLayout>
                  <c:x val="1.3406692424263088E-2"/>
                  <c:y val="2.06155187338461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476-4444-B89E-24FED5FFD6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Charts!$N$73:$N$75</c:f>
              <c:strCache>
                <c:ptCount val="3"/>
                <c:pt idx="0">
                  <c:v>Landfill</c:v>
                </c:pt>
                <c:pt idx="1">
                  <c:v>Biological treatment of waste</c:v>
                </c:pt>
                <c:pt idx="2">
                  <c:v>Wastewater treatment and discharge</c:v>
                </c:pt>
              </c:strCache>
            </c:strRef>
          </c:cat>
          <c:val>
            <c:numRef>
              <c:f>Charts!$O$73:$O$75</c:f>
              <c:numCache>
                <c:formatCode>_(* #,##0.00_);_(* \(#,##0.00\);_(* "-"??_);_(@_)</c:formatCode>
                <c:ptCount val="3"/>
                <c:pt idx="0">
                  <c:v>0.1963694469334564</c:v>
                </c:pt>
                <c:pt idx="1">
                  <c:v>5.6420457063199994E-2</c:v>
                </c:pt>
                <c:pt idx="2">
                  <c:v>0.19175293858877354</c:v>
                </c:pt>
              </c:numCache>
            </c:numRef>
          </c:val>
          <c:extLst>
            <c:ext xmlns:c16="http://schemas.microsoft.com/office/drawing/2014/chart" uri="{C3380CC4-5D6E-409C-BE32-E72D297353CC}">
              <c16:uniqueId val="{00000000-3657-43DC-8997-5314A2E5970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Total CO</a:t>
            </a:r>
            <a:r>
              <a:rPr lang="en-GB" b="1" baseline="-25000"/>
              <a:t>2</a:t>
            </a:r>
            <a:r>
              <a:rPr lang="en-GB" b="1"/>
              <a:t>e emissions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7"/>
          <c:order val="0"/>
          <c:tx>
            <c:strRef>
              <c:f>Charts!$N$131</c:f>
              <c:strCache>
                <c:ptCount val="1"/>
                <c:pt idx="0">
                  <c:v>Domestic</c:v>
                </c:pt>
              </c:strCache>
            </c:strRef>
          </c:tx>
          <c:spPr>
            <a:solidFill>
              <a:schemeClr val="accent2">
                <a:lumMod val="60000"/>
              </a:schemeClr>
            </a:solidFill>
            <a:ln>
              <a:noFill/>
            </a:ln>
            <a:effectLst/>
          </c:spPr>
          <c:invertIfNegative val="0"/>
          <c:cat>
            <c:numRef>
              <c:f>Charts!$O$130:$AM$130</c:f>
              <c:numCache>
                <c:formatCode>General</c:formatCode>
                <c:ptCount val="25"/>
                <c:pt idx="0">
                  <c:v>1990</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Charts!$O$131:$AM$131</c:f>
              <c:numCache>
                <c:formatCode>0.00</c:formatCode>
                <c:ptCount val="25"/>
                <c:pt idx="0">
                  <c:v>15.84</c:v>
                </c:pt>
                <c:pt idx="1">
                  <c:v>17.536663452518578</c:v>
                </c:pt>
                <c:pt idx="2">
                  <c:v>17.791542439466198</c:v>
                </c:pt>
                <c:pt idx="3">
                  <c:v>17.950073834644932</c:v>
                </c:pt>
                <c:pt idx="4">
                  <c:v>18.108605229823667</c:v>
                </c:pt>
                <c:pt idx="5">
                  <c:v>16.848706487438324</c:v>
                </c:pt>
                <c:pt idx="6">
                  <c:v>17.05598737580986</c:v>
                </c:pt>
                <c:pt idx="7">
                  <c:v>17.063393566340995</c:v>
                </c:pt>
                <c:pt idx="8">
                  <c:v>16.881881023061112</c:v>
                </c:pt>
                <c:pt idx="9">
                  <c:v>16.32148006296735</c:v>
                </c:pt>
                <c:pt idx="10">
                  <c:v>15.162295398731635</c:v>
                </c:pt>
                <c:pt idx="11">
                  <c:v>15.263400503545766</c:v>
                </c:pt>
                <c:pt idx="12">
                  <c:v>14.494686854445618</c:v>
                </c:pt>
                <c:pt idx="13">
                  <c:v>15.127304464311386</c:v>
                </c:pt>
                <c:pt idx="14">
                  <c:v>14.423926532447513</c:v>
                </c:pt>
                <c:pt idx="15">
                  <c:v>13.62653252871066</c:v>
                </c:pt>
                <c:pt idx="16">
                  <c:v>12.77167052735617</c:v>
                </c:pt>
                <c:pt idx="17">
                  <c:v>11.684991815866766</c:v>
                </c:pt>
                <c:pt idx="18">
                  <c:v>11.540912138254475</c:v>
                </c:pt>
                <c:pt idx="19">
                  <c:v>10.760612003011536</c:v>
                </c:pt>
                <c:pt idx="20">
                  <c:v>10.667596618286421</c:v>
                </c:pt>
                <c:pt idx="21">
                  <c:v>10.92891231563771</c:v>
                </c:pt>
                <c:pt idx="22">
                  <c:v>9.9147756778094589</c:v>
                </c:pt>
                <c:pt idx="23">
                  <c:v>9.2578245722564496</c:v>
                </c:pt>
                <c:pt idx="24">
                  <c:v>8.7432818310301794</c:v>
                </c:pt>
              </c:numCache>
            </c:numRef>
          </c:val>
          <c:extLst>
            <c:ext xmlns:c16="http://schemas.microsoft.com/office/drawing/2014/chart" uri="{C3380CC4-5D6E-409C-BE32-E72D297353CC}">
              <c16:uniqueId val="{00000000-D202-4606-8CFD-6461D14EF30C}"/>
            </c:ext>
          </c:extLst>
        </c:ser>
        <c:ser>
          <c:idx val="1"/>
          <c:order val="1"/>
          <c:tx>
            <c:strRef>
              <c:f>Charts!$N$132</c:f>
              <c:strCache>
                <c:ptCount val="1"/>
                <c:pt idx="0">
                  <c:v>Industrial &amp; Commercial</c:v>
                </c:pt>
              </c:strCache>
            </c:strRef>
          </c:tx>
          <c:spPr>
            <a:solidFill>
              <a:schemeClr val="accent2"/>
            </a:solidFill>
            <a:ln>
              <a:noFill/>
            </a:ln>
            <a:effectLst/>
          </c:spPr>
          <c:invertIfNegative val="0"/>
          <c:cat>
            <c:numRef>
              <c:f>Charts!$O$130:$AM$130</c:f>
              <c:numCache>
                <c:formatCode>General</c:formatCode>
                <c:ptCount val="25"/>
                <c:pt idx="0">
                  <c:v>1990</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Charts!$O$132:$AM$132</c:f>
              <c:numCache>
                <c:formatCode>0.00</c:formatCode>
                <c:ptCount val="25"/>
                <c:pt idx="0">
                  <c:v>19.739999999999998</c:v>
                </c:pt>
                <c:pt idx="1">
                  <c:v>24.06439736844953</c:v>
                </c:pt>
                <c:pt idx="2">
                  <c:v>21.757410238405313</c:v>
                </c:pt>
                <c:pt idx="3">
                  <c:v>21.102602551810513</c:v>
                </c:pt>
                <c:pt idx="4">
                  <c:v>20.447794865215712</c:v>
                </c:pt>
                <c:pt idx="5">
                  <c:v>20.054620596406679</c:v>
                </c:pt>
                <c:pt idx="6">
                  <c:v>21.123873663924968</c:v>
                </c:pt>
                <c:pt idx="7">
                  <c:v>22.52722263412938</c:v>
                </c:pt>
                <c:pt idx="8">
                  <c:v>21.883621502471946</c:v>
                </c:pt>
                <c:pt idx="9">
                  <c:v>20.700806420998443</c:v>
                </c:pt>
                <c:pt idx="10">
                  <c:v>18.81454782182195</c:v>
                </c:pt>
                <c:pt idx="11">
                  <c:v>19.497102619621394</c:v>
                </c:pt>
                <c:pt idx="12">
                  <c:v>17.892947547778604</c:v>
                </c:pt>
                <c:pt idx="13">
                  <c:v>19.915679544840248</c:v>
                </c:pt>
                <c:pt idx="14">
                  <c:v>18.651883527714627</c:v>
                </c:pt>
                <c:pt idx="15">
                  <c:v>17.095911562589375</c:v>
                </c:pt>
                <c:pt idx="16">
                  <c:v>15.24432879858654</c:v>
                </c:pt>
                <c:pt idx="17">
                  <c:v>13.111546111489591</c:v>
                </c:pt>
                <c:pt idx="18">
                  <c:v>12.508284323916932</c:v>
                </c:pt>
                <c:pt idx="19">
                  <c:v>11.927329418741669</c:v>
                </c:pt>
                <c:pt idx="20">
                  <c:v>11.135200941439491</c:v>
                </c:pt>
                <c:pt idx="21">
                  <c:v>9.8895912354500481</c:v>
                </c:pt>
                <c:pt idx="22">
                  <c:v>10.265803769976372</c:v>
                </c:pt>
                <c:pt idx="23">
                  <c:v>10.267417009376775</c:v>
                </c:pt>
                <c:pt idx="24">
                  <c:v>9.4017341420719589</c:v>
                </c:pt>
              </c:numCache>
            </c:numRef>
          </c:val>
          <c:extLst>
            <c:ext xmlns:c16="http://schemas.microsoft.com/office/drawing/2014/chart" uri="{C3380CC4-5D6E-409C-BE32-E72D297353CC}">
              <c16:uniqueId val="{00000005-890A-4B34-B2DF-09178396BC9E}"/>
            </c:ext>
          </c:extLst>
        </c:ser>
        <c:ser>
          <c:idx val="2"/>
          <c:order val="2"/>
          <c:tx>
            <c:strRef>
              <c:f>Charts!$N$133</c:f>
              <c:strCache>
                <c:ptCount val="1"/>
                <c:pt idx="0">
                  <c:v>Fugitive emissions</c:v>
                </c:pt>
              </c:strCache>
            </c:strRef>
          </c:tx>
          <c:spPr>
            <a:solidFill>
              <a:schemeClr val="accent3"/>
            </a:solidFill>
            <a:ln>
              <a:noFill/>
            </a:ln>
            <a:effectLst/>
          </c:spPr>
          <c:invertIfNegative val="0"/>
          <c:cat>
            <c:numRef>
              <c:f>Charts!$O$130:$AM$130</c:f>
              <c:numCache>
                <c:formatCode>General</c:formatCode>
                <c:ptCount val="25"/>
                <c:pt idx="0">
                  <c:v>1990</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Charts!$O$133:$AM$133</c:f>
              <c:numCache>
                <c:formatCode>0.00</c:formatCode>
                <c:ptCount val="25"/>
                <c:pt idx="0">
                  <c:v>0</c:v>
                </c:pt>
                <c:pt idx="1">
                  <c:v>0.2809162933714287</c:v>
                </c:pt>
                <c:pt idx="2">
                  <c:v>0.3083770543918769</c:v>
                </c:pt>
                <c:pt idx="3">
                  <c:v>0.19115925451712604</c:v>
                </c:pt>
                <c:pt idx="4">
                  <c:v>0.26230957595885718</c:v>
                </c:pt>
                <c:pt idx="5">
                  <c:v>0.26341696718310414</c:v>
                </c:pt>
                <c:pt idx="6">
                  <c:v>0.25033518665221166</c:v>
                </c:pt>
                <c:pt idx="7">
                  <c:v>0.24124637625226192</c:v>
                </c:pt>
                <c:pt idx="8">
                  <c:v>0.23309259905832047</c:v>
                </c:pt>
                <c:pt idx="9">
                  <c:v>0.22823342680094158</c:v>
                </c:pt>
                <c:pt idx="10">
                  <c:v>0.21126547006954527</c:v>
                </c:pt>
                <c:pt idx="11">
                  <c:v>0.2113784745428065</c:v>
                </c:pt>
                <c:pt idx="12">
                  <c:v>0.20037989726941119</c:v>
                </c:pt>
                <c:pt idx="13">
                  <c:v>0.19763006091990004</c:v>
                </c:pt>
                <c:pt idx="14">
                  <c:v>0.19420836441977452</c:v>
                </c:pt>
                <c:pt idx="15">
                  <c:v>0.19366109273103849</c:v>
                </c:pt>
                <c:pt idx="16">
                  <c:v>0.19126152053118339</c:v>
                </c:pt>
                <c:pt idx="17">
                  <c:v>0.18921565270888568</c:v>
                </c:pt>
                <c:pt idx="18">
                  <c:v>0.1954936133811766</c:v>
                </c:pt>
                <c:pt idx="19">
                  <c:v>0.18689031227370992</c:v>
                </c:pt>
                <c:pt idx="20">
                  <c:v>0.18975702335720107</c:v>
                </c:pt>
                <c:pt idx="21">
                  <c:v>0.20103385135763113</c:v>
                </c:pt>
                <c:pt idx="22">
                  <c:v>0.180320764082782</c:v>
                </c:pt>
                <c:pt idx="23">
                  <c:v>0.16938590870789028</c:v>
                </c:pt>
                <c:pt idx="24">
                  <c:v>0.16306096029264466</c:v>
                </c:pt>
              </c:numCache>
            </c:numRef>
          </c:val>
          <c:extLst>
            <c:ext xmlns:c16="http://schemas.microsoft.com/office/drawing/2014/chart" uri="{C3380CC4-5D6E-409C-BE32-E72D297353CC}">
              <c16:uniqueId val="{00000004-8BC6-4521-ADC2-C8AA6485BB11}"/>
            </c:ext>
          </c:extLst>
        </c:ser>
        <c:ser>
          <c:idx val="3"/>
          <c:order val="3"/>
          <c:tx>
            <c:strRef>
              <c:f>Charts!$N$134</c:f>
              <c:strCache>
                <c:ptCount val="1"/>
                <c:pt idx="0">
                  <c:v>Transport</c:v>
                </c:pt>
              </c:strCache>
            </c:strRef>
          </c:tx>
          <c:spPr>
            <a:solidFill>
              <a:schemeClr val="accent4"/>
            </a:solidFill>
            <a:ln>
              <a:noFill/>
            </a:ln>
            <a:effectLst/>
          </c:spPr>
          <c:invertIfNegative val="0"/>
          <c:cat>
            <c:numRef>
              <c:f>Charts!$O$130:$AM$130</c:f>
              <c:numCache>
                <c:formatCode>General</c:formatCode>
                <c:ptCount val="25"/>
                <c:pt idx="0">
                  <c:v>1990</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Charts!$O$134:$AM$134</c:f>
              <c:numCache>
                <c:formatCode>0.00</c:formatCode>
                <c:ptCount val="25"/>
                <c:pt idx="0">
                  <c:v>9.4742967447756588</c:v>
                </c:pt>
                <c:pt idx="1">
                  <c:v>8.7129081507520318</c:v>
                </c:pt>
                <c:pt idx="2">
                  <c:v>9.3089775989662691</c:v>
                </c:pt>
                <c:pt idx="3">
                  <c:v>9.8815826110178921</c:v>
                </c:pt>
                <c:pt idx="4">
                  <c:v>10.454187623069517</c:v>
                </c:pt>
                <c:pt idx="5">
                  <c:v>9.6540478556220997</c:v>
                </c:pt>
                <c:pt idx="6">
                  <c:v>10.209513682865666</c:v>
                </c:pt>
                <c:pt idx="7">
                  <c:v>10.20657632968971</c:v>
                </c:pt>
                <c:pt idx="8">
                  <c:v>10.125153831054471</c:v>
                </c:pt>
                <c:pt idx="9">
                  <c:v>10.423091814980966</c:v>
                </c:pt>
                <c:pt idx="10">
                  <c:v>10.106326195811096</c:v>
                </c:pt>
                <c:pt idx="11">
                  <c:v>9.0620838953600185</c:v>
                </c:pt>
                <c:pt idx="12">
                  <c:v>9.3019540551942637</c:v>
                </c:pt>
                <c:pt idx="13">
                  <c:v>9.5418242150285177</c:v>
                </c:pt>
                <c:pt idx="14">
                  <c:v>10.194781081020372</c:v>
                </c:pt>
                <c:pt idx="15">
                  <c:v>10.107607959035661</c:v>
                </c:pt>
                <c:pt idx="16">
                  <c:v>9.9908493169165844</c:v>
                </c:pt>
                <c:pt idx="17">
                  <c:v>9.9772025323678335</c:v>
                </c:pt>
                <c:pt idx="18">
                  <c:v>9.6741537346547499</c:v>
                </c:pt>
                <c:pt idx="19">
                  <c:v>9.4551471229502351</c:v>
                </c:pt>
                <c:pt idx="20">
                  <c:v>9.2798547816445982</c:v>
                </c:pt>
                <c:pt idx="21">
                  <c:v>7.315478095923952</c:v>
                </c:pt>
                <c:pt idx="22">
                  <c:v>7.6821912741902416</c:v>
                </c:pt>
                <c:pt idx="23">
                  <c:v>8.7437724856285453</c:v>
                </c:pt>
                <c:pt idx="24">
                  <c:v>8.7199879350515541</c:v>
                </c:pt>
              </c:numCache>
            </c:numRef>
          </c:val>
          <c:extLst>
            <c:ext xmlns:c16="http://schemas.microsoft.com/office/drawing/2014/chart" uri="{C3380CC4-5D6E-409C-BE32-E72D297353CC}">
              <c16:uniqueId val="{00000005-8BC6-4521-ADC2-C8AA6485BB11}"/>
            </c:ext>
          </c:extLst>
        </c:ser>
        <c:ser>
          <c:idx val="4"/>
          <c:order val="4"/>
          <c:tx>
            <c:strRef>
              <c:f>Charts!$N$135</c:f>
              <c:strCache>
                <c:ptCount val="1"/>
                <c:pt idx="0">
                  <c:v>IPPU</c:v>
                </c:pt>
              </c:strCache>
            </c:strRef>
          </c:tx>
          <c:spPr>
            <a:solidFill>
              <a:schemeClr val="accent5"/>
            </a:solidFill>
            <a:ln>
              <a:noFill/>
            </a:ln>
            <a:effectLst/>
          </c:spPr>
          <c:invertIfNegative val="0"/>
          <c:cat>
            <c:numRef>
              <c:f>Charts!$O$130:$AM$130</c:f>
              <c:numCache>
                <c:formatCode>General</c:formatCode>
                <c:ptCount val="25"/>
                <c:pt idx="0">
                  <c:v>1990</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Charts!$O$135:$AM$135</c:f>
              <c:numCache>
                <c:formatCode>0.00</c:formatCode>
                <c:ptCount val="25"/>
                <c:pt idx="0">
                  <c:v>0.1353614480747207</c:v>
                </c:pt>
                <c:pt idx="1">
                  <c:v>0</c:v>
                </c:pt>
                <c:pt idx="2">
                  <c:v>0</c:v>
                </c:pt>
                <c:pt idx="3">
                  <c:v>0</c:v>
                </c:pt>
                <c:pt idx="4">
                  <c:v>1.504689896339201</c:v>
                </c:pt>
                <c:pt idx="5">
                  <c:v>1.647091885301589</c:v>
                </c:pt>
                <c:pt idx="6">
                  <c:v>1.3478075577165298</c:v>
                </c:pt>
                <c:pt idx="7">
                  <c:v>1.4228268474304844</c:v>
                </c:pt>
                <c:pt idx="8">
                  <c:v>1.4942821173568854</c:v>
                </c:pt>
                <c:pt idx="9">
                  <c:v>1.5405997371985132</c:v>
                </c:pt>
                <c:pt idx="10">
                  <c:v>1.601377555897356</c:v>
                </c:pt>
                <c:pt idx="11">
                  <c:v>1.6958504527482541</c:v>
                </c:pt>
                <c:pt idx="12">
                  <c:v>1.5359551758618681</c:v>
                </c:pt>
                <c:pt idx="13">
                  <c:v>1.5911152665929975</c:v>
                </c:pt>
                <c:pt idx="14">
                  <c:v>1.6194730422196957</c:v>
                </c:pt>
                <c:pt idx="15">
                  <c:v>1.6410260581370324</c:v>
                </c:pt>
                <c:pt idx="16">
                  <c:v>1.6399106691237726</c:v>
                </c:pt>
                <c:pt idx="17">
                  <c:v>1.5662243644616147</c:v>
                </c:pt>
                <c:pt idx="18">
                  <c:v>1.4601118642782793</c:v>
                </c:pt>
                <c:pt idx="19">
                  <c:v>1.3807014001316174</c:v>
                </c:pt>
                <c:pt idx="20">
                  <c:v>1.3189410652313553</c:v>
                </c:pt>
                <c:pt idx="21">
                  <c:v>1.2605780554340531</c:v>
                </c:pt>
                <c:pt idx="22">
                  <c:v>1.1576058347976375</c:v>
                </c:pt>
                <c:pt idx="23">
                  <c:v>1.0144399493149179</c:v>
                </c:pt>
                <c:pt idx="24">
                  <c:v>1.0101036196923097</c:v>
                </c:pt>
              </c:numCache>
            </c:numRef>
          </c:val>
          <c:extLst>
            <c:ext xmlns:c16="http://schemas.microsoft.com/office/drawing/2014/chart" uri="{C3380CC4-5D6E-409C-BE32-E72D297353CC}">
              <c16:uniqueId val="{00000006-8BC6-4521-ADC2-C8AA6485BB11}"/>
            </c:ext>
          </c:extLst>
        </c:ser>
        <c:ser>
          <c:idx val="5"/>
          <c:order val="5"/>
          <c:tx>
            <c:strRef>
              <c:f>Charts!$N$136</c:f>
              <c:strCache>
                <c:ptCount val="1"/>
                <c:pt idx="0">
                  <c:v>AFOLU</c:v>
                </c:pt>
              </c:strCache>
            </c:strRef>
          </c:tx>
          <c:spPr>
            <a:solidFill>
              <a:schemeClr val="accent6"/>
            </a:solidFill>
            <a:ln>
              <a:noFill/>
            </a:ln>
            <a:effectLst/>
          </c:spPr>
          <c:invertIfNegative val="0"/>
          <c:cat>
            <c:numRef>
              <c:f>Charts!$O$130:$AM$130</c:f>
              <c:numCache>
                <c:formatCode>General</c:formatCode>
                <c:ptCount val="25"/>
                <c:pt idx="0">
                  <c:v>1990</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Charts!$O$136:$AM$136</c:f>
              <c:numCache>
                <c:formatCode>0.00</c:formatCode>
                <c:ptCount val="25"/>
                <c:pt idx="0">
                  <c:v>0.17513570513644833</c:v>
                </c:pt>
                <c:pt idx="1">
                  <c:v>0.15914202664467167</c:v>
                </c:pt>
                <c:pt idx="2">
                  <c:v>0.15495609776081309</c:v>
                </c:pt>
                <c:pt idx="3">
                  <c:v>0.15179331585624331</c:v>
                </c:pt>
                <c:pt idx="4">
                  <c:v>0.14886983526806588</c:v>
                </c:pt>
                <c:pt idx="5">
                  <c:v>0.14524754403292892</c:v>
                </c:pt>
                <c:pt idx="6">
                  <c:v>0.13978790895125826</c:v>
                </c:pt>
                <c:pt idx="7">
                  <c:v>0.13786641788568846</c:v>
                </c:pt>
                <c:pt idx="8">
                  <c:v>0.1328227661071083</c:v>
                </c:pt>
                <c:pt idx="9">
                  <c:v>0.131763405602009</c:v>
                </c:pt>
                <c:pt idx="10">
                  <c:v>0.13008770028517147</c:v>
                </c:pt>
                <c:pt idx="11">
                  <c:v>0.13167993598647706</c:v>
                </c:pt>
                <c:pt idx="12">
                  <c:v>0.13005865724441698</c:v>
                </c:pt>
                <c:pt idx="13">
                  <c:v>0.12859199072580074</c:v>
                </c:pt>
                <c:pt idx="14">
                  <c:v>0.12498550225121033</c:v>
                </c:pt>
                <c:pt idx="15">
                  <c:v>0.12768741401616332</c:v>
                </c:pt>
                <c:pt idx="16">
                  <c:v>0.12203970530081183</c:v>
                </c:pt>
                <c:pt idx="17">
                  <c:v>0.12233576616739357</c:v>
                </c:pt>
                <c:pt idx="18">
                  <c:v>0.11934517704304023</c:v>
                </c:pt>
                <c:pt idx="19">
                  <c:v>0.11915600985532634</c:v>
                </c:pt>
                <c:pt idx="20">
                  <c:v>0.11915600985532634</c:v>
                </c:pt>
                <c:pt idx="21">
                  <c:v>0.11915600985532634</c:v>
                </c:pt>
                <c:pt idx="22">
                  <c:v>0.11915600985532634</c:v>
                </c:pt>
                <c:pt idx="23">
                  <c:v>0.12783062353149721</c:v>
                </c:pt>
                <c:pt idx="24">
                  <c:v>0.12783062353149721</c:v>
                </c:pt>
              </c:numCache>
            </c:numRef>
          </c:val>
          <c:extLst>
            <c:ext xmlns:c16="http://schemas.microsoft.com/office/drawing/2014/chart" uri="{C3380CC4-5D6E-409C-BE32-E72D297353CC}">
              <c16:uniqueId val="{00000007-8BC6-4521-ADC2-C8AA6485BB11}"/>
            </c:ext>
          </c:extLst>
        </c:ser>
        <c:ser>
          <c:idx val="6"/>
          <c:order val="6"/>
          <c:tx>
            <c:strRef>
              <c:f>Charts!$N$137</c:f>
              <c:strCache>
                <c:ptCount val="1"/>
                <c:pt idx="0">
                  <c:v>Waste</c:v>
                </c:pt>
              </c:strCache>
            </c:strRef>
          </c:tx>
          <c:spPr>
            <a:solidFill>
              <a:schemeClr val="accent1">
                <a:lumMod val="60000"/>
              </a:schemeClr>
            </a:solidFill>
            <a:ln>
              <a:noFill/>
            </a:ln>
            <a:effectLst/>
          </c:spPr>
          <c:invertIfNegative val="0"/>
          <c:cat>
            <c:numRef>
              <c:f>Charts!$O$130:$AM$130</c:f>
              <c:numCache>
                <c:formatCode>General</c:formatCode>
                <c:ptCount val="25"/>
                <c:pt idx="0">
                  <c:v>1990</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Charts!$O$137:$AM$137</c:f>
              <c:numCache>
                <c:formatCode>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0.54805689245910394</c:v>
                </c:pt>
                <c:pt idx="15">
                  <c:v>0.55805668433436284</c:v>
                </c:pt>
                <c:pt idx="16">
                  <c:v>0.53068181178408591</c:v>
                </c:pt>
                <c:pt idx="17">
                  <c:v>0.5630259259419732</c:v>
                </c:pt>
                <c:pt idx="18">
                  <c:v>0.54682889647476174</c:v>
                </c:pt>
                <c:pt idx="19">
                  <c:v>0.51222461394800844</c:v>
                </c:pt>
                <c:pt idx="20">
                  <c:v>0.53342250419087145</c:v>
                </c:pt>
                <c:pt idx="21">
                  <c:v>0.47426474038801469</c:v>
                </c:pt>
                <c:pt idx="22">
                  <c:v>0.45583664889088882</c:v>
                </c:pt>
                <c:pt idx="23">
                  <c:v>0.43228946494919085</c:v>
                </c:pt>
                <c:pt idx="24">
                  <c:v>0.44454284258542998</c:v>
                </c:pt>
              </c:numCache>
            </c:numRef>
          </c:val>
          <c:extLst xmlns:c15="http://schemas.microsoft.com/office/drawing/2012/chart">
            <c:ext xmlns:c16="http://schemas.microsoft.com/office/drawing/2014/chart" uri="{C3380CC4-5D6E-409C-BE32-E72D297353CC}">
              <c16:uniqueId val="{00000000-A26E-44E8-90B6-4D50D907D6D3}"/>
            </c:ext>
          </c:extLst>
        </c:ser>
        <c:ser>
          <c:idx val="8"/>
          <c:order val="7"/>
          <c:tx>
            <c:strRef>
              <c:f>Charts!$N$138</c:f>
              <c:strCache>
                <c:ptCount val="1"/>
                <c:pt idx="0">
                  <c:v>Total</c:v>
                </c:pt>
              </c:strCache>
            </c:strRef>
          </c:tx>
          <c:spPr>
            <a:solidFill>
              <a:schemeClr val="bg1"/>
            </a:solidFill>
            <a:ln>
              <a:noFill/>
            </a:ln>
            <a:effectLst/>
          </c:spPr>
          <c:invertIfNegative val="0"/>
          <c:dLbls>
            <c:dLbl>
              <c:idx val="0"/>
              <c:tx>
                <c:rich>
                  <a:bodyPr/>
                  <a:lstStyle/>
                  <a:p>
                    <a:fld id="{9D064191-234E-4E7E-9C74-8FE13408D69E}"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32B-45BD-AE6D-ED37ADDF4AF7}"/>
                </c:ext>
              </c:extLst>
            </c:dLbl>
            <c:dLbl>
              <c:idx val="1"/>
              <c:tx>
                <c:rich>
                  <a:bodyPr/>
                  <a:lstStyle/>
                  <a:p>
                    <a:fld id="{5688B9AC-311B-47B7-9874-82CCD6A8F0D1}"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32B-45BD-AE6D-ED37ADDF4AF7}"/>
                </c:ext>
              </c:extLst>
            </c:dLbl>
            <c:dLbl>
              <c:idx val="2"/>
              <c:tx>
                <c:rich>
                  <a:bodyPr/>
                  <a:lstStyle/>
                  <a:p>
                    <a:fld id="{6036C711-D6D3-4A75-BE4E-9B886AC0D1DB}"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32B-45BD-AE6D-ED37ADDF4AF7}"/>
                </c:ext>
              </c:extLst>
            </c:dLbl>
            <c:dLbl>
              <c:idx val="3"/>
              <c:tx>
                <c:rich>
                  <a:bodyPr/>
                  <a:lstStyle/>
                  <a:p>
                    <a:fld id="{6FF7A938-68D2-422C-8578-29585DCABFB5}"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32B-45BD-AE6D-ED37ADDF4AF7}"/>
                </c:ext>
              </c:extLst>
            </c:dLbl>
            <c:dLbl>
              <c:idx val="4"/>
              <c:tx>
                <c:rich>
                  <a:bodyPr/>
                  <a:lstStyle/>
                  <a:p>
                    <a:fld id="{1EDD62F4-0156-4270-AF82-FB69B82C1206}"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32B-45BD-AE6D-ED37ADDF4AF7}"/>
                </c:ext>
              </c:extLst>
            </c:dLbl>
            <c:dLbl>
              <c:idx val="5"/>
              <c:tx>
                <c:rich>
                  <a:bodyPr/>
                  <a:lstStyle/>
                  <a:p>
                    <a:fld id="{0EF48028-342F-4299-9A78-F41E2ACDA321}"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32B-45BD-AE6D-ED37ADDF4AF7}"/>
                </c:ext>
              </c:extLst>
            </c:dLbl>
            <c:dLbl>
              <c:idx val="6"/>
              <c:tx>
                <c:rich>
                  <a:bodyPr/>
                  <a:lstStyle/>
                  <a:p>
                    <a:fld id="{5C60DD39-8158-4F56-A5AA-9358F14C1D1D}"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32B-45BD-AE6D-ED37ADDF4AF7}"/>
                </c:ext>
              </c:extLst>
            </c:dLbl>
            <c:dLbl>
              <c:idx val="7"/>
              <c:tx>
                <c:rich>
                  <a:bodyPr/>
                  <a:lstStyle/>
                  <a:p>
                    <a:fld id="{86F03E12-6AB5-4D53-9EFD-D3942D58B10F}"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432B-45BD-AE6D-ED37ADDF4AF7}"/>
                </c:ext>
              </c:extLst>
            </c:dLbl>
            <c:dLbl>
              <c:idx val="8"/>
              <c:tx>
                <c:rich>
                  <a:bodyPr/>
                  <a:lstStyle/>
                  <a:p>
                    <a:fld id="{DE87B28E-62A9-4BA2-B8FF-4D67950B519C}"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432B-45BD-AE6D-ED37ADDF4AF7}"/>
                </c:ext>
              </c:extLst>
            </c:dLbl>
            <c:dLbl>
              <c:idx val="9"/>
              <c:tx>
                <c:rich>
                  <a:bodyPr/>
                  <a:lstStyle/>
                  <a:p>
                    <a:fld id="{BC78DEC5-AE5A-404F-97F4-CD4AE9259597}"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432B-45BD-AE6D-ED37ADDF4AF7}"/>
                </c:ext>
              </c:extLst>
            </c:dLbl>
            <c:dLbl>
              <c:idx val="10"/>
              <c:tx>
                <c:rich>
                  <a:bodyPr/>
                  <a:lstStyle/>
                  <a:p>
                    <a:fld id="{3D3D1235-4688-4F1E-A4B5-77AEF3C9125B}"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432B-45BD-AE6D-ED37ADDF4AF7}"/>
                </c:ext>
              </c:extLst>
            </c:dLbl>
            <c:dLbl>
              <c:idx val="11"/>
              <c:tx>
                <c:rich>
                  <a:bodyPr/>
                  <a:lstStyle/>
                  <a:p>
                    <a:fld id="{BFACC014-7BBD-4E5F-89F8-16577F5E612E}"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432B-45BD-AE6D-ED37ADDF4AF7}"/>
                </c:ext>
              </c:extLst>
            </c:dLbl>
            <c:dLbl>
              <c:idx val="12"/>
              <c:tx>
                <c:rich>
                  <a:bodyPr/>
                  <a:lstStyle/>
                  <a:p>
                    <a:fld id="{8BD9E32A-01E7-4F55-8D96-61D7ED4CC99E}"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432B-45BD-AE6D-ED37ADDF4AF7}"/>
                </c:ext>
              </c:extLst>
            </c:dLbl>
            <c:dLbl>
              <c:idx val="13"/>
              <c:tx>
                <c:rich>
                  <a:bodyPr/>
                  <a:lstStyle/>
                  <a:p>
                    <a:fld id="{CBF48702-4F34-4A3F-9AC1-CDBDC57D9DB1}"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432B-45BD-AE6D-ED37ADDF4AF7}"/>
                </c:ext>
              </c:extLst>
            </c:dLbl>
            <c:dLbl>
              <c:idx val="14"/>
              <c:tx>
                <c:rich>
                  <a:bodyPr/>
                  <a:lstStyle/>
                  <a:p>
                    <a:fld id="{2F58510A-1D76-45C1-ABEE-577C69AFA3CB}"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432B-45BD-AE6D-ED37ADDF4AF7}"/>
                </c:ext>
              </c:extLst>
            </c:dLbl>
            <c:dLbl>
              <c:idx val="15"/>
              <c:tx>
                <c:rich>
                  <a:bodyPr/>
                  <a:lstStyle/>
                  <a:p>
                    <a:fld id="{C200FA1E-E475-4F9B-8335-73CF93656211}"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432B-45BD-AE6D-ED37ADDF4AF7}"/>
                </c:ext>
              </c:extLst>
            </c:dLbl>
            <c:dLbl>
              <c:idx val="16"/>
              <c:tx>
                <c:rich>
                  <a:bodyPr/>
                  <a:lstStyle/>
                  <a:p>
                    <a:fld id="{6A01CDD0-BA65-42CE-A8FD-2AE54F424315}"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432B-45BD-AE6D-ED37ADDF4AF7}"/>
                </c:ext>
              </c:extLst>
            </c:dLbl>
            <c:dLbl>
              <c:idx val="17"/>
              <c:tx>
                <c:rich>
                  <a:bodyPr/>
                  <a:lstStyle/>
                  <a:p>
                    <a:fld id="{5A92E555-A466-406D-B96C-A6F75E2CFE3C}"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432B-45BD-AE6D-ED37ADDF4AF7}"/>
                </c:ext>
              </c:extLst>
            </c:dLbl>
            <c:dLbl>
              <c:idx val="18"/>
              <c:tx>
                <c:rich>
                  <a:bodyPr/>
                  <a:lstStyle/>
                  <a:p>
                    <a:fld id="{7B47351E-79B6-479B-8A40-B55A2F4DE1AE}"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432B-45BD-AE6D-ED37ADDF4AF7}"/>
                </c:ext>
              </c:extLst>
            </c:dLbl>
            <c:dLbl>
              <c:idx val="19"/>
              <c:tx>
                <c:rich>
                  <a:bodyPr/>
                  <a:lstStyle/>
                  <a:p>
                    <a:fld id="{A08301C1-857D-490B-9F6E-4941016E76E1}"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432B-45BD-AE6D-ED37ADDF4AF7}"/>
                </c:ext>
              </c:extLst>
            </c:dLbl>
            <c:dLbl>
              <c:idx val="20"/>
              <c:tx>
                <c:rich>
                  <a:bodyPr/>
                  <a:lstStyle/>
                  <a:p>
                    <a:fld id="{83080233-E71E-4245-A1B5-BF646517F7F9}"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432B-45BD-AE6D-ED37ADDF4AF7}"/>
                </c:ext>
              </c:extLst>
            </c:dLbl>
            <c:dLbl>
              <c:idx val="21"/>
              <c:tx>
                <c:rich>
                  <a:bodyPr/>
                  <a:lstStyle/>
                  <a:p>
                    <a:fld id="{2027EA0B-3987-4719-8ECE-27A477D81802}"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432B-45BD-AE6D-ED37ADDF4AF7}"/>
                </c:ext>
              </c:extLst>
            </c:dLbl>
            <c:dLbl>
              <c:idx val="22"/>
              <c:tx>
                <c:rich>
                  <a:bodyPr/>
                  <a:lstStyle/>
                  <a:p>
                    <a:fld id="{030C05E7-1A8C-4FF4-BCF5-FD95A45F80E6}"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432B-45BD-AE6D-ED37ADDF4AF7}"/>
                </c:ext>
              </c:extLst>
            </c:dLbl>
            <c:dLbl>
              <c:idx val="23"/>
              <c:tx>
                <c:rich>
                  <a:bodyPr/>
                  <a:lstStyle/>
                  <a:p>
                    <a:fld id="{F4C43FC0-1BB3-4635-8055-8ED89865823A}"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937-4D34-903F-D3ACEF2E0B71}"/>
                </c:ext>
              </c:extLst>
            </c:dLbl>
            <c:dLbl>
              <c:idx val="24"/>
              <c:tx>
                <c:rich>
                  <a:bodyPr/>
                  <a:lstStyle/>
                  <a:p>
                    <a:fld id="{54739600-E392-44D4-A8AC-0545B970AAC1}"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162-45FA-812E-44846123B18D}"/>
                </c:ext>
              </c:extLst>
            </c:dLbl>
            <c:spPr>
              <a:noFill/>
              <a:ln>
                <a:noFill/>
              </a:ln>
              <a:effectLst/>
            </c:spPr>
            <c:txPr>
              <a:bodyPr rot="0" spcFirstLastPara="1" vertOverflow="clip" horzOverflow="clip" vert="horz" wrap="square" lIns="38100" tIns="0" rIns="38100" bIns="36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cat>
            <c:numRef>
              <c:f>Charts!$O$130:$AM$130</c:f>
              <c:numCache>
                <c:formatCode>General</c:formatCode>
                <c:ptCount val="25"/>
                <c:pt idx="0">
                  <c:v>1990</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Charts!$O$138:$AM$138</c:f>
              <c:numCache>
                <c:formatCode>_(* #,##0_);_(* \(#,##0\);_(* "-"??_);_(@_)</c:formatCode>
                <c:ptCount val="25"/>
                <c:pt idx="0">
                  <c:v>45.364793897986821</c:v>
                </c:pt>
                <c:pt idx="1">
                  <c:v>50.754027291736236</c:v>
                </c:pt>
                <c:pt idx="2">
                  <c:v>49.321263428990477</c:v>
                </c:pt>
                <c:pt idx="3">
                  <c:v>49.277211567846706</c:v>
                </c:pt>
                <c:pt idx="4">
                  <c:v>50.92645702567502</c:v>
                </c:pt>
                <c:pt idx="5">
                  <c:v>48.613131335984718</c:v>
                </c:pt>
                <c:pt idx="6">
                  <c:v>50.127305375920486</c:v>
                </c:pt>
                <c:pt idx="7">
                  <c:v>51.599132171728527</c:v>
                </c:pt>
                <c:pt idx="8">
                  <c:v>50.750853839109851</c:v>
                </c:pt>
                <c:pt idx="9">
                  <c:v>49.345974868548218</c:v>
                </c:pt>
                <c:pt idx="10">
                  <c:v>46.025900142616763</c:v>
                </c:pt>
                <c:pt idx="11">
                  <c:v>45.861495881804714</c:v>
                </c:pt>
                <c:pt idx="12">
                  <c:v>43.555982187794186</c:v>
                </c:pt>
                <c:pt idx="13">
                  <c:v>46.502145542418859</c:v>
                </c:pt>
                <c:pt idx="14">
                  <c:v>45.757314942532297</c:v>
                </c:pt>
                <c:pt idx="15">
                  <c:v>43.350483299554284</c:v>
                </c:pt>
                <c:pt idx="16">
                  <c:v>40.490742349599152</c:v>
                </c:pt>
                <c:pt idx="17">
                  <c:v>37.214542169004062</c:v>
                </c:pt>
                <c:pt idx="18">
                  <c:v>36.045129748003419</c:v>
                </c:pt>
                <c:pt idx="19">
                  <c:v>34.342060880912101</c:v>
                </c:pt>
                <c:pt idx="20">
                  <c:v>33.243928944005262</c:v>
                </c:pt>
                <c:pt idx="21">
                  <c:v>30.18901430404674</c:v>
                </c:pt>
                <c:pt idx="22">
                  <c:v>29.775689979602706</c:v>
                </c:pt>
                <c:pt idx="23">
                  <c:v>30.012960013765266</c:v>
                </c:pt>
                <c:pt idx="24">
                  <c:v>28.610541954255574</c:v>
                </c:pt>
              </c:numCache>
            </c:numRef>
          </c:val>
          <c:extLst>
            <c:ext xmlns:c15="http://schemas.microsoft.com/office/drawing/2012/chart" uri="{02D57815-91ED-43cb-92C2-25804820EDAC}">
              <c15:datalabelsRange>
                <c15:f>Charts!$O$138:$AM$138</c15:f>
                <c15:dlblRangeCache>
                  <c:ptCount val="25"/>
                  <c:pt idx="0">
                    <c:v> 45 </c:v>
                  </c:pt>
                  <c:pt idx="1">
                    <c:v> 51 </c:v>
                  </c:pt>
                  <c:pt idx="2">
                    <c:v> 49 </c:v>
                  </c:pt>
                  <c:pt idx="3">
                    <c:v> 49 </c:v>
                  </c:pt>
                  <c:pt idx="4">
                    <c:v> 51 </c:v>
                  </c:pt>
                  <c:pt idx="5">
                    <c:v> 49 </c:v>
                  </c:pt>
                  <c:pt idx="6">
                    <c:v> 50 </c:v>
                  </c:pt>
                  <c:pt idx="7">
                    <c:v> 52 </c:v>
                  </c:pt>
                  <c:pt idx="8">
                    <c:v> 51 </c:v>
                  </c:pt>
                  <c:pt idx="9">
                    <c:v> 49 </c:v>
                  </c:pt>
                  <c:pt idx="10">
                    <c:v> 46 </c:v>
                  </c:pt>
                  <c:pt idx="11">
                    <c:v> 46 </c:v>
                  </c:pt>
                  <c:pt idx="12">
                    <c:v> 44 </c:v>
                  </c:pt>
                  <c:pt idx="13">
                    <c:v> 47 </c:v>
                  </c:pt>
                  <c:pt idx="14">
                    <c:v> 46 </c:v>
                  </c:pt>
                  <c:pt idx="15">
                    <c:v> 43 </c:v>
                  </c:pt>
                  <c:pt idx="16">
                    <c:v> 40 </c:v>
                  </c:pt>
                  <c:pt idx="17">
                    <c:v> 37 </c:v>
                  </c:pt>
                  <c:pt idx="18">
                    <c:v> 36 </c:v>
                  </c:pt>
                  <c:pt idx="19">
                    <c:v> 34 </c:v>
                  </c:pt>
                  <c:pt idx="20">
                    <c:v> 33 </c:v>
                  </c:pt>
                  <c:pt idx="21">
                    <c:v> 30 </c:v>
                  </c:pt>
                  <c:pt idx="22">
                    <c:v> 30 </c:v>
                  </c:pt>
                  <c:pt idx="23">
                    <c:v> 30 </c:v>
                  </c:pt>
                  <c:pt idx="24">
                    <c:v> 29 </c:v>
                  </c:pt>
                </c15:dlblRangeCache>
              </c15:datalabelsRange>
            </c:ext>
            <c:ext xmlns:c16="http://schemas.microsoft.com/office/drawing/2014/chart" uri="{C3380CC4-5D6E-409C-BE32-E72D297353CC}">
              <c16:uniqueId val="{00000000-432B-45BD-AE6D-ED37ADDF4AF7}"/>
            </c:ext>
          </c:extLst>
        </c:ser>
        <c:dLbls>
          <c:showLegendKey val="0"/>
          <c:showVal val="0"/>
          <c:showCatName val="0"/>
          <c:showSerName val="0"/>
          <c:showPercent val="0"/>
          <c:showBubbleSize val="0"/>
        </c:dLbls>
        <c:gapWidth val="150"/>
        <c:overlap val="100"/>
        <c:axId val="748903368"/>
        <c:axId val="748905992"/>
        <c:extLst/>
      </c:barChart>
      <c:catAx>
        <c:axId val="748903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905992"/>
        <c:crosses val="autoZero"/>
        <c:auto val="1"/>
        <c:lblAlgn val="ctr"/>
        <c:lblOffset val="100"/>
        <c:noMultiLvlLbl val="0"/>
      </c:catAx>
      <c:valAx>
        <c:axId val="748905992"/>
        <c:scaling>
          <c:orientation val="minMax"/>
          <c:max val="6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MtCO</a:t>
                </a:r>
                <a:r>
                  <a:rPr lang="en-GB" baseline="-25000"/>
                  <a:t>2</a:t>
                </a:r>
                <a:r>
                  <a:rPr lang="en-GB"/>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903368"/>
        <c:crosses val="autoZero"/>
        <c:crossBetween val="between"/>
      </c:valAx>
      <c:spPr>
        <a:noFill/>
        <a:ln>
          <a:noFill/>
        </a:ln>
        <a:effectLst/>
      </c:spPr>
    </c:plotArea>
    <c:legend>
      <c:legendPos val="b"/>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IPPU CO</a:t>
            </a:r>
            <a:r>
              <a:rPr lang="en-US" sz="1400" b="1" i="0" u="none" strike="noStrike" kern="1200" spc="0" baseline="-25000">
                <a:solidFill>
                  <a:sysClr val="windowText" lastClr="000000">
                    <a:lumMod val="65000"/>
                    <a:lumOff val="35000"/>
                  </a:sysClr>
                </a:solidFill>
              </a:rPr>
              <a:t>2</a:t>
            </a:r>
            <a:r>
              <a:rPr lang="en-US" sz="1400" b="1" i="0" u="none" strike="noStrike" kern="1200" spc="0" baseline="0">
                <a:solidFill>
                  <a:sysClr val="windowText" lastClr="000000">
                    <a:lumMod val="65000"/>
                    <a:lumOff val="35000"/>
                  </a:sysClr>
                </a:solidFill>
              </a:rPr>
              <a:t>e emissions,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8737820529250868"/>
          <c:y val="0.37935229175412305"/>
          <c:w val="0.40085556105539927"/>
          <c:h val="0.61781869492712871"/>
        </c:manualLayout>
      </c:layout>
      <c:pieChart>
        <c:varyColors val="1"/>
        <c:ser>
          <c:idx val="0"/>
          <c:order val="0"/>
          <c:tx>
            <c:strRef>
              <c:f>Charts!$O$93</c:f>
              <c:strCache>
                <c:ptCount val="1"/>
                <c:pt idx="0">
                  <c:v>MtCO2e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7184-4081-A6C3-C1C761689C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7184-4081-A6C3-C1C761689C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7184-4081-A6C3-C1C761689C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7184-4081-A6C3-C1C761689CD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999-4A3B-B98F-F679AF58A1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999-4A3B-B98F-F679AF58A1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999-4A3B-B98F-F679AF58A18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7184-4081-A6C3-C1C761689CD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7184-4081-A6C3-C1C761689CD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5-7184-4081-A6C3-C1C761689CD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4-7184-4081-A6C3-C1C761689CD6}"/>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9-7184-4081-A6C3-C1C761689CD6}"/>
                </c:ext>
              </c:extLst>
            </c:dLbl>
            <c:dLbl>
              <c:idx val="1"/>
              <c:layout>
                <c:manualLayout>
                  <c:x val="-8.1895109171265065E-2"/>
                  <c:y val="0.2186913771867147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184-4081-A6C3-C1C761689CD6}"/>
                </c:ext>
              </c:extLst>
            </c:dLbl>
            <c:dLbl>
              <c:idx val="2"/>
              <c:layout>
                <c:manualLayout>
                  <c:x val="-0.15215440694536495"/>
                  <c:y val="0.159212961956590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184-4081-A6C3-C1C761689CD6}"/>
                </c:ext>
              </c:extLst>
            </c:dLbl>
            <c:dLbl>
              <c:idx val="3"/>
              <c:layout>
                <c:manualLayout>
                  <c:x val="-8.83549430068509E-2"/>
                  <c:y val="5.0783359583179394E-2"/>
                </c:manualLayout>
              </c:layout>
              <c:showLegendKey val="0"/>
              <c:showVal val="0"/>
              <c:showCatName val="1"/>
              <c:showSerName val="0"/>
              <c:showPercent val="1"/>
              <c:showBubbleSize val="0"/>
              <c:extLst>
                <c:ext xmlns:c15="http://schemas.microsoft.com/office/drawing/2012/chart" uri="{CE6537A1-D6FC-4f65-9D91-7224C49458BB}">
                  <c15:layout>
                    <c:manualLayout>
                      <c:w val="0.31563640824157918"/>
                      <c:h val="0.16671639975010183"/>
                    </c:manualLayout>
                  </c15:layout>
                </c:ext>
                <c:ext xmlns:c16="http://schemas.microsoft.com/office/drawing/2014/chart" uri="{C3380CC4-5D6E-409C-BE32-E72D297353CC}">
                  <c16:uniqueId val="{00000006-7184-4081-A6C3-C1C761689CD6}"/>
                </c:ext>
              </c:extLst>
            </c:dLbl>
            <c:dLbl>
              <c:idx val="7"/>
              <c:showLegendKey val="0"/>
              <c:showVal val="0"/>
              <c:showCatName val="1"/>
              <c:showSerName val="0"/>
              <c:showPercent val="1"/>
              <c:showBubbleSize val="0"/>
              <c:extLst>
                <c:ext xmlns:c15="http://schemas.microsoft.com/office/drawing/2012/chart" uri="{CE6537A1-D6FC-4f65-9D91-7224C49458BB}">
                  <c15:layout>
                    <c:manualLayout>
                      <c:w val="0.18077886365217519"/>
                      <c:h val="0.20705101259286843"/>
                    </c:manualLayout>
                  </c15:layout>
                </c:ext>
                <c:ext xmlns:c16="http://schemas.microsoft.com/office/drawing/2014/chart" uri="{C3380CC4-5D6E-409C-BE32-E72D297353CC}">
                  <c16:uniqueId val="{00000007-7184-4081-A6C3-C1C761689CD6}"/>
                </c:ext>
              </c:extLst>
            </c:dLbl>
            <c:dLbl>
              <c:idx val="8"/>
              <c:layout>
                <c:manualLayout>
                  <c:x val="0.33289186527404946"/>
                  <c:y val="-0.1459994091291536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7184-4081-A6C3-C1C761689CD6}"/>
                </c:ext>
              </c:extLst>
            </c:dLbl>
            <c:dLbl>
              <c:idx val="9"/>
              <c:layout>
                <c:manualLayout>
                  <c:x val="0.3127158068567536"/>
                  <c:y val="3.081098614634854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184-4081-A6C3-C1C761689CD6}"/>
                </c:ext>
              </c:extLst>
            </c:dLbl>
            <c:dLbl>
              <c:idx val="10"/>
              <c:layout>
                <c:manualLayout>
                  <c:x val="0.29983980402998128"/>
                  <c:y val="0.17158760706140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184-4081-A6C3-C1C761689C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Charts!$N$94:$N$104</c:f>
              <c:strCache>
                <c:ptCount val="11"/>
                <c:pt idx="0">
                  <c:v>Refrigeration and stationary air conditioning (2.F.1.a)</c:v>
                </c:pt>
                <c:pt idx="1">
                  <c:v>Aerosols (2.F.4)</c:v>
                </c:pt>
                <c:pt idx="2">
                  <c:v>Foam blowing agents (2.F.2)</c:v>
                </c:pt>
                <c:pt idx="3">
                  <c:v>SF6 and PFCs from other product uses (2.G.2)</c:v>
                </c:pt>
                <c:pt idx="4">
                  <c:v>Fire protection (2.F.3)</c:v>
                </c:pt>
                <c:pt idx="5">
                  <c:v>Electrical equipment (2.G.1)</c:v>
                </c:pt>
                <c:pt idx="6">
                  <c:v>Other (2.F.6)</c:v>
                </c:pt>
                <c:pt idx="7">
                  <c:v>Integrated circuit or semiconductor (2.E.1)</c:v>
                </c:pt>
                <c:pt idx="8">
                  <c:v>Solvents (2.F.5)</c:v>
                </c:pt>
                <c:pt idx="9">
                  <c:v>N2O from product uses (2.G.3)</c:v>
                </c:pt>
                <c:pt idx="10">
                  <c:v>Other (2.G.4)</c:v>
                </c:pt>
              </c:strCache>
            </c:strRef>
          </c:cat>
          <c:val>
            <c:numRef>
              <c:f>Charts!$O$94:$O$104</c:f>
              <c:numCache>
                <c:formatCode>_-* #,##0.0000_-;\-* #,##0.0000_-;_-* "-"??_-;_-@_-</c:formatCode>
                <c:ptCount val="11"/>
                <c:pt idx="0">
                  <c:v>0.77678647558747604</c:v>
                </c:pt>
                <c:pt idx="1">
                  <c:v>0.12502489009588588</c:v>
                </c:pt>
                <c:pt idx="2">
                  <c:v>3.9034976656129629E-2</c:v>
                </c:pt>
                <c:pt idx="3">
                  <c:v>1.2402772901675387E-2</c:v>
                </c:pt>
                <c:pt idx="4">
                  <c:v>1.7434131336777427E-2</c:v>
                </c:pt>
                <c:pt idx="5">
                  <c:v>3.3758261783626814E-2</c:v>
                </c:pt>
                <c:pt idx="6">
                  <c:v>3.0307895619103714E-3</c:v>
                </c:pt>
                <c:pt idx="7">
                  <c:v>8.7911901423959804E-4</c:v>
                </c:pt>
                <c:pt idx="8">
                  <c:v>1.6323686884873608E-3</c:v>
                </c:pt>
                <c:pt idx="9">
                  <c:v>1.0250980883835962E-4</c:v>
                </c:pt>
                <c:pt idx="10">
                  <c:v>1.732425726277853E-5</c:v>
                </c:pt>
              </c:numCache>
            </c:numRef>
          </c:val>
          <c:extLst>
            <c:ext xmlns:c16="http://schemas.microsoft.com/office/drawing/2014/chart" uri="{C3380CC4-5D6E-409C-BE32-E72D297353CC}">
              <c16:uniqueId val="{00000000-7184-4081-A6C3-C1C761689CD6}"/>
            </c:ext>
          </c:extLst>
        </c:ser>
        <c:ser>
          <c:idx val="1"/>
          <c:order val="1"/>
          <c:tx>
            <c:strRef>
              <c:f>Charts!$P$93</c:f>
              <c:strCache>
                <c:ptCount val="1"/>
                <c:pt idx="0">
                  <c:v>%</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B999-4A3B-B98F-F679AF58A1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B999-4A3B-B98F-F679AF58A1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B999-4A3B-B98F-F679AF58A1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B999-4A3B-B98F-F679AF58A1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B999-4A3B-B98F-F679AF58A1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1-B999-4A3B-B98F-F679AF58A1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3-B999-4A3B-B98F-F679AF58A18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5-B999-4A3B-B98F-F679AF58A18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7-B999-4A3B-B98F-F679AF58A18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9-B999-4A3B-B98F-F679AF58A18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B-B999-4A3B-B98F-F679AF58A1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Charts!$N$94:$N$104</c:f>
              <c:strCache>
                <c:ptCount val="11"/>
                <c:pt idx="0">
                  <c:v>Refrigeration and stationary air conditioning (2.F.1.a)</c:v>
                </c:pt>
                <c:pt idx="1">
                  <c:v>Aerosols (2.F.4)</c:v>
                </c:pt>
                <c:pt idx="2">
                  <c:v>Foam blowing agents (2.F.2)</c:v>
                </c:pt>
                <c:pt idx="3">
                  <c:v>SF6 and PFCs from other product uses (2.G.2)</c:v>
                </c:pt>
                <c:pt idx="4">
                  <c:v>Fire protection (2.F.3)</c:v>
                </c:pt>
                <c:pt idx="5">
                  <c:v>Electrical equipment (2.G.1)</c:v>
                </c:pt>
                <c:pt idx="6">
                  <c:v>Other (2.F.6)</c:v>
                </c:pt>
                <c:pt idx="7">
                  <c:v>Integrated circuit or semiconductor (2.E.1)</c:v>
                </c:pt>
                <c:pt idx="8">
                  <c:v>Solvents (2.F.5)</c:v>
                </c:pt>
                <c:pt idx="9">
                  <c:v>N2O from product uses (2.G.3)</c:v>
                </c:pt>
                <c:pt idx="10">
                  <c:v>Other (2.G.4)</c:v>
                </c:pt>
              </c:strCache>
            </c:strRef>
          </c:cat>
          <c:val>
            <c:numRef>
              <c:f>Charts!$P$94:$P$104</c:f>
              <c:numCache>
                <c:formatCode>0%</c:formatCode>
                <c:ptCount val="11"/>
                <c:pt idx="0">
                  <c:v>0.76901662408070082</c:v>
                </c:pt>
                <c:pt idx="1">
                  <c:v>0.12377432142453865</c:v>
                </c:pt>
                <c:pt idx="2">
                  <c:v>3.8644527051610977E-2</c:v>
                </c:pt>
                <c:pt idx="3">
                  <c:v>1.227871345065908E-2</c:v>
                </c:pt>
                <c:pt idx="4">
                  <c:v>1.7259745432936954E-2</c:v>
                </c:pt>
                <c:pt idx="5">
                  <c:v>3.3420592823843166E-2</c:v>
                </c:pt>
                <c:pt idx="6">
                  <c:v>3.0004739145807519E-3</c:v>
                </c:pt>
                <c:pt idx="7">
                  <c:v>8.7032557561509262E-4</c:v>
                </c:pt>
                <c:pt idx="8">
                  <c:v>1.6160408265684673E-3</c:v>
                </c:pt>
                <c:pt idx="9">
                  <c:v>1.0148444856537134E-4</c:v>
                </c:pt>
                <c:pt idx="10">
                  <c:v>1.7150970380697891E-5</c:v>
                </c:pt>
              </c:numCache>
            </c:numRef>
          </c:val>
          <c:extLst>
            <c:ext xmlns:c16="http://schemas.microsoft.com/office/drawing/2014/chart" uri="{C3380CC4-5D6E-409C-BE32-E72D297353CC}">
              <c16:uniqueId val="{00000001-7184-4081-A6C3-C1C761689CD6}"/>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535036</xdr:colOff>
      <xdr:row>4</xdr:row>
      <xdr:rowOff>112088</xdr:rowOff>
    </xdr:from>
    <xdr:to>
      <xdr:col>8</xdr:col>
      <xdr:colOff>504081</xdr:colOff>
      <xdr:row>14</xdr:row>
      <xdr:rowOff>191861</xdr:rowOff>
    </xdr:to>
    <xdr:graphicFrame macro="">
      <xdr:nvGraphicFramePr>
        <xdr:cNvPr id="3" name="Chart 6">
          <a:extLst>
            <a:ext uri="{FF2B5EF4-FFF2-40B4-BE49-F238E27FC236}">
              <a16:creationId xmlns:a16="http://schemas.microsoft.com/office/drawing/2014/main" id="{CFB42331-68BD-4CB0-AC0E-7C6D8A02D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514797</xdr:colOff>
      <xdr:row>18</xdr:row>
      <xdr:rowOff>134200</xdr:rowOff>
    </xdr:from>
    <xdr:to>
      <xdr:col>8</xdr:col>
      <xdr:colOff>514797</xdr:colOff>
      <xdr:row>29</xdr:row>
      <xdr:rowOff>113961</xdr:rowOff>
    </xdr:to>
    <xdr:graphicFrame macro="">
      <xdr:nvGraphicFramePr>
        <xdr:cNvPr id="8" name="Chart 7">
          <a:extLst>
            <a:ext uri="{FF2B5EF4-FFF2-40B4-BE49-F238E27FC236}">
              <a16:creationId xmlns:a16="http://schemas.microsoft.com/office/drawing/2014/main" id="{9386B713-D7C0-4967-8A57-F5C98F782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306316</xdr:colOff>
      <xdr:row>32</xdr:row>
      <xdr:rowOff>164112</xdr:rowOff>
    </xdr:from>
    <xdr:to>
      <xdr:col>9</xdr:col>
      <xdr:colOff>77694</xdr:colOff>
      <xdr:row>45</xdr:row>
      <xdr:rowOff>112058</xdr:rowOff>
    </xdr:to>
    <xdr:graphicFrame macro="">
      <xdr:nvGraphicFramePr>
        <xdr:cNvPr id="9" name="Chart 8">
          <a:extLst>
            <a:ext uri="{FF2B5EF4-FFF2-40B4-BE49-F238E27FC236}">
              <a16:creationId xmlns:a16="http://schemas.microsoft.com/office/drawing/2014/main" id="{F7C7D395-8620-4815-B74C-46F6B1B353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182802</xdr:colOff>
      <xdr:row>49</xdr:row>
      <xdr:rowOff>97118</xdr:rowOff>
    </xdr:from>
    <xdr:to>
      <xdr:col>8</xdr:col>
      <xdr:colOff>210733</xdr:colOff>
      <xdr:row>62</xdr:row>
      <xdr:rowOff>95250</xdr:rowOff>
    </xdr:to>
    <xdr:graphicFrame macro="">
      <xdr:nvGraphicFramePr>
        <xdr:cNvPr id="10" name="Chart 9">
          <a:extLst>
            <a:ext uri="{FF2B5EF4-FFF2-40B4-BE49-F238E27FC236}">
              <a16:creationId xmlns:a16="http://schemas.microsoft.com/office/drawing/2014/main" id="{0DAF7B7B-C1E8-4DDD-99D1-D89A2634A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31271</xdr:colOff>
      <xdr:row>112</xdr:row>
      <xdr:rowOff>923</xdr:rowOff>
    </xdr:from>
    <xdr:to>
      <xdr:col>8</xdr:col>
      <xdr:colOff>352740</xdr:colOff>
      <xdr:row>125</xdr:row>
      <xdr:rowOff>104264</xdr:rowOff>
    </xdr:to>
    <xdr:graphicFrame macro="">
      <xdr:nvGraphicFramePr>
        <xdr:cNvPr id="12" name="Chart 11">
          <a:extLst>
            <a:ext uri="{FF2B5EF4-FFF2-40B4-BE49-F238E27FC236}">
              <a16:creationId xmlns:a16="http://schemas.microsoft.com/office/drawing/2014/main" id="{BE58D987-A87A-4A81-96E5-743005317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572003</xdr:colOff>
      <xdr:row>71</xdr:row>
      <xdr:rowOff>1831</xdr:rowOff>
    </xdr:from>
    <xdr:to>
      <xdr:col>8</xdr:col>
      <xdr:colOff>467115</xdr:colOff>
      <xdr:row>86</xdr:row>
      <xdr:rowOff>105834</xdr:rowOff>
    </xdr:to>
    <xdr:graphicFrame macro="">
      <xdr:nvGraphicFramePr>
        <xdr:cNvPr id="13" name="Chart 12">
          <a:extLst>
            <a:ext uri="{FF2B5EF4-FFF2-40B4-BE49-F238E27FC236}">
              <a16:creationId xmlns:a16="http://schemas.microsoft.com/office/drawing/2014/main" id="{040F5222-0B13-4D22-B047-204B760DE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476251</xdr:colOff>
      <xdr:row>129</xdr:row>
      <xdr:rowOff>9172</xdr:rowOff>
    </xdr:from>
    <xdr:to>
      <xdr:col>11</xdr:col>
      <xdr:colOff>202277</xdr:colOff>
      <xdr:row>145</xdr:row>
      <xdr:rowOff>28575</xdr:rowOff>
    </xdr:to>
    <xdr:graphicFrame macro="">
      <xdr:nvGraphicFramePr>
        <xdr:cNvPr id="14" name="Chart 13">
          <a:extLst>
            <a:ext uri="{FF2B5EF4-FFF2-40B4-BE49-F238E27FC236}">
              <a16:creationId xmlns:a16="http://schemas.microsoft.com/office/drawing/2014/main" id="{F88B1E7C-817F-498C-A3C1-47DCDCE47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491595</xdr:colOff>
      <xdr:row>92</xdr:row>
      <xdr:rowOff>193673</xdr:rowOff>
    </xdr:from>
    <xdr:to>
      <xdr:col>9</xdr:col>
      <xdr:colOff>21167</xdr:colOff>
      <xdr:row>104</xdr:row>
      <xdr:rowOff>57678</xdr:rowOff>
    </xdr:to>
    <xdr:graphicFrame macro="">
      <xdr:nvGraphicFramePr>
        <xdr:cNvPr id="2" name="Chart 1">
          <a:extLst>
            <a:ext uri="{FF2B5EF4-FFF2-40B4-BE49-F238E27FC236}">
              <a16:creationId xmlns:a16="http://schemas.microsoft.com/office/drawing/2014/main" id="{4BECBAEB-414C-3ABB-47B8-F6B13DC8B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https://www.gov.uk/government/collections/sub-national-electricity-consumption-data" TargetMode="External"/><Relationship Id="rId13" Type="http://schemas.openxmlformats.org/officeDocument/2006/relationships/hyperlink" Target="https://www.data.gov.uk/dataset/59ab8448-3905-49c6-9122-ae762f96f66b/2023-waste-data-interrogator" TargetMode="External"/><Relationship Id="rId3" Type="http://schemas.openxmlformats.org/officeDocument/2006/relationships/hyperlink" Target="https://data.london.gov.uk/dataset/londons-population" TargetMode="External"/><Relationship Id="rId7" Type="http://schemas.openxmlformats.org/officeDocument/2006/relationships/hyperlink" Target="http://nora.nerc.ac.uk/id/eprint/529857/" TargetMode="External"/><Relationship Id="rId12" Type="http://schemas.openxmlformats.org/officeDocument/2006/relationships/hyperlink" Target="https://www.data.gov.uk/dataset/59ab8448-3905-49c6-9122-ae762f96f66b/2023-waste-data-interrogator" TargetMode="External"/><Relationship Id="rId2" Type="http://schemas.openxmlformats.org/officeDocument/2006/relationships/hyperlink" Target="https://resourcecentre.c40.org/resources/reporting-ghg-emissions-inventories" TargetMode="External"/><Relationship Id="rId16" Type="http://schemas.openxmlformats.org/officeDocument/2006/relationships/printerSettings" Target="../printerSettings/printerSettings12.bin"/><Relationship Id="rId1" Type="http://schemas.openxmlformats.org/officeDocument/2006/relationships/hyperlink" Target="https://www.ons.gov.uk/peoplepopulationandcommunity/populationandmigration/populationestimates/datasets/estimatesofthepopulationforenglandandwales" TargetMode="External"/><Relationship Id="rId6" Type="http://schemas.openxmlformats.org/officeDocument/2006/relationships/hyperlink" Target="https://www.gov.uk/government/collections/total-final-energy-consumption-at-sub-national-level" TargetMode="External"/><Relationship Id="rId11" Type="http://schemas.openxmlformats.org/officeDocument/2006/relationships/hyperlink" Target="https://data.london.gov.uk/dataset/london-atmospheric-emissions-inventory-laei-2022-2lg5g/" TargetMode="External"/><Relationship Id="rId5" Type="http://schemas.openxmlformats.org/officeDocument/2006/relationships/hyperlink" Target="https://www.gov.uk/government/collections/total-final-energy-consumption-at-sub-national-level" TargetMode="External"/><Relationship Id="rId15" Type="http://schemas.openxmlformats.org/officeDocument/2006/relationships/hyperlink" Target="https://unfccc.int/documents/646508" TargetMode="External"/><Relationship Id="rId10" Type="http://schemas.openxmlformats.org/officeDocument/2006/relationships/hyperlink" Target="https://www.gov.uk/government/statistics/regional-and-local-authority-gas-consumption-statistics" TargetMode="External"/><Relationship Id="rId4" Type="http://schemas.openxmlformats.org/officeDocument/2006/relationships/hyperlink" Target="https://www.gov.uk/government/collections/total-final-energy-consumption-at-sub-national-level" TargetMode="External"/><Relationship Id="rId9" Type="http://schemas.openxmlformats.org/officeDocument/2006/relationships/hyperlink" Target="https://www.gov.uk/government/statistics/regional-and-local-authority-gas-consumption-statistics" TargetMode="External"/><Relationship Id="rId14" Type="http://schemas.openxmlformats.org/officeDocument/2006/relationships/hyperlink" Target="https://www.data.gov.uk/dataset/59ab8448-3905-49c6-9122-ae762f96f66b/2023-waste-data-interrog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23"/>
  <sheetViews>
    <sheetView zoomScaleNormal="100" workbookViewId="0">
      <selection activeCell="C7" sqref="C7"/>
    </sheetView>
  </sheetViews>
  <sheetFormatPr defaultColWidth="9" defaultRowHeight="14.4" x14ac:dyDescent="0.3"/>
  <cols>
    <col min="1" max="1" width="12.44140625" style="73" customWidth="1"/>
    <col min="2" max="2" width="139.44140625" style="73" customWidth="1"/>
    <col min="3" max="3" width="34.21875" style="73" customWidth="1"/>
    <col min="4" max="4" width="20.88671875" style="73" customWidth="1"/>
    <col min="5" max="5" width="42.5546875" style="73" customWidth="1"/>
    <col min="6" max="6" width="48.5546875" style="73" customWidth="1"/>
    <col min="7" max="7" width="23.21875" style="73" customWidth="1"/>
    <col min="8" max="8" width="19.21875" style="73" customWidth="1"/>
    <col min="9" max="16384" width="9" style="73"/>
  </cols>
  <sheetData>
    <row r="1" spans="1:4" ht="18" x14ac:dyDescent="0.35">
      <c r="A1" s="310" t="s">
        <v>0</v>
      </c>
    </row>
    <row r="2" spans="1:4" x14ac:dyDescent="0.3">
      <c r="A2" s="309"/>
    </row>
    <row r="3" spans="1:4" x14ac:dyDescent="0.3">
      <c r="A3" s="292" t="s">
        <v>1</v>
      </c>
      <c r="B3" s="292"/>
      <c r="C3" s="84"/>
    </row>
    <row r="4" spans="1:4" x14ac:dyDescent="0.3">
      <c r="B4" s="290" t="s">
        <v>2</v>
      </c>
      <c r="C4" s="85"/>
      <c r="D4" s="95"/>
    </row>
    <row r="5" spans="1:4" x14ac:dyDescent="0.3">
      <c r="B5" s="290"/>
      <c r="C5" s="85"/>
      <c r="D5" s="95"/>
    </row>
    <row r="6" spans="1:4" x14ac:dyDescent="0.3">
      <c r="A6" s="292" t="s">
        <v>3</v>
      </c>
      <c r="C6" s="85"/>
      <c r="D6" s="95"/>
    </row>
    <row r="7" spans="1:4" ht="86.4" x14ac:dyDescent="0.3">
      <c r="B7" s="84" t="s">
        <v>4</v>
      </c>
      <c r="C7" s="85"/>
      <c r="D7" s="95"/>
    </row>
    <row r="8" spans="1:4" x14ac:dyDescent="0.3">
      <c r="B8" s="84"/>
      <c r="C8" s="85"/>
      <c r="D8" s="95"/>
    </row>
    <row r="9" spans="1:4" x14ac:dyDescent="0.3">
      <c r="A9" s="292" t="s">
        <v>5</v>
      </c>
      <c r="C9" s="85"/>
      <c r="D9" s="95"/>
    </row>
    <row r="10" spans="1:4" ht="121.2" x14ac:dyDescent="0.3">
      <c r="B10" s="290" t="s">
        <v>6</v>
      </c>
      <c r="C10" s="85"/>
      <c r="D10" s="95"/>
    </row>
    <row r="11" spans="1:4" x14ac:dyDescent="0.3">
      <c r="A11" s="292" t="s">
        <v>7</v>
      </c>
    </row>
    <row r="12" spans="1:4" ht="17.399999999999999" x14ac:dyDescent="0.3">
      <c r="B12" s="290" t="s">
        <v>8</v>
      </c>
    </row>
    <row r="13" spans="1:4" x14ac:dyDescent="0.3">
      <c r="A13" s="292" t="s">
        <v>9</v>
      </c>
    </row>
    <row r="14" spans="1:4" ht="86.4" x14ac:dyDescent="0.3">
      <c r="B14" s="291" t="s">
        <v>10</v>
      </c>
    </row>
    <row r="15" spans="1:4" x14ac:dyDescent="0.3">
      <c r="B15" s="291"/>
    </row>
    <row r="16" spans="1:4" x14ac:dyDescent="0.3">
      <c r="A16" s="311" t="s">
        <v>11</v>
      </c>
      <c r="B16" s="86"/>
    </row>
    <row r="17" spans="1:9" x14ac:dyDescent="0.3">
      <c r="B17" s="291" t="s">
        <v>12</v>
      </c>
      <c r="C17" s="86"/>
      <c r="D17" s="86"/>
      <c r="E17" s="86"/>
      <c r="F17" s="86"/>
      <c r="G17" s="86"/>
      <c r="H17" s="86"/>
      <c r="I17" s="86"/>
    </row>
    <row r="18" spans="1:9" x14ac:dyDescent="0.3">
      <c r="B18" s="87"/>
      <c r="C18" s="87"/>
      <c r="D18" s="87"/>
      <c r="E18" s="88"/>
      <c r="F18" s="88"/>
      <c r="G18" s="77"/>
      <c r="H18" s="96"/>
      <c r="I18" s="75"/>
    </row>
    <row r="19" spans="1:9" x14ac:dyDescent="0.3">
      <c r="A19" s="311" t="s">
        <v>13</v>
      </c>
      <c r="B19" s="93"/>
      <c r="C19" s="87"/>
      <c r="D19" s="87"/>
      <c r="E19" s="88"/>
      <c r="F19" s="88"/>
      <c r="G19" s="77"/>
      <c r="H19" s="96"/>
      <c r="I19" s="75"/>
    </row>
    <row r="20" spans="1:9" ht="100.8" x14ac:dyDescent="0.3">
      <c r="A20" s="713">
        <v>46007</v>
      </c>
      <c r="B20" s="84" t="s">
        <v>842</v>
      </c>
      <c r="C20" s="87"/>
      <c r="D20" s="87"/>
      <c r="E20" s="88"/>
      <c r="F20" s="88"/>
      <c r="G20" s="77"/>
      <c r="H20" s="77"/>
      <c r="I20" s="75"/>
    </row>
    <row r="21" spans="1:9" x14ac:dyDescent="0.3">
      <c r="B21" s="291"/>
      <c r="C21" s="87"/>
      <c r="D21" s="87"/>
      <c r="E21" s="88"/>
      <c r="F21" s="88"/>
      <c r="G21" s="1218"/>
      <c r="H21" s="1218"/>
      <c r="I21" s="1220"/>
    </row>
    <row r="22" spans="1:9" x14ac:dyDescent="0.3">
      <c r="B22" s="486"/>
      <c r="C22" s="87"/>
      <c r="D22" s="87"/>
      <c r="E22" s="88"/>
      <c r="F22" s="88"/>
      <c r="G22" s="1219"/>
      <c r="H22" s="1219"/>
      <c r="I22" s="1221"/>
    </row>
    <row r="23" spans="1:9" x14ac:dyDescent="0.3">
      <c r="C23" s="87"/>
      <c r="D23" s="87"/>
      <c r="E23" s="88"/>
      <c r="F23" s="88"/>
      <c r="G23" s="1219"/>
      <c r="H23" s="1219"/>
      <c r="I23" s="1221"/>
    </row>
    <row r="24" spans="1:9" x14ac:dyDescent="0.3">
      <c r="C24" s="87"/>
      <c r="D24" s="87"/>
      <c r="E24" s="88"/>
      <c r="F24" s="88"/>
      <c r="G24" s="77"/>
      <c r="H24" s="77"/>
      <c r="I24" s="75"/>
    </row>
    <row r="25" spans="1:9" x14ac:dyDescent="0.3">
      <c r="B25" s="87"/>
      <c r="C25" s="87"/>
      <c r="D25" s="87"/>
      <c r="E25" s="1222"/>
      <c r="F25" s="88"/>
      <c r="G25" s="1218"/>
      <c r="H25" s="77"/>
      <c r="I25" s="75"/>
    </row>
    <row r="26" spans="1:9" x14ac:dyDescent="0.3">
      <c r="B26" s="87"/>
      <c r="C26" s="87"/>
      <c r="D26" s="87"/>
      <c r="E26" s="1223"/>
      <c r="F26" s="88"/>
      <c r="G26" s="1219"/>
      <c r="H26" s="77"/>
      <c r="I26" s="75"/>
    </row>
    <row r="27" spans="1:9" x14ac:dyDescent="0.3">
      <c r="B27" s="87"/>
      <c r="C27" s="87"/>
      <c r="D27" s="87"/>
      <c r="E27" s="88"/>
      <c r="F27" s="88"/>
      <c r="G27" s="77"/>
      <c r="H27" s="77"/>
      <c r="I27" s="75"/>
    </row>
    <row r="28" spans="1:9" x14ac:dyDescent="0.3">
      <c r="B28" s="87"/>
      <c r="C28" s="87"/>
      <c r="D28" s="87"/>
      <c r="E28" s="88"/>
      <c r="F28" s="88"/>
      <c r="G28" s="77"/>
      <c r="H28" s="77"/>
      <c r="I28" s="75"/>
    </row>
    <row r="29" spans="1:9" x14ac:dyDescent="0.3">
      <c r="B29" s="87"/>
      <c r="C29" s="87"/>
      <c r="D29" s="87"/>
      <c r="E29" s="88"/>
      <c r="F29" s="88"/>
      <c r="G29" s="77"/>
      <c r="H29" s="77"/>
      <c r="I29" s="75"/>
    </row>
    <row r="30" spans="1:9" x14ac:dyDescent="0.3">
      <c r="B30" s="87"/>
      <c r="C30" s="87"/>
      <c r="D30" s="87"/>
      <c r="E30" s="88"/>
      <c r="F30" s="88"/>
      <c r="G30" s="77"/>
      <c r="H30" s="77"/>
      <c r="I30" s="75"/>
    </row>
    <row r="31" spans="1:9" x14ac:dyDescent="0.3">
      <c r="B31" s="87"/>
      <c r="C31" s="87"/>
      <c r="D31" s="87"/>
      <c r="E31" s="88"/>
      <c r="F31" s="88"/>
      <c r="G31" s="77"/>
      <c r="H31" s="77"/>
      <c r="I31" s="75"/>
    </row>
    <row r="32" spans="1:9" x14ac:dyDescent="0.3">
      <c r="B32" s="87"/>
      <c r="C32" s="87"/>
      <c r="D32" s="87"/>
      <c r="E32" s="88"/>
      <c r="F32" s="88"/>
      <c r="G32" s="77"/>
      <c r="H32" s="77"/>
      <c r="I32" s="75"/>
    </row>
    <row r="33" spans="2:9" x14ac:dyDescent="0.3">
      <c r="B33" s="87"/>
      <c r="C33" s="88"/>
      <c r="D33" s="88"/>
      <c r="E33" s="88"/>
      <c r="F33" s="88"/>
      <c r="G33" s="77"/>
      <c r="H33" s="97"/>
      <c r="I33" s="75"/>
    </row>
    <row r="36" spans="2:9" ht="15.6" x14ac:dyDescent="0.3">
      <c r="B36" s="89"/>
      <c r="C36" s="89"/>
      <c r="D36" s="89"/>
      <c r="E36" s="89"/>
      <c r="F36" s="89"/>
      <c r="G36" s="89"/>
      <c r="H36" s="89"/>
      <c r="I36" s="89"/>
    </row>
    <row r="37" spans="2:9" ht="15.6" x14ac:dyDescent="0.3">
      <c r="B37" s="92"/>
      <c r="C37" s="90"/>
      <c r="D37" s="92"/>
      <c r="E37" s="92"/>
      <c r="F37" s="91"/>
      <c r="G37" s="91"/>
      <c r="H37" s="91"/>
      <c r="I37" s="91"/>
    </row>
    <row r="38" spans="2:9" ht="15.6" x14ac:dyDescent="0.3">
      <c r="B38" s="78"/>
      <c r="C38" s="78"/>
      <c r="D38" s="78"/>
      <c r="E38" s="78"/>
      <c r="F38" s="79"/>
      <c r="G38" s="79"/>
      <c r="H38" s="79"/>
      <c r="I38" s="79"/>
    </row>
    <row r="39" spans="2:9" ht="15.6" x14ac:dyDescent="0.3">
      <c r="B39" s="78"/>
      <c r="C39" s="78"/>
      <c r="D39" s="78"/>
      <c r="E39" s="78"/>
      <c r="F39" s="79"/>
      <c r="G39" s="79"/>
      <c r="H39" s="79"/>
      <c r="I39" s="79"/>
    </row>
    <row r="40" spans="2:9" ht="15.6" x14ac:dyDescent="0.3">
      <c r="B40" s="78"/>
      <c r="C40" s="78"/>
      <c r="D40" s="78"/>
      <c r="E40" s="78"/>
      <c r="F40" s="79"/>
      <c r="G40" s="79"/>
      <c r="H40" s="79"/>
      <c r="I40" s="79"/>
    </row>
    <row r="41" spans="2:9" ht="15.6" x14ac:dyDescent="0.3">
      <c r="B41" s="78"/>
      <c r="C41" s="78"/>
      <c r="D41" s="78"/>
      <c r="E41" s="78"/>
      <c r="F41" s="79"/>
      <c r="G41" s="79"/>
      <c r="H41" s="79"/>
      <c r="I41" s="79"/>
    </row>
    <row r="42" spans="2:9" ht="15.6" x14ac:dyDescent="0.3">
      <c r="B42" s="78"/>
      <c r="C42" s="79"/>
      <c r="D42" s="78"/>
      <c r="E42" s="78"/>
      <c r="F42" s="79"/>
      <c r="G42" s="79"/>
      <c r="H42" s="79"/>
      <c r="I42" s="79"/>
    </row>
    <row r="43" spans="2:9" ht="15.6" x14ac:dyDescent="0.3">
      <c r="B43" s="78"/>
      <c r="C43" s="79"/>
      <c r="D43" s="78"/>
      <c r="E43" s="78"/>
      <c r="F43" s="79"/>
      <c r="G43" s="79"/>
      <c r="H43" s="79"/>
      <c r="I43" s="79"/>
    </row>
    <row r="44" spans="2:9" ht="15.6" x14ac:dyDescent="0.3">
      <c r="B44" s="78"/>
      <c r="C44" s="78"/>
      <c r="D44" s="78"/>
      <c r="E44" s="78"/>
      <c r="F44" s="79"/>
      <c r="G44" s="79"/>
      <c r="H44" s="79"/>
      <c r="I44" s="79"/>
    </row>
    <row r="45" spans="2:9" ht="15.6" x14ac:dyDescent="0.3">
      <c r="B45" s="78"/>
      <c r="C45" s="78"/>
      <c r="D45" s="78"/>
      <c r="E45" s="78"/>
      <c r="F45" s="79"/>
      <c r="G45" s="79"/>
      <c r="H45" s="79"/>
      <c r="I45" s="79"/>
    </row>
    <row r="46" spans="2:9" ht="15.6" x14ac:dyDescent="0.3">
      <c r="B46" s="78"/>
      <c r="C46" s="79"/>
      <c r="D46" s="78"/>
      <c r="E46" s="78"/>
      <c r="F46" s="79"/>
      <c r="G46" s="79"/>
      <c r="H46" s="79"/>
      <c r="I46" s="79"/>
    </row>
    <row r="47" spans="2:9" ht="15.6" x14ac:dyDescent="0.3">
      <c r="B47" s="78"/>
      <c r="C47" s="79"/>
      <c r="D47" s="78"/>
      <c r="E47" s="78"/>
      <c r="F47" s="79"/>
      <c r="G47" s="79"/>
      <c r="H47" s="79"/>
      <c r="I47" s="79"/>
    </row>
    <row r="48" spans="2:9" ht="15.6" x14ac:dyDescent="0.3">
      <c r="B48" s="92"/>
      <c r="C48" s="91"/>
      <c r="D48" s="98"/>
      <c r="E48" s="98"/>
      <c r="F48" s="91"/>
      <c r="G48" s="91"/>
      <c r="H48" s="91"/>
      <c r="I48" s="79"/>
    </row>
    <row r="49" spans="2:9" ht="15.6" x14ac:dyDescent="0.3">
      <c r="B49" s="78"/>
      <c r="C49" s="79"/>
      <c r="D49" s="78"/>
      <c r="E49" s="78"/>
      <c r="F49" s="79"/>
      <c r="G49" s="79"/>
      <c r="H49" s="79"/>
      <c r="I49" s="79"/>
    </row>
    <row r="50" spans="2:9" ht="15.6" x14ac:dyDescent="0.3">
      <c r="B50" s="78"/>
      <c r="C50" s="79"/>
      <c r="D50" s="78"/>
      <c r="E50" s="78"/>
      <c r="F50" s="79"/>
      <c r="G50" s="79"/>
      <c r="H50" s="79"/>
      <c r="I50" s="79"/>
    </row>
    <row r="51" spans="2:9" ht="15.6" x14ac:dyDescent="0.3">
      <c r="B51" s="78"/>
      <c r="C51" s="79"/>
      <c r="D51" s="78"/>
      <c r="E51" s="78"/>
      <c r="F51" s="79"/>
      <c r="G51" s="79"/>
      <c r="H51" s="79"/>
      <c r="I51" s="79"/>
    </row>
    <row r="52" spans="2:9" ht="15.6" x14ac:dyDescent="0.3">
      <c r="B52" s="78"/>
      <c r="C52" s="79"/>
      <c r="D52" s="78"/>
      <c r="E52" s="78"/>
      <c r="F52" s="79"/>
      <c r="G52" s="79"/>
      <c r="H52" s="79"/>
      <c r="I52" s="79"/>
    </row>
    <row r="53" spans="2:9" ht="15.6" x14ac:dyDescent="0.3">
      <c r="B53" s="78"/>
      <c r="C53" s="79"/>
      <c r="D53" s="78"/>
      <c r="E53" s="78"/>
      <c r="F53" s="79"/>
      <c r="G53" s="79"/>
      <c r="H53" s="79"/>
      <c r="I53" s="79"/>
    </row>
    <row r="54" spans="2:9" ht="15.6" x14ac:dyDescent="0.3">
      <c r="B54" s="92"/>
      <c r="C54" s="80"/>
      <c r="D54" s="92"/>
      <c r="E54" s="92"/>
      <c r="F54" s="80"/>
      <c r="G54" s="82"/>
      <c r="H54" s="82"/>
      <c r="I54" s="79"/>
    </row>
    <row r="55" spans="2:9" ht="15.6" x14ac:dyDescent="0.3">
      <c r="B55" s="78"/>
      <c r="C55" s="79"/>
      <c r="D55" s="78"/>
      <c r="E55" s="78"/>
      <c r="F55" s="79"/>
      <c r="G55" s="79"/>
      <c r="H55" s="79"/>
      <c r="I55" s="79"/>
    </row>
    <row r="56" spans="2:9" ht="15.6" x14ac:dyDescent="0.3">
      <c r="B56" s="78"/>
      <c r="C56" s="79"/>
      <c r="D56" s="78"/>
      <c r="E56" s="78"/>
      <c r="F56" s="79"/>
      <c r="G56" s="79"/>
      <c r="H56" s="79"/>
      <c r="I56" s="79"/>
    </row>
    <row r="57" spans="2:9" ht="15.6" x14ac:dyDescent="0.3">
      <c r="B57" s="78"/>
      <c r="C57" s="79"/>
      <c r="D57" s="78"/>
      <c r="E57" s="78"/>
      <c r="F57" s="79"/>
      <c r="G57" s="79"/>
      <c r="H57" s="79"/>
      <c r="I57" s="79"/>
    </row>
    <row r="58" spans="2:9" ht="15.6" x14ac:dyDescent="0.3">
      <c r="B58" s="78"/>
      <c r="C58" s="79"/>
      <c r="D58" s="78"/>
      <c r="E58" s="78"/>
      <c r="F58" s="79"/>
      <c r="G58" s="79"/>
      <c r="H58" s="79"/>
      <c r="I58" s="79"/>
    </row>
    <row r="59" spans="2:9" ht="15.6" x14ac:dyDescent="0.3">
      <c r="B59" s="92"/>
      <c r="C59" s="91"/>
      <c r="D59" s="92"/>
      <c r="E59" s="92"/>
      <c r="F59" s="91"/>
      <c r="G59" s="91"/>
      <c r="H59" s="91"/>
      <c r="I59" s="79"/>
    </row>
    <row r="60" spans="2:9" ht="15.6" x14ac:dyDescent="0.3">
      <c r="B60" s="78"/>
      <c r="C60" s="78"/>
      <c r="D60" s="78"/>
      <c r="E60" s="78"/>
      <c r="F60" s="79"/>
      <c r="G60" s="79"/>
      <c r="H60" s="79"/>
      <c r="I60" s="79"/>
    </row>
    <row r="61" spans="2:9" ht="15.6" x14ac:dyDescent="0.3">
      <c r="B61" s="78"/>
      <c r="C61" s="78"/>
      <c r="D61" s="78"/>
      <c r="E61" s="78"/>
      <c r="F61" s="80"/>
      <c r="G61" s="81"/>
      <c r="H61" s="81"/>
      <c r="I61" s="79"/>
    </row>
    <row r="62" spans="2:9" ht="15.6" x14ac:dyDescent="0.3">
      <c r="B62" s="92"/>
      <c r="C62" s="91"/>
      <c r="D62" s="92"/>
      <c r="E62" s="92"/>
      <c r="F62" s="91"/>
      <c r="G62" s="91"/>
      <c r="H62" s="91"/>
      <c r="I62" s="79"/>
    </row>
    <row r="63" spans="2:9" ht="15.6" x14ac:dyDescent="0.3">
      <c r="B63" s="78"/>
      <c r="C63" s="80"/>
      <c r="D63" s="78"/>
      <c r="E63" s="78"/>
      <c r="F63" s="80"/>
      <c r="G63" s="82"/>
      <c r="H63" s="82"/>
      <c r="I63" s="79"/>
    </row>
    <row r="64" spans="2:9" ht="15.6" x14ac:dyDescent="0.3">
      <c r="B64" s="78"/>
      <c r="C64" s="79"/>
      <c r="D64" s="78"/>
      <c r="E64" s="78"/>
      <c r="F64" s="79"/>
      <c r="G64" s="79"/>
      <c r="H64" s="79"/>
      <c r="I64" s="79"/>
    </row>
    <row r="65" spans="2:9" ht="15.6" x14ac:dyDescent="0.3">
      <c r="B65" s="78"/>
      <c r="C65" s="80"/>
      <c r="D65" s="78"/>
      <c r="E65" s="78"/>
      <c r="F65" s="80"/>
      <c r="G65" s="82"/>
      <c r="H65" s="82"/>
      <c r="I65" s="79"/>
    </row>
    <row r="66" spans="2:9" ht="15.6" x14ac:dyDescent="0.3">
      <c r="B66" s="92"/>
      <c r="C66" s="92"/>
      <c r="D66" s="92"/>
      <c r="E66" s="92"/>
      <c r="F66" s="80"/>
      <c r="G66" s="82"/>
      <c r="H66" s="82"/>
      <c r="I66" s="79"/>
    </row>
    <row r="67" spans="2:9" ht="15.6" x14ac:dyDescent="0.3">
      <c r="I67" s="79"/>
    </row>
    <row r="68" spans="2:9" ht="15.6" x14ac:dyDescent="0.3">
      <c r="I68" s="79"/>
    </row>
    <row r="69" spans="2:9" ht="15.6" x14ac:dyDescent="0.3">
      <c r="I69" s="79"/>
    </row>
    <row r="70" spans="2:9" ht="15.6" x14ac:dyDescent="0.3">
      <c r="I70" s="79"/>
    </row>
    <row r="71" spans="2:9" ht="15.75" customHeight="1" x14ac:dyDescent="0.3">
      <c r="B71" s="94"/>
      <c r="C71" s="89"/>
      <c r="D71" s="89"/>
      <c r="E71" s="89"/>
      <c r="F71" s="89"/>
      <c r="G71" s="89"/>
      <c r="H71" s="89"/>
      <c r="I71" s="79"/>
    </row>
    <row r="72" spans="2:9" ht="15.6" x14ac:dyDescent="0.3">
      <c r="B72" s="92"/>
      <c r="C72" s="90"/>
      <c r="D72" s="92"/>
      <c r="E72" s="92"/>
      <c r="F72" s="92"/>
      <c r="G72" s="92"/>
      <c r="H72" s="91"/>
      <c r="I72" s="79"/>
    </row>
    <row r="73" spans="2:9" ht="15.6" x14ac:dyDescent="0.3">
      <c r="B73" s="78"/>
      <c r="C73" s="78"/>
      <c r="D73" s="78"/>
      <c r="E73" s="77"/>
      <c r="F73" s="96"/>
      <c r="G73" s="75"/>
      <c r="I73" s="79"/>
    </row>
    <row r="74" spans="2:9" ht="15.6" x14ac:dyDescent="0.3">
      <c r="D74" s="78"/>
      <c r="E74" s="77"/>
      <c r="F74" s="76"/>
      <c r="G74" s="75"/>
      <c r="I74" s="79"/>
    </row>
    <row r="75" spans="2:9" ht="15.6" x14ac:dyDescent="0.3">
      <c r="D75" s="78"/>
      <c r="E75" s="77"/>
      <c r="F75" s="96"/>
      <c r="G75" s="75"/>
      <c r="I75" s="79"/>
    </row>
    <row r="76" spans="2:9" ht="15.6" x14ac:dyDescent="0.3">
      <c r="D76" s="78"/>
      <c r="E76" s="77"/>
      <c r="F76" s="96"/>
      <c r="G76" s="75"/>
      <c r="I76" s="79"/>
    </row>
    <row r="77" spans="2:9" ht="15.6" x14ac:dyDescent="0.3">
      <c r="B77" s="78"/>
      <c r="C77" s="78"/>
      <c r="D77" s="78"/>
      <c r="E77" s="77"/>
      <c r="F77" s="96"/>
      <c r="G77" s="75"/>
      <c r="I77" s="79"/>
    </row>
    <row r="78" spans="2:9" ht="15.6" x14ac:dyDescent="0.3">
      <c r="D78" s="78"/>
      <c r="E78" s="77"/>
      <c r="F78" s="76"/>
      <c r="G78" s="75"/>
      <c r="I78" s="79"/>
    </row>
    <row r="79" spans="2:9" ht="15.6" x14ac:dyDescent="0.3">
      <c r="D79" s="78"/>
      <c r="E79" s="77"/>
      <c r="F79" s="77"/>
      <c r="G79" s="75"/>
      <c r="I79" s="79"/>
    </row>
    <row r="80" spans="2:9" ht="15.6" x14ac:dyDescent="0.3">
      <c r="B80" s="78"/>
      <c r="C80" s="78"/>
      <c r="D80" s="78"/>
      <c r="E80" s="77"/>
      <c r="F80" s="96"/>
      <c r="G80" s="75"/>
      <c r="I80" s="79"/>
    </row>
    <row r="81" spans="2:9" ht="15.6" x14ac:dyDescent="0.3">
      <c r="D81" s="78"/>
      <c r="E81" s="77"/>
      <c r="F81" s="76"/>
      <c r="G81" s="75"/>
      <c r="I81" s="79"/>
    </row>
    <row r="82" spans="2:9" ht="15.6" x14ac:dyDescent="0.3">
      <c r="B82" s="78"/>
      <c r="C82" s="78"/>
      <c r="D82" s="78"/>
      <c r="E82" s="77"/>
      <c r="F82" s="96"/>
      <c r="G82" s="75"/>
      <c r="I82" s="79"/>
    </row>
    <row r="83" spans="2:9" ht="15.6" x14ac:dyDescent="0.3">
      <c r="D83" s="78"/>
      <c r="E83" s="77"/>
      <c r="F83" s="76"/>
      <c r="G83" s="75"/>
      <c r="I83" s="79"/>
    </row>
    <row r="84" spans="2:9" ht="15.6" x14ac:dyDescent="0.3">
      <c r="D84" s="78"/>
      <c r="E84" s="77"/>
      <c r="F84" s="77"/>
      <c r="G84" s="75"/>
      <c r="I84" s="79"/>
    </row>
    <row r="85" spans="2:9" ht="15.6" x14ac:dyDescent="0.3">
      <c r="B85" s="78"/>
      <c r="C85" s="78"/>
      <c r="D85" s="78"/>
      <c r="E85" s="77"/>
      <c r="F85" s="96"/>
      <c r="G85" s="75"/>
    </row>
    <row r="86" spans="2:9" ht="15.6" x14ac:dyDescent="0.3">
      <c r="D86" s="78"/>
      <c r="E86" s="77"/>
      <c r="F86" s="76"/>
      <c r="G86" s="75"/>
    </row>
    <row r="87" spans="2:9" ht="15.6" x14ac:dyDescent="0.3">
      <c r="D87" s="78"/>
      <c r="E87" s="77"/>
      <c r="F87" s="77"/>
      <c r="G87" s="75"/>
    </row>
    <row r="88" spans="2:9" ht="15.6" x14ac:dyDescent="0.3">
      <c r="D88" s="78"/>
      <c r="E88" s="77"/>
      <c r="F88" s="77"/>
      <c r="G88" s="75"/>
    </row>
    <row r="89" spans="2:9" ht="15.6" x14ac:dyDescent="0.3">
      <c r="B89" s="78"/>
      <c r="C89" s="79"/>
      <c r="D89" s="78"/>
      <c r="E89" s="77"/>
      <c r="F89" s="96"/>
      <c r="G89" s="75"/>
    </row>
    <row r="90" spans="2:9" ht="15.6" x14ac:dyDescent="0.3">
      <c r="D90" s="78"/>
      <c r="E90" s="77"/>
      <c r="F90" s="76"/>
      <c r="G90" s="75"/>
    </row>
    <row r="91" spans="2:9" ht="15.6" x14ac:dyDescent="0.3">
      <c r="D91" s="78"/>
      <c r="E91" s="77"/>
      <c r="F91" s="77"/>
      <c r="G91" s="75"/>
    </row>
    <row r="92" spans="2:9" ht="15.6" x14ac:dyDescent="0.3">
      <c r="D92" s="78"/>
      <c r="E92" s="77"/>
      <c r="F92" s="77"/>
      <c r="G92" s="75"/>
    </row>
    <row r="93" spans="2:9" ht="15.6" x14ac:dyDescent="0.3">
      <c r="B93" s="78"/>
      <c r="C93" s="79"/>
      <c r="D93" s="83"/>
      <c r="E93" s="77"/>
      <c r="F93" s="96"/>
      <c r="G93" s="75"/>
    </row>
    <row r="94" spans="2:9" ht="15.6" x14ac:dyDescent="0.3">
      <c r="D94" s="83"/>
      <c r="E94" s="77"/>
      <c r="F94" s="76"/>
      <c r="G94" s="75"/>
    </row>
    <row r="95" spans="2:9" ht="15.6" x14ac:dyDescent="0.3">
      <c r="D95" s="83"/>
      <c r="E95" s="77"/>
      <c r="F95" s="77"/>
      <c r="G95" s="75"/>
    </row>
    <row r="96" spans="2:9" ht="15.6" x14ac:dyDescent="0.3">
      <c r="D96" s="83"/>
      <c r="E96" s="77"/>
      <c r="F96" s="77"/>
      <c r="G96" s="75"/>
    </row>
    <row r="97" spans="2:7" ht="15.6" x14ac:dyDescent="0.3">
      <c r="B97" s="78"/>
      <c r="C97" s="78"/>
      <c r="D97" s="78"/>
      <c r="E97" s="77"/>
      <c r="F97" s="96"/>
      <c r="G97" s="75"/>
    </row>
    <row r="98" spans="2:7" ht="15.6" x14ac:dyDescent="0.3">
      <c r="D98" s="78"/>
      <c r="E98" s="77"/>
      <c r="F98" s="76"/>
      <c r="G98" s="75"/>
    </row>
    <row r="99" spans="2:7" ht="15.6" x14ac:dyDescent="0.3">
      <c r="D99" s="78"/>
      <c r="E99" s="77"/>
      <c r="F99" s="77"/>
      <c r="G99" s="75"/>
    </row>
    <row r="100" spans="2:7" ht="15.6" x14ac:dyDescent="0.3">
      <c r="B100" s="78"/>
      <c r="C100" s="79"/>
    </row>
    <row r="101" spans="2:7" ht="15.6" x14ac:dyDescent="0.3">
      <c r="B101" s="78"/>
      <c r="C101" s="79"/>
    </row>
    <row r="102" spans="2:7" ht="15.6" x14ac:dyDescent="0.3">
      <c r="B102" s="92"/>
      <c r="C102" s="91"/>
      <c r="D102" s="98"/>
      <c r="E102" s="98"/>
      <c r="F102" s="91"/>
      <c r="G102" s="91"/>
    </row>
    <row r="103" spans="2:7" ht="15.6" x14ac:dyDescent="0.3">
      <c r="B103" s="78"/>
      <c r="C103" s="79"/>
      <c r="D103" s="78"/>
      <c r="E103" s="77"/>
      <c r="F103" s="77"/>
      <c r="G103" s="75"/>
    </row>
    <row r="104" spans="2:7" ht="15.6" x14ac:dyDescent="0.3">
      <c r="D104" s="78"/>
    </row>
    <row r="105" spans="2:7" ht="15.6" x14ac:dyDescent="0.3">
      <c r="B105" s="78"/>
      <c r="C105" s="79"/>
      <c r="D105" s="78"/>
      <c r="E105" s="77"/>
    </row>
    <row r="106" spans="2:7" ht="15.6" x14ac:dyDescent="0.3">
      <c r="D106" s="78"/>
    </row>
    <row r="107" spans="2:7" ht="15.6" x14ac:dyDescent="0.3">
      <c r="B107" s="78"/>
      <c r="C107" s="79"/>
      <c r="D107" s="78"/>
      <c r="E107" s="77"/>
      <c r="F107" s="77"/>
      <c r="G107" s="75"/>
    </row>
    <row r="108" spans="2:7" ht="15.6" x14ac:dyDescent="0.3">
      <c r="B108" s="78"/>
      <c r="C108" s="79"/>
      <c r="D108" s="78"/>
      <c r="E108" s="77"/>
      <c r="F108" s="77"/>
      <c r="G108" s="75"/>
    </row>
    <row r="109" spans="2:7" ht="15.6" x14ac:dyDescent="0.3">
      <c r="B109" s="78"/>
      <c r="C109" s="79"/>
      <c r="F109" s="99"/>
      <c r="G109" s="100"/>
    </row>
    <row r="110" spans="2:7" ht="15.6" x14ac:dyDescent="0.3">
      <c r="B110" s="92"/>
      <c r="C110" s="91"/>
      <c r="D110" s="92"/>
      <c r="E110" s="92"/>
      <c r="F110" s="92"/>
      <c r="G110" s="92"/>
    </row>
    <row r="113" spans="2:7" ht="15.6" x14ac:dyDescent="0.3">
      <c r="B113" s="92"/>
      <c r="C113" s="91"/>
      <c r="D113" s="91"/>
      <c r="E113" s="91"/>
      <c r="F113" s="91"/>
      <c r="G113" s="91"/>
    </row>
    <row r="114" spans="2:7" ht="15.6" x14ac:dyDescent="0.3">
      <c r="B114" s="78"/>
      <c r="C114" s="79"/>
    </row>
    <row r="115" spans="2:7" ht="15.6" x14ac:dyDescent="0.3">
      <c r="B115" s="78"/>
      <c r="C115" s="79"/>
    </row>
    <row r="117" spans="2:7" ht="15.6" x14ac:dyDescent="0.3">
      <c r="B117" s="78"/>
      <c r="C117" s="79"/>
    </row>
    <row r="118" spans="2:7" ht="15.6" x14ac:dyDescent="0.3">
      <c r="B118" s="92"/>
      <c r="C118" s="79"/>
      <c r="D118" s="80"/>
      <c r="E118" s="80"/>
      <c r="F118" s="80"/>
      <c r="G118" s="80"/>
    </row>
    <row r="119" spans="2:7" ht="15.6" x14ac:dyDescent="0.3">
      <c r="B119" s="78"/>
      <c r="C119" s="79"/>
    </row>
    <row r="120" spans="2:7" ht="15.6" x14ac:dyDescent="0.3">
      <c r="B120" s="78"/>
      <c r="C120" s="79"/>
    </row>
    <row r="121" spans="2:7" ht="15.6" x14ac:dyDescent="0.3">
      <c r="B121" s="78"/>
      <c r="C121" s="79"/>
    </row>
    <row r="122" spans="2:7" ht="15.6" x14ac:dyDescent="0.3">
      <c r="B122" s="78"/>
      <c r="C122" s="79"/>
    </row>
    <row r="123" spans="2:7" ht="15.6" x14ac:dyDescent="0.3">
      <c r="B123" s="92"/>
      <c r="C123" s="92"/>
      <c r="D123" s="92"/>
      <c r="E123" s="92"/>
      <c r="F123" s="92"/>
      <c r="G123" s="92"/>
    </row>
  </sheetData>
  <sheetProtection algorithmName="SHA-512" hashValue="Wpx8gWlERUH+2JS0cqrVhlQiITeuph7Q+vq9zmrOw2PJcc/JZbnWGmRk7Y7bYLPBM0koJfPwBXbDmb51Z3JWgg==" saltValue="IKazOa4spi0trh9ZsTSbMw==" spinCount="100000" sheet="1"/>
  <mergeCells count="5">
    <mergeCell ref="G21:G23"/>
    <mergeCell ref="H21:H23"/>
    <mergeCell ref="I21:I23"/>
    <mergeCell ref="E25:E26"/>
    <mergeCell ref="G25:G2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4">
    <tabColor theme="3" tint="0.79998168889431442"/>
    <pageSetUpPr fitToPage="1"/>
  </sheetPr>
  <dimension ref="A1:BD133"/>
  <sheetViews>
    <sheetView zoomScale="90" zoomScaleNormal="90" workbookViewId="0">
      <pane xSplit="2" topLeftCell="C1" activePane="topRight" state="frozen"/>
      <selection pane="topRight" activeCell="C1" sqref="C1"/>
    </sheetView>
  </sheetViews>
  <sheetFormatPr defaultRowHeight="13.8" x14ac:dyDescent="0.3"/>
  <cols>
    <col min="1" max="1" width="5" style="26" customWidth="1"/>
    <col min="2" max="2" width="41.77734375" style="26" customWidth="1"/>
    <col min="3" max="20" width="9.77734375" style="26" customWidth="1"/>
    <col min="21" max="22" width="12" style="26" customWidth="1"/>
    <col min="23" max="24" width="13" style="26" customWidth="1"/>
    <col min="25" max="25" width="11.77734375" style="26" bestFit="1" customWidth="1"/>
    <col min="26" max="27" width="11.77734375" style="26" customWidth="1"/>
    <col min="28" max="28" width="5.88671875" style="26" customWidth="1"/>
    <col min="29" max="29" width="14.21875" style="26" customWidth="1"/>
    <col min="30" max="30" width="9.109375" style="26" bestFit="1" customWidth="1"/>
    <col min="31" max="31" width="12.5546875" style="26" bestFit="1" customWidth="1"/>
    <col min="32" max="32" width="13.44140625" style="26" bestFit="1" customWidth="1"/>
    <col min="33" max="33" width="11.5546875" style="26" bestFit="1" customWidth="1"/>
    <col min="34" max="34" width="13" style="26" customWidth="1"/>
    <col min="35" max="35" width="9" style="26"/>
    <col min="36" max="36" width="20.88671875" style="26" customWidth="1"/>
    <col min="37" max="37" width="9" style="26" customWidth="1"/>
    <col min="38" max="261" width="9" style="26"/>
    <col min="262" max="262" width="2" style="26" customWidth="1"/>
    <col min="263" max="263" width="25.77734375" style="26" customWidth="1"/>
    <col min="264" max="281" width="9.77734375" style="26" customWidth="1"/>
    <col min="282" max="283" width="12" style="26" customWidth="1"/>
    <col min="284" max="284" width="8.77734375" style="26" customWidth="1"/>
    <col min="285" max="285" width="9" style="26" customWidth="1"/>
    <col min="286" max="286" width="6" style="26" customWidth="1"/>
    <col min="287" max="287" width="7.5546875" style="26" customWidth="1"/>
    <col min="288" max="288" width="10.21875" style="26" customWidth="1"/>
    <col min="289" max="517" width="9" style="26"/>
    <col min="518" max="518" width="2" style="26" customWidth="1"/>
    <col min="519" max="519" width="25.77734375" style="26" customWidth="1"/>
    <col min="520" max="537" width="9.77734375" style="26" customWidth="1"/>
    <col min="538" max="539" width="12" style="26" customWidth="1"/>
    <col min="540" max="540" width="8.77734375" style="26" customWidth="1"/>
    <col min="541" max="541" width="9" style="26" customWidth="1"/>
    <col min="542" max="542" width="6" style="26" customWidth="1"/>
    <col min="543" max="543" width="7.5546875" style="26" customWidth="1"/>
    <col min="544" max="544" width="10.21875" style="26" customWidth="1"/>
    <col min="545" max="773" width="9" style="26"/>
    <col min="774" max="774" width="2" style="26" customWidth="1"/>
    <col min="775" max="775" width="25.77734375" style="26" customWidth="1"/>
    <col min="776" max="793" width="9.77734375" style="26" customWidth="1"/>
    <col min="794" max="795" width="12" style="26" customWidth="1"/>
    <col min="796" max="796" width="8.77734375" style="26" customWidth="1"/>
    <col min="797" max="797" width="9" style="26" customWidth="1"/>
    <col min="798" max="798" width="6" style="26" customWidth="1"/>
    <col min="799" max="799" width="7.5546875" style="26" customWidth="1"/>
    <col min="800" max="800" width="10.21875" style="26" customWidth="1"/>
    <col min="801" max="1029" width="9" style="26"/>
    <col min="1030" max="1030" width="2" style="26" customWidth="1"/>
    <col min="1031" max="1031" width="25.77734375" style="26" customWidth="1"/>
    <col min="1032" max="1049" width="9.77734375" style="26" customWidth="1"/>
    <col min="1050" max="1051" width="12" style="26" customWidth="1"/>
    <col min="1052" max="1052" width="8.77734375" style="26" customWidth="1"/>
    <col min="1053" max="1053" width="9" style="26" customWidth="1"/>
    <col min="1054" max="1054" width="6" style="26" customWidth="1"/>
    <col min="1055" max="1055" width="7.5546875" style="26" customWidth="1"/>
    <col min="1056" max="1056" width="10.21875" style="26" customWidth="1"/>
    <col min="1057" max="1285" width="9" style="26"/>
    <col min="1286" max="1286" width="2" style="26" customWidth="1"/>
    <col min="1287" max="1287" width="25.77734375" style="26" customWidth="1"/>
    <col min="1288" max="1305" width="9.77734375" style="26" customWidth="1"/>
    <col min="1306" max="1307" width="12" style="26" customWidth="1"/>
    <col min="1308" max="1308" width="8.77734375" style="26" customWidth="1"/>
    <col min="1309" max="1309" width="9" style="26" customWidth="1"/>
    <col min="1310" max="1310" width="6" style="26" customWidth="1"/>
    <col min="1311" max="1311" width="7.5546875" style="26" customWidth="1"/>
    <col min="1312" max="1312" width="10.21875" style="26" customWidth="1"/>
    <col min="1313" max="1541" width="9" style="26"/>
    <col min="1542" max="1542" width="2" style="26" customWidth="1"/>
    <col min="1543" max="1543" width="25.77734375" style="26" customWidth="1"/>
    <col min="1544" max="1561" width="9.77734375" style="26" customWidth="1"/>
    <col min="1562" max="1563" width="12" style="26" customWidth="1"/>
    <col min="1564" max="1564" width="8.77734375" style="26" customWidth="1"/>
    <col min="1565" max="1565" width="9" style="26" customWidth="1"/>
    <col min="1566" max="1566" width="6" style="26" customWidth="1"/>
    <col min="1567" max="1567" width="7.5546875" style="26" customWidth="1"/>
    <col min="1568" max="1568" width="10.21875" style="26" customWidth="1"/>
    <col min="1569" max="1797" width="9" style="26"/>
    <col min="1798" max="1798" width="2" style="26" customWidth="1"/>
    <col min="1799" max="1799" width="25.77734375" style="26" customWidth="1"/>
    <col min="1800" max="1817" width="9.77734375" style="26" customWidth="1"/>
    <col min="1818" max="1819" width="12" style="26" customWidth="1"/>
    <col min="1820" max="1820" width="8.77734375" style="26" customWidth="1"/>
    <col min="1821" max="1821" width="9" style="26" customWidth="1"/>
    <col min="1822" max="1822" width="6" style="26" customWidth="1"/>
    <col min="1823" max="1823" width="7.5546875" style="26" customWidth="1"/>
    <col min="1824" max="1824" width="10.21875" style="26" customWidth="1"/>
    <col min="1825" max="2053" width="9" style="26"/>
    <col min="2054" max="2054" width="2" style="26" customWidth="1"/>
    <col min="2055" max="2055" width="25.77734375" style="26" customWidth="1"/>
    <col min="2056" max="2073" width="9.77734375" style="26" customWidth="1"/>
    <col min="2074" max="2075" width="12" style="26" customWidth="1"/>
    <col min="2076" max="2076" width="8.77734375" style="26" customWidth="1"/>
    <col min="2077" max="2077" width="9" style="26" customWidth="1"/>
    <col min="2078" max="2078" width="6" style="26" customWidth="1"/>
    <col min="2079" max="2079" width="7.5546875" style="26" customWidth="1"/>
    <col min="2080" max="2080" width="10.21875" style="26" customWidth="1"/>
    <col min="2081" max="2309" width="9" style="26"/>
    <col min="2310" max="2310" width="2" style="26" customWidth="1"/>
    <col min="2311" max="2311" width="25.77734375" style="26" customWidth="1"/>
    <col min="2312" max="2329" width="9.77734375" style="26" customWidth="1"/>
    <col min="2330" max="2331" width="12" style="26" customWidth="1"/>
    <col min="2332" max="2332" width="8.77734375" style="26" customWidth="1"/>
    <col min="2333" max="2333" width="9" style="26" customWidth="1"/>
    <col min="2334" max="2334" width="6" style="26" customWidth="1"/>
    <col min="2335" max="2335" width="7.5546875" style="26" customWidth="1"/>
    <col min="2336" max="2336" width="10.21875" style="26" customWidth="1"/>
    <col min="2337" max="2565" width="9" style="26"/>
    <col min="2566" max="2566" width="2" style="26" customWidth="1"/>
    <col min="2567" max="2567" width="25.77734375" style="26" customWidth="1"/>
    <col min="2568" max="2585" width="9.77734375" style="26" customWidth="1"/>
    <col min="2586" max="2587" width="12" style="26" customWidth="1"/>
    <col min="2588" max="2588" width="8.77734375" style="26" customWidth="1"/>
    <col min="2589" max="2589" width="9" style="26" customWidth="1"/>
    <col min="2590" max="2590" width="6" style="26" customWidth="1"/>
    <col min="2591" max="2591" width="7.5546875" style="26" customWidth="1"/>
    <col min="2592" max="2592" width="10.21875" style="26" customWidth="1"/>
    <col min="2593" max="2821" width="9" style="26"/>
    <col min="2822" max="2822" width="2" style="26" customWidth="1"/>
    <col min="2823" max="2823" width="25.77734375" style="26" customWidth="1"/>
    <col min="2824" max="2841" width="9.77734375" style="26" customWidth="1"/>
    <col min="2842" max="2843" width="12" style="26" customWidth="1"/>
    <col min="2844" max="2844" width="8.77734375" style="26" customWidth="1"/>
    <col min="2845" max="2845" width="9" style="26" customWidth="1"/>
    <col min="2846" max="2846" width="6" style="26" customWidth="1"/>
    <col min="2847" max="2847" width="7.5546875" style="26" customWidth="1"/>
    <col min="2848" max="2848" width="10.21875" style="26" customWidth="1"/>
    <col min="2849" max="3077" width="9" style="26"/>
    <col min="3078" max="3078" width="2" style="26" customWidth="1"/>
    <col min="3079" max="3079" width="25.77734375" style="26" customWidth="1"/>
    <col min="3080" max="3097" width="9.77734375" style="26" customWidth="1"/>
    <col min="3098" max="3099" width="12" style="26" customWidth="1"/>
    <col min="3100" max="3100" width="8.77734375" style="26" customWidth="1"/>
    <col min="3101" max="3101" width="9" style="26" customWidth="1"/>
    <col min="3102" max="3102" width="6" style="26" customWidth="1"/>
    <col min="3103" max="3103" width="7.5546875" style="26" customWidth="1"/>
    <col min="3104" max="3104" width="10.21875" style="26" customWidth="1"/>
    <col min="3105" max="3333" width="9" style="26"/>
    <col min="3334" max="3334" width="2" style="26" customWidth="1"/>
    <col min="3335" max="3335" width="25.77734375" style="26" customWidth="1"/>
    <col min="3336" max="3353" width="9.77734375" style="26" customWidth="1"/>
    <col min="3354" max="3355" width="12" style="26" customWidth="1"/>
    <col min="3356" max="3356" width="8.77734375" style="26" customWidth="1"/>
    <col min="3357" max="3357" width="9" style="26" customWidth="1"/>
    <col min="3358" max="3358" width="6" style="26" customWidth="1"/>
    <col min="3359" max="3359" width="7.5546875" style="26" customWidth="1"/>
    <col min="3360" max="3360" width="10.21875" style="26" customWidth="1"/>
    <col min="3361" max="3589" width="9" style="26"/>
    <col min="3590" max="3590" width="2" style="26" customWidth="1"/>
    <col min="3591" max="3591" width="25.77734375" style="26" customWidth="1"/>
    <col min="3592" max="3609" width="9.77734375" style="26" customWidth="1"/>
    <col min="3610" max="3611" width="12" style="26" customWidth="1"/>
    <col min="3612" max="3612" width="8.77734375" style="26" customWidth="1"/>
    <col min="3613" max="3613" width="9" style="26" customWidth="1"/>
    <col min="3614" max="3614" width="6" style="26" customWidth="1"/>
    <col min="3615" max="3615" width="7.5546875" style="26" customWidth="1"/>
    <col min="3616" max="3616" width="10.21875" style="26" customWidth="1"/>
    <col min="3617" max="3845" width="9" style="26"/>
    <col min="3846" max="3846" width="2" style="26" customWidth="1"/>
    <col min="3847" max="3847" width="25.77734375" style="26" customWidth="1"/>
    <col min="3848" max="3865" width="9.77734375" style="26" customWidth="1"/>
    <col min="3866" max="3867" width="12" style="26" customWidth="1"/>
    <col min="3868" max="3868" width="8.77734375" style="26" customWidth="1"/>
    <col min="3869" max="3869" width="9" style="26" customWidth="1"/>
    <col min="3870" max="3870" width="6" style="26" customWidth="1"/>
    <col min="3871" max="3871" width="7.5546875" style="26" customWidth="1"/>
    <col min="3872" max="3872" width="10.21875" style="26" customWidth="1"/>
    <col min="3873" max="4101" width="9" style="26"/>
    <col min="4102" max="4102" width="2" style="26" customWidth="1"/>
    <col min="4103" max="4103" width="25.77734375" style="26" customWidth="1"/>
    <col min="4104" max="4121" width="9.77734375" style="26" customWidth="1"/>
    <col min="4122" max="4123" width="12" style="26" customWidth="1"/>
    <col min="4124" max="4124" width="8.77734375" style="26" customWidth="1"/>
    <col min="4125" max="4125" width="9" style="26" customWidth="1"/>
    <col min="4126" max="4126" width="6" style="26" customWidth="1"/>
    <col min="4127" max="4127" width="7.5546875" style="26" customWidth="1"/>
    <col min="4128" max="4128" width="10.21875" style="26" customWidth="1"/>
    <col min="4129" max="4357" width="9" style="26"/>
    <col min="4358" max="4358" width="2" style="26" customWidth="1"/>
    <col min="4359" max="4359" width="25.77734375" style="26" customWidth="1"/>
    <col min="4360" max="4377" width="9.77734375" style="26" customWidth="1"/>
    <col min="4378" max="4379" width="12" style="26" customWidth="1"/>
    <col min="4380" max="4380" width="8.77734375" style="26" customWidth="1"/>
    <col min="4381" max="4381" width="9" style="26" customWidth="1"/>
    <col min="4382" max="4382" width="6" style="26" customWidth="1"/>
    <col min="4383" max="4383" width="7.5546875" style="26" customWidth="1"/>
    <col min="4384" max="4384" width="10.21875" style="26" customWidth="1"/>
    <col min="4385" max="4613" width="9" style="26"/>
    <col min="4614" max="4614" width="2" style="26" customWidth="1"/>
    <col min="4615" max="4615" width="25.77734375" style="26" customWidth="1"/>
    <col min="4616" max="4633" width="9.77734375" style="26" customWidth="1"/>
    <col min="4634" max="4635" width="12" style="26" customWidth="1"/>
    <col min="4636" max="4636" width="8.77734375" style="26" customWidth="1"/>
    <col min="4637" max="4637" width="9" style="26" customWidth="1"/>
    <col min="4638" max="4638" width="6" style="26" customWidth="1"/>
    <col min="4639" max="4639" width="7.5546875" style="26" customWidth="1"/>
    <col min="4640" max="4640" width="10.21875" style="26" customWidth="1"/>
    <col min="4641" max="4869" width="9" style="26"/>
    <col min="4870" max="4870" width="2" style="26" customWidth="1"/>
    <col min="4871" max="4871" width="25.77734375" style="26" customWidth="1"/>
    <col min="4872" max="4889" width="9.77734375" style="26" customWidth="1"/>
    <col min="4890" max="4891" width="12" style="26" customWidth="1"/>
    <col min="4892" max="4892" width="8.77734375" style="26" customWidth="1"/>
    <col min="4893" max="4893" width="9" style="26" customWidth="1"/>
    <col min="4894" max="4894" width="6" style="26" customWidth="1"/>
    <col min="4895" max="4895" width="7.5546875" style="26" customWidth="1"/>
    <col min="4896" max="4896" width="10.21875" style="26" customWidth="1"/>
    <col min="4897" max="5125" width="9" style="26"/>
    <col min="5126" max="5126" width="2" style="26" customWidth="1"/>
    <col min="5127" max="5127" width="25.77734375" style="26" customWidth="1"/>
    <col min="5128" max="5145" width="9.77734375" style="26" customWidth="1"/>
    <col min="5146" max="5147" width="12" style="26" customWidth="1"/>
    <col min="5148" max="5148" width="8.77734375" style="26" customWidth="1"/>
    <col min="5149" max="5149" width="9" style="26" customWidth="1"/>
    <col min="5150" max="5150" width="6" style="26" customWidth="1"/>
    <col min="5151" max="5151" width="7.5546875" style="26" customWidth="1"/>
    <col min="5152" max="5152" width="10.21875" style="26" customWidth="1"/>
    <col min="5153" max="5381" width="9" style="26"/>
    <col min="5382" max="5382" width="2" style="26" customWidth="1"/>
    <col min="5383" max="5383" width="25.77734375" style="26" customWidth="1"/>
    <col min="5384" max="5401" width="9.77734375" style="26" customWidth="1"/>
    <col min="5402" max="5403" width="12" style="26" customWidth="1"/>
    <col min="5404" max="5404" width="8.77734375" style="26" customWidth="1"/>
    <col min="5405" max="5405" width="9" style="26" customWidth="1"/>
    <col min="5406" max="5406" width="6" style="26" customWidth="1"/>
    <col min="5407" max="5407" width="7.5546875" style="26" customWidth="1"/>
    <col min="5408" max="5408" width="10.21875" style="26" customWidth="1"/>
    <col min="5409" max="5637" width="9" style="26"/>
    <col min="5638" max="5638" width="2" style="26" customWidth="1"/>
    <col min="5639" max="5639" width="25.77734375" style="26" customWidth="1"/>
    <col min="5640" max="5657" width="9.77734375" style="26" customWidth="1"/>
    <col min="5658" max="5659" width="12" style="26" customWidth="1"/>
    <col min="5660" max="5660" width="8.77734375" style="26" customWidth="1"/>
    <col min="5661" max="5661" width="9" style="26" customWidth="1"/>
    <col min="5662" max="5662" width="6" style="26" customWidth="1"/>
    <col min="5663" max="5663" width="7.5546875" style="26" customWidth="1"/>
    <col min="5664" max="5664" width="10.21875" style="26" customWidth="1"/>
    <col min="5665" max="5893" width="9" style="26"/>
    <col min="5894" max="5894" width="2" style="26" customWidth="1"/>
    <col min="5895" max="5895" width="25.77734375" style="26" customWidth="1"/>
    <col min="5896" max="5913" width="9.77734375" style="26" customWidth="1"/>
    <col min="5914" max="5915" width="12" style="26" customWidth="1"/>
    <col min="5916" max="5916" width="8.77734375" style="26" customWidth="1"/>
    <col min="5917" max="5917" width="9" style="26" customWidth="1"/>
    <col min="5918" max="5918" width="6" style="26" customWidth="1"/>
    <col min="5919" max="5919" width="7.5546875" style="26" customWidth="1"/>
    <col min="5920" max="5920" width="10.21875" style="26" customWidth="1"/>
    <col min="5921" max="6149" width="9" style="26"/>
    <col min="6150" max="6150" width="2" style="26" customWidth="1"/>
    <col min="6151" max="6151" width="25.77734375" style="26" customWidth="1"/>
    <col min="6152" max="6169" width="9.77734375" style="26" customWidth="1"/>
    <col min="6170" max="6171" width="12" style="26" customWidth="1"/>
    <col min="6172" max="6172" width="8.77734375" style="26" customWidth="1"/>
    <col min="6173" max="6173" width="9" style="26" customWidth="1"/>
    <col min="6174" max="6174" width="6" style="26" customWidth="1"/>
    <col min="6175" max="6175" width="7.5546875" style="26" customWidth="1"/>
    <col min="6176" max="6176" width="10.21875" style="26" customWidth="1"/>
    <col min="6177" max="6405" width="9" style="26"/>
    <col min="6406" max="6406" width="2" style="26" customWidth="1"/>
    <col min="6407" max="6407" width="25.77734375" style="26" customWidth="1"/>
    <col min="6408" max="6425" width="9.77734375" style="26" customWidth="1"/>
    <col min="6426" max="6427" width="12" style="26" customWidth="1"/>
    <col min="6428" max="6428" width="8.77734375" style="26" customWidth="1"/>
    <col min="6429" max="6429" width="9" style="26" customWidth="1"/>
    <col min="6430" max="6430" width="6" style="26" customWidth="1"/>
    <col min="6431" max="6431" width="7.5546875" style="26" customWidth="1"/>
    <col min="6432" max="6432" width="10.21875" style="26" customWidth="1"/>
    <col min="6433" max="6661" width="9" style="26"/>
    <col min="6662" max="6662" width="2" style="26" customWidth="1"/>
    <col min="6663" max="6663" width="25.77734375" style="26" customWidth="1"/>
    <col min="6664" max="6681" width="9.77734375" style="26" customWidth="1"/>
    <col min="6682" max="6683" width="12" style="26" customWidth="1"/>
    <col min="6684" max="6684" width="8.77734375" style="26" customWidth="1"/>
    <col min="6685" max="6685" width="9" style="26" customWidth="1"/>
    <col min="6686" max="6686" width="6" style="26" customWidth="1"/>
    <col min="6687" max="6687" width="7.5546875" style="26" customWidth="1"/>
    <col min="6688" max="6688" width="10.21875" style="26" customWidth="1"/>
    <col min="6689" max="6917" width="9" style="26"/>
    <col min="6918" max="6918" width="2" style="26" customWidth="1"/>
    <col min="6919" max="6919" width="25.77734375" style="26" customWidth="1"/>
    <col min="6920" max="6937" width="9.77734375" style="26" customWidth="1"/>
    <col min="6938" max="6939" width="12" style="26" customWidth="1"/>
    <col min="6940" max="6940" width="8.77734375" style="26" customWidth="1"/>
    <col min="6941" max="6941" width="9" style="26" customWidth="1"/>
    <col min="6942" max="6942" width="6" style="26" customWidth="1"/>
    <col min="6943" max="6943" width="7.5546875" style="26" customWidth="1"/>
    <col min="6944" max="6944" width="10.21875" style="26" customWidth="1"/>
    <col min="6945" max="7173" width="9" style="26"/>
    <col min="7174" max="7174" width="2" style="26" customWidth="1"/>
    <col min="7175" max="7175" width="25.77734375" style="26" customWidth="1"/>
    <col min="7176" max="7193" width="9.77734375" style="26" customWidth="1"/>
    <col min="7194" max="7195" width="12" style="26" customWidth="1"/>
    <col min="7196" max="7196" width="8.77734375" style="26" customWidth="1"/>
    <col min="7197" max="7197" width="9" style="26" customWidth="1"/>
    <col min="7198" max="7198" width="6" style="26" customWidth="1"/>
    <col min="7199" max="7199" width="7.5546875" style="26" customWidth="1"/>
    <col min="7200" max="7200" width="10.21875" style="26" customWidth="1"/>
    <col min="7201" max="7429" width="9" style="26"/>
    <col min="7430" max="7430" width="2" style="26" customWidth="1"/>
    <col min="7431" max="7431" width="25.77734375" style="26" customWidth="1"/>
    <col min="7432" max="7449" width="9.77734375" style="26" customWidth="1"/>
    <col min="7450" max="7451" width="12" style="26" customWidth="1"/>
    <col min="7452" max="7452" width="8.77734375" style="26" customWidth="1"/>
    <col min="7453" max="7453" width="9" style="26" customWidth="1"/>
    <col min="7454" max="7454" width="6" style="26" customWidth="1"/>
    <col min="7455" max="7455" width="7.5546875" style="26" customWidth="1"/>
    <col min="7456" max="7456" width="10.21875" style="26" customWidth="1"/>
    <col min="7457" max="7685" width="9" style="26"/>
    <col min="7686" max="7686" width="2" style="26" customWidth="1"/>
    <col min="7687" max="7687" width="25.77734375" style="26" customWidth="1"/>
    <col min="7688" max="7705" width="9.77734375" style="26" customWidth="1"/>
    <col min="7706" max="7707" width="12" style="26" customWidth="1"/>
    <col min="7708" max="7708" width="8.77734375" style="26" customWidth="1"/>
    <col min="7709" max="7709" width="9" style="26" customWidth="1"/>
    <col min="7710" max="7710" width="6" style="26" customWidth="1"/>
    <col min="7711" max="7711" width="7.5546875" style="26" customWidth="1"/>
    <col min="7712" max="7712" width="10.21875" style="26" customWidth="1"/>
    <col min="7713" max="7941" width="9" style="26"/>
    <col min="7942" max="7942" width="2" style="26" customWidth="1"/>
    <col min="7943" max="7943" width="25.77734375" style="26" customWidth="1"/>
    <col min="7944" max="7961" width="9.77734375" style="26" customWidth="1"/>
    <col min="7962" max="7963" width="12" style="26" customWidth="1"/>
    <col min="7964" max="7964" width="8.77734375" style="26" customWidth="1"/>
    <col min="7965" max="7965" width="9" style="26" customWidth="1"/>
    <col min="7966" max="7966" width="6" style="26" customWidth="1"/>
    <col min="7967" max="7967" width="7.5546875" style="26" customWidth="1"/>
    <col min="7968" max="7968" width="10.21875" style="26" customWidth="1"/>
    <col min="7969" max="8197" width="9" style="26"/>
    <col min="8198" max="8198" width="2" style="26" customWidth="1"/>
    <col min="8199" max="8199" width="25.77734375" style="26" customWidth="1"/>
    <col min="8200" max="8217" width="9.77734375" style="26" customWidth="1"/>
    <col min="8218" max="8219" width="12" style="26" customWidth="1"/>
    <col min="8220" max="8220" width="8.77734375" style="26" customWidth="1"/>
    <col min="8221" max="8221" width="9" style="26" customWidth="1"/>
    <col min="8222" max="8222" width="6" style="26" customWidth="1"/>
    <col min="8223" max="8223" width="7.5546875" style="26" customWidth="1"/>
    <col min="8224" max="8224" width="10.21875" style="26" customWidth="1"/>
    <col min="8225" max="8453" width="9" style="26"/>
    <col min="8454" max="8454" width="2" style="26" customWidth="1"/>
    <col min="8455" max="8455" width="25.77734375" style="26" customWidth="1"/>
    <col min="8456" max="8473" width="9.77734375" style="26" customWidth="1"/>
    <col min="8474" max="8475" width="12" style="26" customWidth="1"/>
    <col min="8476" max="8476" width="8.77734375" style="26" customWidth="1"/>
    <col min="8477" max="8477" width="9" style="26" customWidth="1"/>
    <col min="8478" max="8478" width="6" style="26" customWidth="1"/>
    <col min="8479" max="8479" width="7.5546875" style="26" customWidth="1"/>
    <col min="8480" max="8480" width="10.21875" style="26" customWidth="1"/>
    <col min="8481" max="8709" width="9" style="26"/>
    <col min="8710" max="8710" width="2" style="26" customWidth="1"/>
    <col min="8711" max="8711" width="25.77734375" style="26" customWidth="1"/>
    <col min="8712" max="8729" width="9.77734375" style="26" customWidth="1"/>
    <col min="8730" max="8731" width="12" style="26" customWidth="1"/>
    <col min="8732" max="8732" width="8.77734375" style="26" customWidth="1"/>
    <col min="8733" max="8733" width="9" style="26" customWidth="1"/>
    <col min="8734" max="8734" width="6" style="26" customWidth="1"/>
    <col min="8735" max="8735" width="7.5546875" style="26" customWidth="1"/>
    <col min="8736" max="8736" width="10.21875" style="26" customWidth="1"/>
    <col min="8737" max="8965" width="9" style="26"/>
    <col min="8966" max="8966" width="2" style="26" customWidth="1"/>
    <col min="8967" max="8967" width="25.77734375" style="26" customWidth="1"/>
    <col min="8968" max="8985" width="9.77734375" style="26" customWidth="1"/>
    <col min="8986" max="8987" width="12" style="26" customWidth="1"/>
    <col min="8988" max="8988" width="8.77734375" style="26" customWidth="1"/>
    <col min="8989" max="8989" width="9" style="26" customWidth="1"/>
    <col min="8990" max="8990" width="6" style="26" customWidth="1"/>
    <col min="8991" max="8991" width="7.5546875" style="26" customWidth="1"/>
    <col min="8992" max="8992" width="10.21875" style="26" customWidth="1"/>
    <col min="8993" max="9221" width="9" style="26"/>
    <col min="9222" max="9222" width="2" style="26" customWidth="1"/>
    <col min="9223" max="9223" width="25.77734375" style="26" customWidth="1"/>
    <col min="9224" max="9241" width="9.77734375" style="26" customWidth="1"/>
    <col min="9242" max="9243" width="12" style="26" customWidth="1"/>
    <col min="9244" max="9244" width="8.77734375" style="26" customWidth="1"/>
    <col min="9245" max="9245" width="9" style="26" customWidth="1"/>
    <col min="9246" max="9246" width="6" style="26" customWidth="1"/>
    <col min="9247" max="9247" width="7.5546875" style="26" customWidth="1"/>
    <col min="9248" max="9248" width="10.21875" style="26" customWidth="1"/>
    <col min="9249" max="9477" width="9" style="26"/>
    <col min="9478" max="9478" width="2" style="26" customWidth="1"/>
    <col min="9479" max="9479" width="25.77734375" style="26" customWidth="1"/>
    <col min="9480" max="9497" width="9.77734375" style="26" customWidth="1"/>
    <col min="9498" max="9499" width="12" style="26" customWidth="1"/>
    <col min="9500" max="9500" width="8.77734375" style="26" customWidth="1"/>
    <col min="9501" max="9501" width="9" style="26" customWidth="1"/>
    <col min="9502" max="9502" width="6" style="26" customWidth="1"/>
    <col min="9503" max="9503" width="7.5546875" style="26" customWidth="1"/>
    <col min="9504" max="9504" width="10.21875" style="26" customWidth="1"/>
    <col min="9505" max="9733" width="9" style="26"/>
    <col min="9734" max="9734" width="2" style="26" customWidth="1"/>
    <col min="9735" max="9735" width="25.77734375" style="26" customWidth="1"/>
    <col min="9736" max="9753" width="9.77734375" style="26" customWidth="1"/>
    <col min="9754" max="9755" width="12" style="26" customWidth="1"/>
    <col min="9756" max="9756" width="8.77734375" style="26" customWidth="1"/>
    <col min="9757" max="9757" width="9" style="26" customWidth="1"/>
    <col min="9758" max="9758" width="6" style="26" customWidth="1"/>
    <col min="9759" max="9759" width="7.5546875" style="26" customWidth="1"/>
    <col min="9760" max="9760" width="10.21875" style="26" customWidth="1"/>
    <col min="9761" max="9989" width="9" style="26"/>
    <col min="9990" max="9990" width="2" style="26" customWidth="1"/>
    <col min="9991" max="9991" width="25.77734375" style="26" customWidth="1"/>
    <col min="9992" max="10009" width="9.77734375" style="26" customWidth="1"/>
    <col min="10010" max="10011" width="12" style="26" customWidth="1"/>
    <col min="10012" max="10012" width="8.77734375" style="26" customWidth="1"/>
    <col min="10013" max="10013" width="9" style="26" customWidth="1"/>
    <col min="10014" max="10014" width="6" style="26" customWidth="1"/>
    <col min="10015" max="10015" width="7.5546875" style="26" customWidth="1"/>
    <col min="10016" max="10016" width="10.21875" style="26" customWidth="1"/>
    <col min="10017" max="10245" width="9" style="26"/>
    <col min="10246" max="10246" width="2" style="26" customWidth="1"/>
    <col min="10247" max="10247" width="25.77734375" style="26" customWidth="1"/>
    <col min="10248" max="10265" width="9.77734375" style="26" customWidth="1"/>
    <col min="10266" max="10267" width="12" style="26" customWidth="1"/>
    <col min="10268" max="10268" width="8.77734375" style="26" customWidth="1"/>
    <col min="10269" max="10269" width="9" style="26" customWidth="1"/>
    <col min="10270" max="10270" width="6" style="26" customWidth="1"/>
    <col min="10271" max="10271" width="7.5546875" style="26" customWidth="1"/>
    <col min="10272" max="10272" width="10.21875" style="26" customWidth="1"/>
    <col min="10273" max="10501" width="9" style="26"/>
    <col min="10502" max="10502" width="2" style="26" customWidth="1"/>
    <col min="10503" max="10503" width="25.77734375" style="26" customWidth="1"/>
    <col min="10504" max="10521" width="9.77734375" style="26" customWidth="1"/>
    <col min="10522" max="10523" width="12" style="26" customWidth="1"/>
    <col min="10524" max="10524" width="8.77734375" style="26" customWidth="1"/>
    <col min="10525" max="10525" width="9" style="26" customWidth="1"/>
    <col min="10526" max="10526" width="6" style="26" customWidth="1"/>
    <col min="10527" max="10527" width="7.5546875" style="26" customWidth="1"/>
    <col min="10528" max="10528" width="10.21875" style="26" customWidth="1"/>
    <col min="10529" max="10757" width="9" style="26"/>
    <col min="10758" max="10758" width="2" style="26" customWidth="1"/>
    <col min="10759" max="10759" width="25.77734375" style="26" customWidth="1"/>
    <col min="10760" max="10777" width="9.77734375" style="26" customWidth="1"/>
    <col min="10778" max="10779" width="12" style="26" customWidth="1"/>
    <col min="10780" max="10780" width="8.77734375" style="26" customWidth="1"/>
    <col min="10781" max="10781" width="9" style="26" customWidth="1"/>
    <col min="10782" max="10782" width="6" style="26" customWidth="1"/>
    <col min="10783" max="10783" width="7.5546875" style="26" customWidth="1"/>
    <col min="10784" max="10784" width="10.21875" style="26" customWidth="1"/>
    <col min="10785" max="11013" width="9" style="26"/>
    <col min="11014" max="11014" width="2" style="26" customWidth="1"/>
    <col min="11015" max="11015" width="25.77734375" style="26" customWidth="1"/>
    <col min="11016" max="11033" width="9.77734375" style="26" customWidth="1"/>
    <col min="11034" max="11035" width="12" style="26" customWidth="1"/>
    <col min="11036" max="11036" width="8.77734375" style="26" customWidth="1"/>
    <col min="11037" max="11037" width="9" style="26" customWidth="1"/>
    <col min="11038" max="11038" width="6" style="26" customWidth="1"/>
    <col min="11039" max="11039" width="7.5546875" style="26" customWidth="1"/>
    <col min="11040" max="11040" width="10.21875" style="26" customWidth="1"/>
    <col min="11041" max="11269" width="9" style="26"/>
    <col min="11270" max="11270" width="2" style="26" customWidth="1"/>
    <col min="11271" max="11271" width="25.77734375" style="26" customWidth="1"/>
    <col min="11272" max="11289" width="9.77734375" style="26" customWidth="1"/>
    <col min="11290" max="11291" width="12" style="26" customWidth="1"/>
    <col min="11292" max="11292" width="8.77734375" style="26" customWidth="1"/>
    <col min="11293" max="11293" width="9" style="26" customWidth="1"/>
    <col min="11294" max="11294" width="6" style="26" customWidth="1"/>
    <col min="11295" max="11295" width="7.5546875" style="26" customWidth="1"/>
    <col min="11296" max="11296" width="10.21875" style="26" customWidth="1"/>
    <col min="11297" max="11525" width="9" style="26"/>
    <col min="11526" max="11526" width="2" style="26" customWidth="1"/>
    <col min="11527" max="11527" width="25.77734375" style="26" customWidth="1"/>
    <col min="11528" max="11545" width="9.77734375" style="26" customWidth="1"/>
    <col min="11546" max="11547" width="12" style="26" customWidth="1"/>
    <col min="11548" max="11548" width="8.77734375" style="26" customWidth="1"/>
    <col min="11549" max="11549" width="9" style="26" customWidth="1"/>
    <col min="11550" max="11550" width="6" style="26" customWidth="1"/>
    <col min="11551" max="11551" width="7.5546875" style="26" customWidth="1"/>
    <col min="11552" max="11552" width="10.21875" style="26" customWidth="1"/>
    <col min="11553" max="11781" width="9" style="26"/>
    <col min="11782" max="11782" width="2" style="26" customWidth="1"/>
    <col min="11783" max="11783" width="25.77734375" style="26" customWidth="1"/>
    <col min="11784" max="11801" width="9.77734375" style="26" customWidth="1"/>
    <col min="11802" max="11803" width="12" style="26" customWidth="1"/>
    <col min="11804" max="11804" width="8.77734375" style="26" customWidth="1"/>
    <col min="11805" max="11805" width="9" style="26" customWidth="1"/>
    <col min="11806" max="11806" width="6" style="26" customWidth="1"/>
    <col min="11807" max="11807" width="7.5546875" style="26" customWidth="1"/>
    <col min="11808" max="11808" width="10.21875" style="26" customWidth="1"/>
    <col min="11809" max="12037" width="9" style="26"/>
    <col min="12038" max="12038" width="2" style="26" customWidth="1"/>
    <col min="12039" max="12039" width="25.77734375" style="26" customWidth="1"/>
    <col min="12040" max="12057" width="9.77734375" style="26" customWidth="1"/>
    <col min="12058" max="12059" width="12" style="26" customWidth="1"/>
    <col min="12060" max="12060" width="8.77734375" style="26" customWidth="1"/>
    <col min="12061" max="12061" width="9" style="26" customWidth="1"/>
    <col min="12062" max="12062" width="6" style="26" customWidth="1"/>
    <col min="12063" max="12063" width="7.5546875" style="26" customWidth="1"/>
    <col min="12064" max="12064" width="10.21875" style="26" customWidth="1"/>
    <col min="12065" max="12293" width="9" style="26"/>
    <col min="12294" max="12294" width="2" style="26" customWidth="1"/>
    <col min="12295" max="12295" width="25.77734375" style="26" customWidth="1"/>
    <col min="12296" max="12313" width="9.77734375" style="26" customWidth="1"/>
    <col min="12314" max="12315" width="12" style="26" customWidth="1"/>
    <col min="12316" max="12316" width="8.77734375" style="26" customWidth="1"/>
    <col min="12317" max="12317" width="9" style="26" customWidth="1"/>
    <col min="12318" max="12318" width="6" style="26" customWidth="1"/>
    <col min="12319" max="12319" width="7.5546875" style="26" customWidth="1"/>
    <col min="12320" max="12320" width="10.21875" style="26" customWidth="1"/>
    <col min="12321" max="12549" width="9" style="26"/>
    <col min="12550" max="12550" width="2" style="26" customWidth="1"/>
    <col min="12551" max="12551" width="25.77734375" style="26" customWidth="1"/>
    <col min="12552" max="12569" width="9.77734375" style="26" customWidth="1"/>
    <col min="12570" max="12571" width="12" style="26" customWidth="1"/>
    <col min="12572" max="12572" width="8.77734375" style="26" customWidth="1"/>
    <col min="12573" max="12573" width="9" style="26" customWidth="1"/>
    <col min="12574" max="12574" width="6" style="26" customWidth="1"/>
    <col min="12575" max="12575" width="7.5546875" style="26" customWidth="1"/>
    <col min="12576" max="12576" width="10.21875" style="26" customWidth="1"/>
    <col min="12577" max="12805" width="9" style="26"/>
    <col min="12806" max="12806" width="2" style="26" customWidth="1"/>
    <col min="12807" max="12807" width="25.77734375" style="26" customWidth="1"/>
    <col min="12808" max="12825" width="9.77734375" style="26" customWidth="1"/>
    <col min="12826" max="12827" width="12" style="26" customWidth="1"/>
    <col min="12828" max="12828" width="8.77734375" style="26" customWidth="1"/>
    <col min="12829" max="12829" width="9" style="26" customWidth="1"/>
    <col min="12830" max="12830" width="6" style="26" customWidth="1"/>
    <col min="12831" max="12831" width="7.5546875" style="26" customWidth="1"/>
    <col min="12832" max="12832" width="10.21875" style="26" customWidth="1"/>
    <col min="12833" max="13061" width="9" style="26"/>
    <col min="13062" max="13062" width="2" style="26" customWidth="1"/>
    <col min="13063" max="13063" width="25.77734375" style="26" customWidth="1"/>
    <col min="13064" max="13081" width="9.77734375" style="26" customWidth="1"/>
    <col min="13082" max="13083" width="12" style="26" customWidth="1"/>
    <col min="13084" max="13084" width="8.77734375" style="26" customWidth="1"/>
    <col min="13085" max="13085" width="9" style="26" customWidth="1"/>
    <col min="13086" max="13086" width="6" style="26" customWidth="1"/>
    <col min="13087" max="13087" width="7.5546875" style="26" customWidth="1"/>
    <col min="13088" max="13088" width="10.21875" style="26" customWidth="1"/>
    <col min="13089" max="13317" width="9" style="26"/>
    <col min="13318" max="13318" width="2" style="26" customWidth="1"/>
    <col min="13319" max="13319" width="25.77734375" style="26" customWidth="1"/>
    <col min="13320" max="13337" width="9.77734375" style="26" customWidth="1"/>
    <col min="13338" max="13339" width="12" style="26" customWidth="1"/>
    <col min="13340" max="13340" width="8.77734375" style="26" customWidth="1"/>
    <col min="13341" max="13341" width="9" style="26" customWidth="1"/>
    <col min="13342" max="13342" width="6" style="26" customWidth="1"/>
    <col min="13343" max="13343" width="7.5546875" style="26" customWidth="1"/>
    <col min="13344" max="13344" width="10.21875" style="26" customWidth="1"/>
    <col min="13345" max="13573" width="9" style="26"/>
    <col min="13574" max="13574" width="2" style="26" customWidth="1"/>
    <col min="13575" max="13575" width="25.77734375" style="26" customWidth="1"/>
    <col min="13576" max="13593" width="9.77734375" style="26" customWidth="1"/>
    <col min="13594" max="13595" width="12" style="26" customWidth="1"/>
    <col min="13596" max="13596" width="8.77734375" style="26" customWidth="1"/>
    <col min="13597" max="13597" width="9" style="26" customWidth="1"/>
    <col min="13598" max="13598" width="6" style="26" customWidth="1"/>
    <col min="13599" max="13599" width="7.5546875" style="26" customWidth="1"/>
    <col min="13600" max="13600" width="10.21875" style="26" customWidth="1"/>
    <col min="13601" max="13829" width="9" style="26"/>
    <col min="13830" max="13830" width="2" style="26" customWidth="1"/>
    <col min="13831" max="13831" width="25.77734375" style="26" customWidth="1"/>
    <col min="13832" max="13849" width="9.77734375" style="26" customWidth="1"/>
    <col min="13850" max="13851" width="12" style="26" customWidth="1"/>
    <col min="13852" max="13852" width="8.77734375" style="26" customWidth="1"/>
    <col min="13853" max="13853" width="9" style="26" customWidth="1"/>
    <col min="13854" max="13854" width="6" style="26" customWidth="1"/>
    <col min="13855" max="13855" width="7.5546875" style="26" customWidth="1"/>
    <col min="13856" max="13856" width="10.21875" style="26" customWidth="1"/>
    <col min="13857" max="14085" width="9" style="26"/>
    <col min="14086" max="14086" width="2" style="26" customWidth="1"/>
    <col min="14087" max="14087" width="25.77734375" style="26" customWidth="1"/>
    <col min="14088" max="14105" width="9.77734375" style="26" customWidth="1"/>
    <col min="14106" max="14107" width="12" style="26" customWidth="1"/>
    <col min="14108" max="14108" width="8.77734375" style="26" customWidth="1"/>
    <col min="14109" max="14109" width="9" style="26" customWidth="1"/>
    <col min="14110" max="14110" width="6" style="26" customWidth="1"/>
    <col min="14111" max="14111" width="7.5546875" style="26" customWidth="1"/>
    <col min="14112" max="14112" width="10.21875" style="26" customWidth="1"/>
    <col min="14113" max="14341" width="9" style="26"/>
    <col min="14342" max="14342" width="2" style="26" customWidth="1"/>
    <col min="14343" max="14343" width="25.77734375" style="26" customWidth="1"/>
    <col min="14344" max="14361" width="9.77734375" style="26" customWidth="1"/>
    <col min="14362" max="14363" width="12" style="26" customWidth="1"/>
    <col min="14364" max="14364" width="8.77734375" style="26" customWidth="1"/>
    <col min="14365" max="14365" width="9" style="26" customWidth="1"/>
    <col min="14366" max="14366" width="6" style="26" customWidth="1"/>
    <col min="14367" max="14367" width="7.5546875" style="26" customWidth="1"/>
    <col min="14368" max="14368" width="10.21875" style="26" customWidth="1"/>
    <col min="14369" max="14597" width="9" style="26"/>
    <col min="14598" max="14598" width="2" style="26" customWidth="1"/>
    <col min="14599" max="14599" width="25.77734375" style="26" customWidth="1"/>
    <col min="14600" max="14617" width="9.77734375" style="26" customWidth="1"/>
    <col min="14618" max="14619" width="12" style="26" customWidth="1"/>
    <col min="14620" max="14620" width="8.77734375" style="26" customWidth="1"/>
    <col min="14621" max="14621" width="9" style="26" customWidth="1"/>
    <col min="14622" max="14622" width="6" style="26" customWidth="1"/>
    <col min="14623" max="14623" width="7.5546875" style="26" customWidth="1"/>
    <col min="14624" max="14624" width="10.21875" style="26" customWidth="1"/>
    <col min="14625" max="14853" width="9" style="26"/>
    <col min="14854" max="14854" width="2" style="26" customWidth="1"/>
    <col min="14855" max="14855" width="25.77734375" style="26" customWidth="1"/>
    <col min="14856" max="14873" width="9.77734375" style="26" customWidth="1"/>
    <col min="14874" max="14875" width="12" style="26" customWidth="1"/>
    <col min="14876" max="14876" width="8.77734375" style="26" customWidth="1"/>
    <col min="14877" max="14877" width="9" style="26" customWidth="1"/>
    <col min="14878" max="14878" width="6" style="26" customWidth="1"/>
    <col min="14879" max="14879" width="7.5546875" style="26" customWidth="1"/>
    <col min="14880" max="14880" width="10.21875" style="26" customWidth="1"/>
    <col min="14881" max="15109" width="9" style="26"/>
    <col min="15110" max="15110" width="2" style="26" customWidth="1"/>
    <col min="15111" max="15111" width="25.77734375" style="26" customWidth="1"/>
    <col min="15112" max="15129" width="9.77734375" style="26" customWidth="1"/>
    <col min="15130" max="15131" width="12" style="26" customWidth="1"/>
    <col min="15132" max="15132" width="8.77734375" style="26" customWidth="1"/>
    <col min="15133" max="15133" width="9" style="26" customWidth="1"/>
    <col min="15134" max="15134" width="6" style="26" customWidth="1"/>
    <col min="15135" max="15135" width="7.5546875" style="26" customWidth="1"/>
    <col min="15136" max="15136" width="10.21875" style="26" customWidth="1"/>
    <col min="15137" max="15365" width="9" style="26"/>
    <col min="15366" max="15366" width="2" style="26" customWidth="1"/>
    <col min="15367" max="15367" width="25.77734375" style="26" customWidth="1"/>
    <col min="15368" max="15385" width="9.77734375" style="26" customWidth="1"/>
    <col min="15386" max="15387" width="12" style="26" customWidth="1"/>
    <col min="15388" max="15388" width="8.77734375" style="26" customWidth="1"/>
    <col min="15389" max="15389" width="9" style="26" customWidth="1"/>
    <col min="15390" max="15390" width="6" style="26" customWidth="1"/>
    <col min="15391" max="15391" width="7.5546875" style="26" customWidth="1"/>
    <col min="15392" max="15392" width="10.21875" style="26" customWidth="1"/>
    <col min="15393" max="15621" width="9" style="26"/>
    <col min="15622" max="15622" width="2" style="26" customWidth="1"/>
    <col min="15623" max="15623" width="25.77734375" style="26" customWidth="1"/>
    <col min="15624" max="15641" width="9.77734375" style="26" customWidth="1"/>
    <col min="15642" max="15643" width="12" style="26" customWidth="1"/>
    <col min="15644" max="15644" width="8.77734375" style="26" customWidth="1"/>
    <col min="15645" max="15645" width="9" style="26" customWidth="1"/>
    <col min="15646" max="15646" width="6" style="26" customWidth="1"/>
    <col min="15647" max="15647" width="7.5546875" style="26" customWidth="1"/>
    <col min="15648" max="15648" width="10.21875" style="26" customWidth="1"/>
    <col min="15649" max="15877" width="9" style="26"/>
    <col min="15878" max="15878" width="2" style="26" customWidth="1"/>
    <col min="15879" max="15879" width="25.77734375" style="26" customWidth="1"/>
    <col min="15880" max="15897" width="9.77734375" style="26" customWidth="1"/>
    <col min="15898" max="15899" width="12" style="26" customWidth="1"/>
    <col min="15900" max="15900" width="8.77734375" style="26" customWidth="1"/>
    <col min="15901" max="15901" width="9" style="26" customWidth="1"/>
    <col min="15902" max="15902" width="6" style="26" customWidth="1"/>
    <col min="15903" max="15903" width="7.5546875" style="26" customWidth="1"/>
    <col min="15904" max="15904" width="10.21875" style="26" customWidth="1"/>
    <col min="15905" max="16133" width="9" style="26"/>
    <col min="16134" max="16134" width="2" style="26" customWidth="1"/>
    <col min="16135" max="16135" width="25.77734375" style="26" customWidth="1"/>
    <col min="16136" max="16153" width="9.77734375" style="26" customWidth="1"/>
    <col min="16154" max="16155" width="12" style="26" customWidth="1"/>
    <col min="16156" max="16156" width="8.77734375" style="26" customWidth="1"/>
    <col min="16157" max="16157" width="9" style="26" customWidth="1"/>
    <col min="16158" max="16158" width="6" style="26" customWidth="1"/>
    <col min="16159" max="16159" width="7.5546875" style="26" customWidth="1"/>
    <col min="16160" max="16160" width="10.21875" style="26" customWidth="1"/>
    <col min="16161" max="16384" width="9" style="26"/>
  </cols>
  <sheetData>
    <row r="1" spans="1:47" ht="21" x14ac:dyDescent="0.4">
      <c r="A1" s="378" t="s">
        <v>14</v>
      </c>
    </row>
    <row r="2" spans="1:47" ht="14.4" x14ac:dyDescent="0.3">
      <c r="B2" s="32" t="s">
        <v>15</v>
      </c>
      <c r="C2" s="33" t="s">
        <v>16</v>
      </c>
      <c r="S2" s="294"/>
      <c r="T2" s="295"/>
    </row>
    <row r="3" spans="1:47" s="32" customFormat="1" ht="14.4" x14ac:dyDescent="0.3">
      <c r="B3" s="32" t="s">
        <v>17</v>
      </c>
      <c r="C3" s="596">
        <v>45992</v>
      </c>
      <c r="D3" s="31"/>
      <c r="S3" s="294"/>
      <c r="T3" s="295"/>
    </row>
    <row r="4" spans="1:47" s="32" customFormat="1" ht="9.75" customHeight="1" x14ac:dyDescent="0.3">
      <c r="C4" s="33"/>
      <c r="D4" s="33"/>
      <c r="S4" s="294"/>
      <c r="T4" s="296"/>
    </row>
    <row r="5" spans="1:47" ht="14.4" x14ac:dyDescent="0.3">
      <c r="A5" s="379" t="s">
        <v>18</v>
      </c>
      <c r="B5" s="304" t="s">
        <v>19</v>
      </c>
      <c r="Y5" s="161"/>
      <c r="Z5" s="161"/>
      <c r="AA5" s="161"/>
      <c r="AB5" s="32"/>
      <c r="AC5" s="32"/>
    </row>
    <row r="6" spans="1:47" ht="14.25" customHeight="1" x14ac:dyDescent="0.3">
      <c r="A6" s="304"/>
      <c r="B6" s="304" t="s">
        <v>20</v>
      </c>
      <c r="AB6" s="32"/>
      <c r="AC6" s="32"/>
    </row>
    <row r="7" spans="1:47" ht="13.5" customHeight="1" x14ac:dyDescent="0.3">
      <c r="A7" s="304"/>
      <c r="B7" s="304" t="s">
        <v>21</v>
      </c>
      <c r="AB7" s="32"/>
      <c r="AC7" s="32"/>
      <c r="AD7" s="39"/>
      <c r="AE7" s="39"/>
    </row>
    <row r="8" spans="1:47" ht="11.25" customHeight="1" x14ac:dyDescent="0.35">
      <c r="B8" s="27"/>
      <c r="C8" s="34"/>
      <c r="N8" s="39"/>
      <c r="O8" s="39"/>
      <c r="P8" s="39"/>
      <c r="Q8" s="39"/>
      <c r="R8" s="39"/>
      <c r="S8" s="39"/>
      <c r="T8" s="39"/>
      <c r="U8" s="39"/>
      <c r="V8" s="39"/>
      <c r="W8" s="39"/>
      <c r="X8" s="39"/>
      <c r="Y8" s="39"/>
      <c r="Z8" s="39"/>
      <c r="AA8" s="39"/>
      <c r="AB8" s="32"/>
      <c r="AC8" s="32"/>
      <c r="AE8" s="161"/>
    </row>
    <row r="9" spans="1:47" ht="18.75" customHeight="1" x14ac:dyDescent="0.35">
      <c r="B9" s="27" t="s">
        <v>22</v>
      </c>
      <c r="C9" s="27"/>
      <c r="O9" s="68"/>
      <c r="P9" s="161"/>
      <c r="Y9" s="39"/>
      <c r="Z9" s="39"/>
      <c r="AA9" s="161"/>
      <c r="AB9" s="32"/>
      <c r="AC9" s="32"/>
      <c r="AE9" s="487"/>
    </row>
    <row r="10" spans="1:47" ht="15" thickBot="1" x14ac:dyDescent="0.35">
      <c r="U10" s="68"/>
      <c r="AB10" s="32"/>
      <c r="AC10" s="32"/>
      <c r="AE10" s="487"/>
    </row>
    <row r="11" spans="1:47" ht="15.6" thickBot="1" x14ac:dyDescent="0.35">
      <c r="B11" s="1233"/>
      <c r="C11" s="1237" t="s">
        <v>23</v>
      </c>
      <c r="D11" s="1238"/>
      <c r="E11" s="1238"/>
      <c r="F11" s="1238"/>
      <c r="G11" s="1238"/>
      <c r="H11" s="1239"/>
      <c r="I11" s="1240" t="s">
        <v>24</v>
      </c>
      <c r="J11" s="1241"/>
      <c r="K11" s="1241"/>
      <c r="L11" s="1241"/>
      <c r="M11" s="1241"/>
      <c r="N11" s="1241"/>
      <c r="O11" s="1241"/>
      <c r="P11" s="1241"/>
      <c r="Q11" s="1241"/>
      <c r="R11" s="1241"/>
      <c r="S11" s="1241"/>
      <c r="T11" s="1241"/>
      <c r="U11" s="1241"/>
      <c r="V11" s="1241"/>
      <c r="W11" s="1241"/>
      <c r="X11" s="1241"/>
      <c r="Y11" s="1241"/>
      <c r="Z11" s="1241"/>
      <c r="AA11" s="1242"/>
      <c r="AB11" s="32"/>
      <c r="AC11" s="32"/>
      <c r="AE11" s="492"/>
    </row>
    <row r="12" spans="1:47" ht="15" thickBot="1" x14ac:dyDescent="0.35">
      <c r="B12" s="1233"/>
      <c r="C12" s="762">
        <v>1990</v>
      </c>
      <c r="D12" s="762">
        <v>2000</v>
      </c>
      <c r="E12" s="762">
        <v>2001</v>
      </c>
      <c r="F12" s="762">
        <v>2002</v>
      </c>
      <c r="G12" s="762">
        <v>2003</v>
      </c>
      <c r="H12" s="762">
        <v>2004</v>
      </c>
      <c r="I12" s="762">
        <v>2005</v>
      </c>
      <c r="J12" s="762">
        <v>2006</v>
      </c>
      <c r="K12" s="762">
        <v>2007</v>
      </c>
      <c r="L12" s="762">
        <v>2008</v>
      </c>
      <c r="M12" s="763">
        <v>2009</v>
      </c>
      <c r="N12" s="559">
        <v>2010</v>
      </c>
      <c r="O12" s="559">
        <v>2011</v>
      </c>
      <c r="P12" s="559">
        <v>2012</v>
      </c>
      <c r="Q12" s="559">
        <v>2013</v>
      </c>
      <c r="R12" s="559">
        <v>2014</v>
      </c>
      <c r="S12" s="559">
        <v>2015</v>
      </c>
      <c r="T12" s="559">
        <v>2016</v>
      </c>
      <c r="U12" s="559">
        <v>2017</v>
      </c>
      <c r="V12" s="559">
        <v>2018</v>
      </c>
      <c r="W12" s="559">
        <v>2019</v>
      </c>
      <c r="X12" s="559">
        <v>2020</v>
      </c>
      <c r="Y12" s="560">
        <v>2021</v>
      </c>
      <c r="Z12" s="560">
        <v>2022</v>
      </c>
      <c r="AA12" s="764">
        <v>2023</v>
      </c>
      <c r="AB12" s="32"/>
      <c r="AC12" s="32"/>
      <c r="AD12" s="226"/>
    </row>
    <row r="13" spans="1:47" ht="14.4" x14ac:dyDescent="0.3">
      <c r="B13" s="297" t="s">
        <v>25</v>
      </c>
      <c r="C13" s="574" t="s">
        <v>26</v>
      </c>
      <c r="D13" s="575" t="s">
        <v>27</v>
      </c>
      <c r="E13" s="575" t="s">
        <v>27</v>
      </c>
      <c r="F13" s="575" t="s">
        <v>26</v>
      </c>
      <c r="G13" s="575" t="s">
        <v>27</v>
      </c>
      <c r="H13" s="575" t="s">
        <v>27</v>
      </c>
      <c r="I13" s="576" t="s">
        <v>27</v>
      </c>
      <c r="J13" s="575" t="s">
        <v>27</v>
      </c>
      <c r="K13" s="575" t="s">
        <v>27</v>
      </c>
      <c r="L13" s="575" t="s">
        <v>27</v>
      </c>
      <c r="M13" s="575" t="s">
        <v>27</v>
      </c>
      <c r="N13" s="575" t="s">
        <v>27</v>
      </c>
      <c r="O13" s="577" t="s">
        <v>27</v>
      </c>
      <c r="P13" s="577" t="s">
        <v>27</v>
      </c>
      <c r="Q13" s="577" t="s">
        <v>27</v>
      </c>
      <c r="R13" s="577" t="s">
        <v>27</v>
      </c>
      <c r="S13" s="577" t="s">
        <v>27</v>
      </c>
      <c r="T13" s="577" t="s">
        <v>27</v>
      </c>
      <c r="U13" s="577" t="s">
        <v>27</v>
      </c>
      <c r="V13" s="577" t="s">
        <v>27</v>
      </c>
      <c r="W13" s="577" t="s">
        <v>27</v>
      </c>
      <c r="X13" s="577" t="s">
        <v>27</v>
      </c>
      <c r="Y13" s="577" t="s">
        <v>27</v>
      </c>
      <c r="Z13" s="577" t="s">
        <v>27</v>
      </c>
      <c r="AA13" s="723" t="s">
        <v>28</v>
      </c>
      <c r="AB13" s="32"/>
      <c r="AC13" s="32"/>
      <c r="AD13" s="226"/>
    </row>
    <row r="14" spans="1:47" ht="14.4" x14ac:dyDescent="0.3">
      <c r="B14" s="37" t="s">
        <v>29</v>
      </c>
      <c r="C14" s="578"/>
      <c r="D14" s="38">
        <v>10.127454999999999</v>
      </c>
      <c r="E14" s="38">
        <v>11.956178905651292</v>
      </c>
      <c r="F14" s="38">
        <f>(G14-E14)/2+E14</f>
        <v>11.098927377825646</v>
      </c>
      <c r="G14" s="38">
        <v>10.24167585</v>
      </c>
      <c r="H14" s="38">
        <v>9.8750504019999994</v>
      </c>
      <c r="I14" s="724">
        <v>9.7485891390705728</v>
      </c>
      <c r="J14" s="38">
        <v>9.4352267256146298</v>
      </c>
      <c r="K14" s="38">
        <v>9.2457915513689901</v>
      </c>
      <c r="L14" s="38">
        <v>8.9878254294659996</v>
      </c>
      <c r="M14" s="38">
        <v>8.3232087073871313</v>
      </c>
      <c r="N14" s="38">
        <v>8.2791128159960312</v>
      </c>
      <c r="O14" s="38">
        <v>7.7439758278332</v>
      </c>
      <c r="P14" s="38">
        <v>7.7059245059067587</v>
      </c>
      <c r="Q14" s="38">
        <v>7.5744057988858007</v>
      </c>
      <c r="R14" s="38">
        <v>7.4133159351279998</v>
      </c>
      <c r="S14" s="38">
        <v>7.4767255945953064</v>
      </c>
      <c r="T14" s="38">
        <v>7.4269157710030687</v>
      </c>
      <c r="U14" s="38">
        <v>7.7069847529556306</v>
      </c>
      <c r="V14" s="38">
        <v>7.2772941934097357</v>
      </c>
      <c r="W14" s="38">
        <v>7.4796485195654032</v>
      </c>
      <c r="X14" s="38">
        <v>7.8744009625044882</v>
      </c>
      <c r="Y14" s="38">
        <v>6.8366470997797952</v>
      </c>
      <c r="Z14" s="38">
        <v>6.3431924052698001</v>
      </c>
      <c r="AA14" s="742">
        <f>'Borough GHG'!D45</f>
        <v>6.1728838576789107</v>
      </c>
      <c r="AB14" s="32"/>
      <c r="AC14" s="661"/>
      <c r="AD14" s="661"/>
      <c r="AE14" s="662"/>
      <c r="AF14" s="662"/>
      <c r="AG14" s="663"/>
      <c r="AH14" s="662"/>
      <c r="AI14" s="661"/>
      <c r="AJ14" s="661"/>
      <c r="AK14" s="661"/>
      <c r="AL14" s="661"/>
      <c r="AM14" s="662"/>
      <c r="AN14" s="663"/>
      <c r="AO14" s="661"/>
      <c r="AP14" s="661"/>
      <c r="AQ14" s="661"/>
      <c r="AR14" s="661"/>
      <c r="AS14" s="661"/>
      <c r="AT14" s="661"/>
      <c r="AU14" s="663"/>
    </row>
    <row r="15" spans="1:47" ht="14.4" x14ac:dyDescent="0.3">
      <c r="B15" s="37" t="s">
        <v>30</v>
      </c>
      <c r="C15" s="578"/>
      <c r="D15" s="38">
        <v>7.3582039708144755</v>
      </c>
      <c r="E15" s="38">
        <v>5.6548757727995298</v>
      </c>
      <c r="F15" s="38">
        <f>(G15-E15)/2+E15</f>
        <v>6.6664224793614615</v>
      </c>
      <c r="G15" s="38">
        <v>7.6779691859233923</v>
      </c>
      <c r="H15" s="38">
        <v>6.9152815520000033</v>
      </c>
      <c r="I15" s="724">
        <v>6.9868967746339257</v>
      </c>
      <c r="J15" s="38">
        <v>7.3251570852569285</v>
      </c>
      <c r="K15" s="38">
        <v>7.3401401859853266</v>
      </c>
      <c r="L15" s="38">
        <v>7.0320899195845916</v>
      </c>
      <c r="M15" s="38">
        <v>6.5608747915853165</v>
      </c>
      <c r="N15" s="38">
        <v>6.68522190463118</v>
      </c>
      <c r="O15" s="38">
        <v>6.4672220470550661</v>
      </c>
      <c r="P15" s="38">
        <v>7.1352388636981194</v>
      </c>
      <c r="Q15" s="38">
        <v>6.5554592958289746</v>
      </c>
      <c r="R15" s="38">
        <v>5.9428539890180012</v>
      </c>
      <c r="S15" s="38">
        <v>5.0173674610123866</v>
      </c>
      <c r="T15" s="38">
        <v>3.9771513053815966</v>
      </c>
      <c r="U15" s="38">
        <v>3.5502057947308159</v>
      </c>
      <c r="V15" s="38">
        <v>3.1930875416840028</v>
      </c>
      <c r="W15" s="38">
        <v>2.9013182157796518</v>
      </c>
      <c r="X15" s="38">
        <v>2.7723643557677295</v>
      </c>
      <c r="Y15" s="38">
        <v>2.7930256550044783</v>
      </c>
      <c r="Z15" s="38">
        <v>2.6329803651623944</v>
      </c>
      <c r="AA15" s="742">
        <f>'Borough GHG'!C45</f>
        <v>2.3269511832391832</v>
      </c>
      <c r="AB15" s="32"/>
      <c r="AC15" s="662"/>
      <c r="AD15" s="39"/>
      <c r="AE15" s="39"/>
      <c r="AF15" s="39"/>
      <c r="AG15" s="39"/>
      <c r="AH15" s="39"/>
      <c r="AI15" s="39"/>
      <c r="AJ15" s="39"/>
      <c r="AK15" s="39"/>
      <c r="AL15" s="39"/>
      <c r="AM15" s="39"/>
      <c r="AN15" s="39"/>
      <c r="AO15" s="39"/>
      <c r="AP15" s="39"/>
      <c r="AQ15" s="39"/>
      <c r="AR15" s="39"/>
      <c r="AS15" s="39"/>
      <c r="AT15" s="39"/>
      <c r="AU15" s="39"/>
    </row>
    <row r="16" spans="1:47" ht="14.4" x14ac:dyDescent="0.3">
      <c r="B16" s="40" t="s">
        <v>31</v>
      </c>
      <c r="C16" s="578"/>
      <c r="D16" s="38">
        <v>5.100448170410208E-2</v>
      </c>
      <c r="E16" s="38">
        <v>0.18048776101537697</v>
      </c>
      <c r="F16" s="38">
        <v>0.18472397745782582</v>
      </c>
      <c r="G16" s="38">
        <v>0.18896019390027463</v>
      </c>
      <c r="H16" s="38">
        <v>5.8374533438320012E-2</v>
      </c>
      <c r="I16" s="725"/>
      <c r="J16" s="726"/>
      <c r="K16" s="726"/>
      <c r="L16" s="726"/>
      <c r="M16" s="726"/>
      <c r="N16" s="726"/>
      <c r="O16" s="726"/>
      <c r="P16" s="726"/>
      <c r="Q16" s="726"/>
      <c r="R16" s="726"/>
      <c r="S16" s="726"/>
      <c r="T16" s="726"/>
      <c r="U16" s="726"/>
      <c r="V16" s="726"/>
      <c r="W16" s="726"/>
      <c r="X16" s="726"/>
      <c r="Y16" s="726"/>
      <c r="Z16" s="726"/>
      <c r="AA16" s="760"/>
      <c r="AB16" s="32"/>
      <c r="AC16" s="662"/>
      <c r="AD16" s="312"/>
      <c r="AE16" s="487"/>
      <c r="AN16" s="39"/>
      <c r="AO16" s="39"/>
      <c r="AQ16" s="39"/>
      <c r="AR16" s="56"/>
    </row>
    <row r="17" spans="2:56" ht="14.4" x14ac:dyDescent="0.3">
      <c r="B17" s="40" t="s">
        <v>32</v>
      </c>
      <c r="C17" s="578"/>
      <c r="D17" s="726"/>
      <c r="E17" s="726"/>
      <c r="F17" s="726"/>
      <c r="G17" s="726"/>
      <c r="H17" s="726"/>
      <c r="I17" s="724">
        <v>0.18711598861216697</v>
      </c>
      <c r="J17" s="38">
        <v>0.16413617576310349</v>
      </c>
      <c r="K17" s="314">
        <v>0.16746045329056761</v>
      </c>
      <c r="L17" s="314">
        <v>0.18111402176609176</v>
      </c>
      <c r="M17" s="314">
        <v>0.15963574598017496</v>
      </c>
      <c r="N17" s="38">
        <v>0.16804198959468677</v>
      </c>
      <c r="O17" s="38">
        <v>0.16165086151800587</v>
      </c>
      <c r="P17" s="38">
        <v>0.15752373669811504</v>
      </c>
      <c r="Q17" s="38">
        <v>0.15902949205801353</v>
      </c>
      <c r="R17" s="38">
        <v>0.13945714857918606</v>
      </c>
      <c r="S17" s="38">
        <v>0.13975659396986612</v>
      </c>
      <c r="T17" s="38">
        <v>0.13746934234806488</v>
      </c>
      <c r="U17" s="38">
        <v>0.14041027080236812</v>
      </c>
      <c r="V17" s="38">
        <v>0.13982902198347444</v>
      </c>
      <c r="W17" s="38">
        <v>0.13249522376219156</v>
      </c>
      <c r="X17" s="38">
        <v>0.12600475210910161</v>
      </c>
      <c r="Y17" s="38">
        <v>0.12547700258038225</v>
      </c>
      <c r="Z17" s="38">
        <v>0.12994336412900562</v>
      </c>
      <c r="AA17" s="742">
        <f>'Borough GHG'!E45</f>
        <v>8.4403921176574068E-2</v>
      </c>
      <c r="AB17" s="32"/>
      <c r="AC17" s="663"/>
      <c r="AD17" s="39"/>
      <c r="AE17" s="487"/>
      <c r="AF17" s="350"/>
    </row>
    <row r="18" spans="2:56" ht="14.4" x14ac:dyDescent="0.3">
      <c r="B18" s="40" t="s">
        <v>33</v>
      </c>
      <c r="C18" s="578"/>
      <c r="D18" s="726"/>
      <c r="E18" s="726"/>
      <c r="F18" s="726"/>
      <c r="G18" s="726"/>
      <c r="H18" s="726"/>
      <c r="I18" s="724">
        <v>5.4958266521379494E-2</v>
      </c>
      <c r="J18" s="38">
        <v>5.6480194430416575E-2</v>
      </c>
      <c r="K18" s="38">
        <v>5.3064366966340863E-2</v>
      </c>
      <c r="L18" s="38">
        <v>5.3785184840761953E-2</v>
      </c>
      <c r="M18" s="38">
        <v>5.0996633778966294E-2</v>
      </c>
      <c r="N18" s="38">
        <v>5.5636306756711315E-2</v>
      </c>
      <c r="O18" s="38">
        <v>4.9758702743243163E-2</v>
      </c>
      <c r="P18" s="38">
        <v>5.0340639294744041E-2</v>
      </c>
      <c r="Q18" s="38">
        <v>5.188319920760763E-2</v>
      </c>
      <c r="R18" s="38">
        <v>5.0142715237242612E-2</v>
      </c>
      <c r="S18" s="38">
        <v>4.9826370547509803E-2</v>
      </c>
      <c r="T18" s="38">
        <v>5.0816983035718973E-2</v>
      </c>
      <c r="U18" s="38">
        <v>4.9457978389904504E-2</v>
      </c>
      <c r="V18" s="38">
        <v>5.0176146465065588E-2</v>
      </c>
      <c r="W18" s="38">
        <v>5.0158862945477743E-2</v>
      </c>
      <c r="X18" s="38">
        <v>5.0002387116488738E-2</v>
      </c>
      <c r="Y18" s="38">
        <v>4.8960191496521768E-2</v>
      </c>
      <c r="Z18" s="38">
        <v>4.3843762070634992E-2</v>
      </c>
      <c r="AA18" s="742">
        <f>'Borough GHG'!F45</f>
        <v>4.5903075617407127E-2</v>
      </c>
      <c r="AB18" s="32"/>
      <c r="AC18" s="662"/>
      <c r="AE18" s="39"/>
    </row>
    <row r="19" spans="2:56" ht="14.4" x14ac:dyDescent="0.3">
      <c r="B19" s="40" t="s">
        <v>34</v>
      </c>
      <c r="C19" s="578"/>
      <c r="D19" s="726"/>
      <c r="E19" s="726"/>
      <c r="F19" s="726"/>
      <c r="G19" s="726"/>
      <c r="H19" s="726"/>
      <c r="I19" s="724">
        <v>7.8427206971815447E-2</v>
      </c>
      <c r="J19" s="38">
        <v>8.2393385275915734E-2</v>
      </c>
      <c r="K19" s="38">
        <v>7.5424465449890371E-2</v>
      </c>
      <c r="L19" s="38">
        <v>6.6665507309904351E-2</v>
      </c>
      <c r="M19" s="38">
        <v>6.7579520000045606E-2</v>
      </c>
      <c r="N19" s="38">
        <v>7.5387486567156645E-2</v>
      </c>
      <c r="O19" s="38">
        <v>7.2079415296102387E-2</v>
      </c>
      <c r="P19" s="38">
        <v>7.8276718713649662E-2</v>
      </c>
      <c r="Q19" s="38">
        <v>8.3148746467116619E-2</v>
      </c>
      <c r="R19" s="38">
        <v>8.0762740748228701E-2</v>
      </c>
      <c r="S19" s="38">
        <v>8.7994507231101457E-2</v>
      </c>
      <c r="T19" s="38">
        <v>9.2638414098314872E-2</v>
      </c>
      <c r="U19" s="38">
        <v>9.3853341375755753E-2</v>
      </c>
      <c r="V19" s="38">
        <v>0.10022509946925554</v>
      </c>
      <c r="W19" s="38">
        <v>0.10397579623369588</v>
      </c>
      <c r="X19" s="38">
        <v>0.106139858139901</v>
      </c>
      <c r="Y19" s="38">
        <v>0.11066572894828197</v>
      </c>
      <c r="Z19" s="38">
        <v>0.10786467562461523</v>
      </c>
      <c r="AA19" s="742">
        <f>'Borough GHG'!G45</f>
        <v>0.11313979331810628</v>
      </c>
      <c r="AB19" s="32"/>
      <c r="AC19" s="661"/>
      <c r="AE19" s="39"/>
      <c r="AJ19" s="39"/>
      <c r="AN19" s="39"/>
      <c r="AO19" s="39"/>
    </row>
    <row r="20" spans="2:56" ht="14.4" x14ac:dyDescent="0.3">
      <c r="B20" s="41" t="s">
        <v>35</v>
      </c>
      <c r="C20" s="579">
        <v>15.84</v>
      </c>
      <c r="D20" s="42">
        <f t="shared" ref="D20:J20" si="0">SUM(D14:D19)</f>
        <v>17.536663452518578</v>
      </c>
      <c r="E20" s="42">
        <f t="shared" si="0"/>
        <v>17.791542439466198</v>
      </c>
      <c r="F20" s="42">
        <f t="shared" si="0"/>
        <v>17.950073834644932</v>
      </c>
      <c r="G20" s="42">
        <f t="shared" si="0"/>
        <v>18.108605229823667</v>
      </c>
      <c r="H20" s="42">
        <f t="shared" si="0"/>
        <v>16.848706487438324</v>
      </c>
      <c r="I20" s="727">
        <f t="shared" si="0"/>
        <v>17.05598737580986</v>
      </c>
      <c r="J20" s="42">
        <f t="shared" si="0"/>
        <v>17.063393566340995</v>
      </c>
      <c r="K20" s="42">
        <f t="shared" ref="K20:X20" si="1">SUM(K14:K19)</f>
        <v>16.881881023061112</v>
      </c>
      <c r="L20" s="42">
        <f t="shared" si="1"/>
        <v>16.32148006296735</v>
      </c>
      <c r="M20" s="42">
        <f t="shared" si="1"/>
        <v>15.162295398731635</v>
      </c>
      <c r="N20" s="42">
        <f t="shared" si="1"/>
        <v>15.263400503545766</v>
      </c>
      <c r="O20" s="42">
        <f t="shared" si="1"/>
        <v>14.494686854445618</v>
      </c>
      <c r="P20" s="42">
        <f t="shared" si="1"/>
        <v>15.127304464311386</v>
      </c>
      <c r="Q20" s="42">
        <f t="shared" si="1"/>
        <v>14.423926532447513</v>
      </c>
      <c r="R20" s="42">
        <f t="shared" si="1"/>
        <v>13.62653252871066</v>
      </c>
      <c r="S20" s="42">
        <f t="shared" si="1"/>
        <v>12.77167052735617</v>
      </c>
      <c r="T20" s="42">
        <f t="shared" si="1"/>
        <v>11.684991815866766</v>
      </c>
      <c r="U20" s="42">
        <f t="shared" si="1"/>
        <v>11.540912138254475</v>
      </c>
      <c r="V20" s="42">
        <f t="shared" si="1"/>
        <v>10.760612003011536</v>
      </c>
      <c r="W20" s="42">
        <f t="shared" si="1"/>
        <v>10.667596618286421</v>
      </c>
      <c r="X20" s="42">
        <f t="shared" si="1"/>
        <v>10.92891231563771</v>
      </c>
      <c r="Y20" s="42">
        <f>SUM(Y14:Y19)</f>
        <v>9.9147756778094589</v>
      </c>
      <c r="Z20" s="42">
        <f>SUM(Z14:Z19)</f>
        <v>9.2578245722564496</v>
      </c>
      <c r="AA20" s="743">
        <f>SUM(AA14:AA19)</f>
        <v>8.7432818310301794</v>
      </c>
      <c r="AB20" s="32"/>
      <c r="AC20" s="661"/>
      <c r="AD20" s="383"/>
      <c r="AE20" s="404"/>
      <c r="AF20" s="460"/>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row>
    <row r="21" spans="2:56" ht="14.4" x14ac:dyDescent="0.3">
      <c r="B21" s="37" t="s">
        <v>36</v>
      </c>
      <c r="C21" s="578"/>
      <c r="D21" s="726"/>
      <c r="E21" s="44">
        <f t="shared" ref="E21:X21" si="2">(E20-$D$20)/$D$20</f>
        <v>1.4534063884941297E-2</v>
      </c>
      <c r="F21" s="44">
        <f t="shared" si="2"/>
        <v>2.3574061465322885E-2</v>
      </c>
      <c r="G21" s="44">
        <f t="shared" si="2"/>
        <v>3.2614059045704469E-2</v>
      </c>
      <c r="H21" s="44">
        <f t="shared" si="2"/>
        <v>-3.9229638348419742E-2</v>
      </c>
      <c r="I21" s="728">
        <f t="shared" si="2"/>
        <v>-2.7409779403600558E-2</v>
      </c>
      <c r="J21" s="44">
        <f t="shared" si="2"/>
        <v>-2.6987453312255532E-2</v>
      </c>
      <c r="K21" s="44">
        <f t="shared" si="2"/>
        <v>-3.7337913864306245E-2</v>
      </c>
      <c r="L21" s="44">
        <f t="shared" si="2"/>
        <v>-6.9293876388823908E-2</v>
      </c>
      <c r="M21" s="44">
        <f t="shared" si="2"/>
        <v>-0.13539451562240831</v>
      </c>
      <c r="N21" s="765">
        <f t="shared" si="2"/>
        <v>-0.12962915979586362</v>
      </c>
      <c r="O21" s="44">
        <f t="shared" si="2"/>
        <v>-0.17346381803524191</v>
      </c>
      <c r="P21" s="44">
        <f t="shared" si="2"/>
        <v>-0.13738981732361208</v>
      </c>
      <c r="Q21" s="44">
        <f t="shared" si="2"/>
        <v>-0.17749881147568125</v>
      </c>
      <c r="R21" s="44">
        <f t="shared" si="2"/>
        <v>-0.22296892076390695</v>
      </c>
      <c r="S21" s="44">
        <f t="shared" si="2"/>
        <v>-0.27171605009492672</v>
      </c>
      <c r="T21" s="44">
        <f t="shared" si="2"/>
        <v>-0.33368215410505625</v>
      </c>
      <c r="U21" s="44">
        <f t="shared" si="2"/>
        <v>-0.34189806575794246</v>
      </c>
      <c r="V21" s="44">
        <f t="shared" si="2"/>
        <v>-0.38639342471579907</v>
      </c>
      <c r="W21" s="44">
        <f t="shared" si="2"/>
        <v>-0.39169747727841792</v>
      </c>
      <c r="X21" s="44">
        <f t="shared" si="2"/>
        <v>-0.37679637034557317</v>
      </c>
      <c r="Y21" s="591">
        <f>(Y20-$D$20)/$D$20</f>
        <v>-0.4346258793952324</v>
      </c>
      <c r="Z21" s="591">
        <f>(Z20-$D$20)/$D$20</f>
        <v>-0.47208745852239864</v>
      </c>
      <c r="AA21" s="744">
        <f>(AA20-$D$20)/$D$20</f>
        <v>-0.50142842994603465</v>
      </c>
      <c r="AB21" s="32"/>
      <c r="AC21" s="661"/>
      <c r="AE21" s="39"/>
    </row>
    <row r="22" spans="2:56" ht="14.4" x14ac:dyDescent="0.3">
      <c r="B22" s="766" t="s">
        <v>37</v>
      </c>
      <c r="C22" s="767" t="s">
        <v>26</v>
      </c>
      <c r="D22" s="768" t="s">
        <v>27</v>
      </c>
      <c r="E22" s="768" t="s">
        <v>27</v>
      </c>
      <c r="F22" s="768" t="s">
        <v>26</v>
      </c>
      <c r="G22" s="768" t="s">
        <v>27</v>
      </c>
      <c r="H22" s="768" t="s">
        <v>27</v>
      </c>
      <c r="I22" s="769" t="s">
        <v>27</v>
      </c>
      <c r="J22" s="768" t="s">
        <v>27</v>
      </c>
      <c r="K22" s="768" t="s">
        <v>27</v>
      </c>
      <c r="L22" s="768" t="s">
        <v>27</v>
      </c>
      <c r="M22" s="768" t="s">
        <v>27</v>
      </c>
      <c r="N22" s="770" t="s">
        <v>27</v>
      </c>
      <c r="O22" s="768" t="s">
        <v>27</v>
      </c>
      <c r="P22" s="768" t="s">
        <v>27</v>
      </c>
      <c r="Q22" s="768" t="s">
        <v>27</v>
      </c>
      <c r="R22" s="768" t="s">
        <v>27</v>
      </c>
      <c r="S22" s="768" t="s">
        <v>27</v>
      </c>
      <c r="T22" s="768" t="s">
        <v>27</v>
      </c>
      <c r="U22" s="771" t="s">
        <v>27</v>
      </c>
      <c r="V22" s="771" t="s">
        <v>27</v>
      </c>
      <c r="W22" s="771" t="s">
        <v>27</v>
      </c>
      <c r="X22" s="771" t="s">
        <v>27</v>
      </c>
      <c r="Y22" s="726" t="s">
        <v>27</v>
      </c>
      <c r="Z22" s="726" t="s">
        <v>27</v>
      </c>
      <c r="AA22" s="761" t="s">
        <v>28</v>
      </c>
      <c r="AB22" s="32"/>
      <c r="AC22" s="661"/>
      <c r="AF22" s="39"/>
    </row>
    <row r="23" spans="2:56" ht="14.4" x14ac:dyDescent="0.3">
      <c r="B23" s="37" t="s">
        <v>29</v>
      </c>
      <c r="C23" s="578"/>
      <c r="D23" s="38">
        <v>6.3776900000000003</v>
      </c>
      <c r="E23" s="38">
        <v>6.1624141325996131</v>
      </c>
      <c r="F23" s="38">
        <f>(G23-E23)/2+E23</f>
        <v>5.6663258412998063</v>
      </c>
      <c r="G23" s="38">
        <v>5.1702375499999995</v>
      </c>
      <c r="H23" s="38">
        <v>6.515408999099999</v>
      </c>
      <c r="I23" s="724">
        <v>5.0402774944709412</v>
      </c>
      <c r="J23" s="38">
        <v>4.8167069794802702</v>
      </c>
      <c r="K23" s="38">
        <v>4.5244474902891607</v>
      </c>
      <c r="L23" s="38">
        <v>4.4953518873711102</v>
      </c>
      <c r="M23" s="38">
        <v>4.1575651818689101</v>
      </c>
      <c r="N23" s="38">
        <v>4.2083369549305205</v>
      </c>
      <c r="O23" s="38">
        <v>4.0189385936853208</v>
      </c>
      <c r="P23" s="38">
        <v>3.954380427486416</v>
      </c>
      <c r="Q23" s="38">
        <v>3.8516187684037004</v>
      </c>
      <c r="R23" s="38">
        <v>3.9527131813199996</v>
      </c>
      <c r="S23" s="38">
        <v>3.7582329324543817</v>
      </c>
      <c r="T23" s="38">
        <v>3.6757949452268375</v>
      </c>
      <c r="U23" s="38">
        <v>3.7934088226139853</v>
      </c>
      <c r="V23" s="38">
        <v>3.6836061451960118</v>
      </c>
      <c r="W23" s="38">
        <v>3.6064072033428904</v>
      </c>
      <c r="X23" s="38">
        <v>3.6678433089842004</v>
      </c>
      <c r="Y23" s="38">
        <v>3.5163670429100016</v>
      </c>
      <c r="Z23" s="38">
        <v>3.5299195094681051</v>
      </c>
      <c r="AA23" s="742">
        <f>'Borough GHG'!K45-'Borough GHG'!K43/1000</f>
        <v>3.3333827661945787</v>
      </c>
      <c r="AB23" s="32"/>
      <c r="AC23" s="662"/>
      <c r="AE23" s="39"/>
      <c r="AF23" s="350"/>
    </row>
    <row r="24" spans="2:56" ht="14.4" x14ac:dyDescent="0.3">
      <c r="B24" s="37" t="s">
        <v>30</v>
      </c>
      <c r="C24" s="578"/>
      <c r="D24" s="38">
        <f>16.3113908174995-D41</f>
        <v>15.332707368449531</v>
      </c>
      <c r="E24" s="38">
        <f>14.0074473342859-E41</f>
        <v>13.167000494228747</v>
      </c>
      <c r="F24" s="38">
        <f>((G24-E24)/2+E24)</f>
        <v>13.793682274467599</v>
      </c>
      <c r="G24" s="38">
        <f>15.3408128241558-G41</f>
        <v>14.42036405470645</v>
      </c>
      <c r="H24" s="38">
        <f>13.800344971-H41</f>
        <v>12.97232427274</v>
      </c>
      <c r="I24" s="724">
        <v>12.878094959429777</v>
      </c>
      <c r="J24" s="38">
        <v>14.60234752892422</v>
      </c>
      <c r="K24" s="38">
        <v>14.168395424017231</v>
      </c>
      <c r="L24" s="38">
        <v>13.657476924581324</v>
      </c>
      <c r="M24" s="38">
        <v>12.359313954411688</v>
      </c>
      <c r="N24" s="38">
        <v>12.8354047910546</v>
      </c>
      <c r="O24" s="38">
        <v>11.664846101181761</v>
      </c>
      <c r="P24" s="38">
        <v>13.613146175668895</v>
      </c>
      <c r="Q24" s="38">
        <v>12.524946514118255</v>
      </c>
      <c r="R24" s="38">
        <v>10.969837177602273</v>
      </c>
      <c r="S24" s="38">
        <v>9.3442369563624297</v>
      </c>
      <c r="T24" s="38">
        <v>7.1862740154441411</v>
      </c>
      <c r="U24" s="38">
        <v>6.4737661734390475</v>
      </c>
      <c r="V24" s="38">
        <v>5.8698799516243625</v>
      </c>
      <c r="W24" s="38">
        <v>5.1878548490543626</v>
      </c>
      <c r="X24" s="38">
        <v>3.9606135226745143</v>
      </c>
      <c r="Y24" s="38">
        <v>4.4441280438134321</v>
      </c>
      <c r="Z24" s="38">
        <v>4.5604188811926312</v>
      </c>
      <c r="AA24" s="742">
        <f>'Borough GHG'!J45</f>
        <v>3.871271704707905</v>
      </c>
      <c r="AB24" s="32"/>
      <c r="AC24" s="663"/>
      <c r="AD24" s="350"/>
      <c r="AE24" s="39"/>
      <c r="AF24" s="39"/>
    </row>
    <row r="25" spans="2:56" ht="14.4" x14ac:dyDescent="0.3">
      <c r="B25" s="37" t="s">
        <v>38</v>
      </c>
      <c r="C25" s="578"/>
      <c r="D25" s="726"/>
      <c r="E25" s="726"/>
      <c r="F25" s="726"/>
      <c r="G25" s="726"/>
      <c r="H25" s="726"/>
      <c r="I25" s="724">
        <v>0.12858</v>
      </c>
      <c r="J25" s="38">
        <v>0.10432</v>
      </c>
      <c r="K25" s="38">
        <v>9.8180000000000003E-2</v>
      </c>
      <c r="L25" s="38">
        <v>9.8699999999999996E-2</v>
      </c>
      <c r="M25" s="38">
        <v>9.7269999999999995E-2</v>
      </c>
      <c r="N25" s="38">
        <v>6.7887657168390833E-2</v>
      </c>
      <c r="O25" s="38">
        <v>2.3230612481642949E-2</v>
      </c>
      <c r="P25" s="38">
        <v>3.1015273559303919E-2</v>
      </c>
      <c r="Q25" s="38">
        <v>3.2036896288963487E-2</v>
      </c>
      <c r="R25" s="38">
        <v>1.9515064033348482E-2</v>
      </c>
      <c r="S25" s="38">
        <v>1.8515611237628619E-2</v>
      </c>
      <c r="T25" s="38">
        <v>1.3472645039280001E-2</v>
      </c>
      <c r="U25" s="38">
        <v>1.3795750565280002E-2</v>
      </c>
      <c r="V25" s="38">
        <v>1.0066494326526898E-2</v>
      </c>
      <c r="W25" s="38">
        <v>1.1014435030719999E-2</v>
      </c>
      <c r="X25" s="38">
        <v>9.2972366214599984E-3</v>
      </c>
      <c r="Y25" s="38">
        <v>1.1540346798680941E-2</v>
      </c>
      <c r="Z25" s="38">
        <v>8.7674314823999993E-3</v>
      </c>
      <c r="AA25" s="742">
        <f>'Borough GHG'!K43/1000</f>
        <v>9.7394471076800004E-3</v>
      </c>
      <c r="AB25" s="32"/>
      <c r="AC25" s="661"/>
      <c r="AE25" s="39"/>
      <c r="AF25" s="39"/>
      <c r="AG25" s="487"/>
      <c r="AJ25" s="350"/>
      <c r="AK25" s="350"/>
    </row>
    <row r="26" spans="2:56" ht="14.4" x14ac:dyDescent="0.3">
      <c r="B26" s="37" t="s">
        <v>31</v>
      </c>
      <c r="C26" s="580"/>
      <c r="D26" s="38">
        <v>2.3540000000000001</v>
      </c>
      <c r="E26" s="38">
        <v>2.427995611576955</v>
      </c>
      <c r="F26" s="38">
        <v>1.6425944360431086</v>
      </c>
      <c r="G26" s="38">
        <v>0.85719326050926181</v>
      </c>
      <c r="H26" s="38">
        <v>0.56688732456668012</v>
      </c>
      <c r="I26" s="725"/>
      <c r="J26" s="726"/>
      <c r="K26" s="726"/>
      <c r="L26" s="726"/>
      <c r="M26" s="726"/>
      <c r="N26" s="726"/>
      <c r="O26" s="726"/>
      <c r="P26" s="726"/>
      <c r="Q26" s="726"/>
      <c r="R26" s="726"/>
      <c r="S26" s="726"/>
      <c r="T26" s="726"/>
      <c r="U26" s="726"/>
      <c r="V26" s="726"/>
      <c r="W26" s="726"/>
      <c r="X26" s="726"/>
      <c r="Y26" s="726"/>
      <c r="Z26" s="726"/>
      <c r="AA26" s="760"/>
      <c r="AB26" s="32"/>
      <c r="AC26" s="661"/>
      <c r="AG26" s="491"/>
      <c r="AJ26" s="350"/>
    </row>
    <row r="27" spans="2:56" ht="14.4" x14ac:dyDescent="0.3">
      <c r="B27" s="37" t="s">
        <v>32</v>
      </c>
      <c r="C27" s="580"/>
      <c r="D27" s="726"/>
      <c r="E27" s="726"/>
      <c r="F27" s="726"/>
      <c r="G27" s="726"/>
      <c r="H27" s="726"/>
      <c r="I27" s="724">
        <v>0.1218594604384127</v>
      </c>
      <c r="J27" s="38">
        <v>0.12974384866412231</v>
      </c>
      <c r="K27" s="38">
        <v>0.11285151156278257</v>
      </c>
      <c r="L27" s="38">
        <v>0.13075746837383687</v>
      </c>
      <c r="M27" s="38">
        <v>0.16353192272355382</v>
      </c>
      <c r="N27" s="38">
        <v>0.17597881229821838</v>
      </c>
      <c r="O27" s="38">
        <v>0.1641663587431936</v>
      </c>
      <c r="P27" s="38">
        <v>0.18492090477994669</v>
      </c>
      <c r="Q27" s="38">
        <v>0.22733036859326292</v>
      </c>
      <c r="R27" s="38">
        <v>0.20577486641203435</v>
      </c>
      <c r="S27" s="38">
        <v>0.11146971415290509</v>
      </c>
      <c r="T27" s="38">
        <v>0.10821755721795218</v>
      </c>
      <c r="U27" s="38">
        <v>8.6933004307778589E-2</v>
      </c>
      <c r="V27" s="38">
        <v>7.0927574477730543E-2</v>
      </c>
      <c r="W27" s="38">
        <v>6.6467892589429672E-2</v>
      </c>
      <c r="X27" s="38">
        <v>6.040839521116341E-2</v>
      </c>
      <c r="Y27" s="38">
        <v>5.3616606744903442E-2</v>
      </c>
      <c r="Z27" s="38">
        <v>5.8523720186534442E-2</v>
      </c>
      <c r="AA27" s="742">
        <f>'Borough GHG'!L45</f>
        <v>5.8251369967112845E-2</v>
      </c>
      <c r="AB27" s="32"/>
      <c r="AC27" s="661"/>
      <c r="AE27" s="383"/>
      <c r="AG27" s="56"/>
      <c r="AH27" s="39"/>
      <c r="AI27" s="39"/>
      <c r="AJ27" s="350"/>
      <c r="AK27" s="350"/>
    </row>
    <row r="28" spans="2:56" ht="14.4" x14ac:dyDescent="0.3">
      <c r="B28" s="37" t="s">
        <v>33</v>
      </c>
      <c r="C28" s="580"/>
      <c r="D28" s="726"/>
      <c r="E28" s="726"/>
      <c r="F28" s="726"/>
      <c r="G28" s="726"/>
      <c r="H28" s="726"/>
      <c r="I28" s="724">
        <v>2.9109230880199184</v>
      </c>
      <c r="J28" s="38">
        <v>2.8197101405194811</v>
      </c>
      <c r="K28" s="38">
        <v>2.9602579601765706</v>
      </c>
      <c r="L28" s="38">
        <v>2.2854339796806933</v>
      </c>
      <c r="M28" s="38">
        <v>2.0121877711406446</v>
      </c>
      <c r="N28" s="38">
        <v>2.1743551512319184</v>
      </c>
      <c r="O28" s="38">
        <v>1.9588181742240529</v>
      </c>
      <c r="P28" s="38">
        <v>2.0730391818938187</v>
      </c>
      <c r="Q28" s="38">
        <v>1.9487058836798847</v>
      </c>
      <c r="R28" s="38">
        <v>1.8558085075523978</v>
      </c>
      <c r="S28" s="38">
        <v>1.9245925660899679</v>
      </c>
      <c r="T28" s="38">
        <v>1.984911276921669</v>
      </c>
      <c r="U28" s="38">
        <v>2.0065356112331463</v>
      </c>
      <c r="V28" s="38">
        <v>2.1568264258779863</v>
      </c>
      <c r="W28" s="38">
        <v>2.1343981430099541</v>
      </c>
      <c r="X28" s="38">
        <v>2.0647511091697535</v>
      </c>
      <c r="Y28" s="38">
        <v>2.1251368117147407</v>
      </c>
      <c r="Z28" s="38">
        <v>1.9954196591207818</v>
      </c>
      <c r="AA28" s="742">
        <f>'Borough GHG'!M45</f>
        <v>2.045964127509619</v>
      </c>
      <c r="AB28" s="32"/>
      <c r="AC28" s="661"/>
      <c r="AE28" s="39"/>
      <c r="AG28" s="39"/>
      <c r="AH28" s="39"/>
    </row>
    <row r="29" spans="2:56" ht="14.4" x14ac:dyDescent="0.3">
      <c r="B29" s="37" t="s">
        <v>34</v>
      </c>
      <c r="C29" s="580"/>
      <c r="D29" s="726"/>
      <c r="E29" s="726"/>
      <c r="F29" s="726"/>
      <c r="G29" s="726"/>
      <c r="H29" s="726"/>
      <c r="I29" s="724">
        <v>4.4138661565920452E-2</v>
      </c>
      <c r="J29" s="38">
        <v>5.4394136541282417E-2</v>
      </c>
      <c r="K29" s="38">
        <v>1.9489116426203937E-2</v>
      </c>
      <c r="L29" s="38">
        <v>3.308616099147698E-2</v>
      </c>
      <c r="M29" s="38">
        <v>2.4678991677151405E-2</v>
      </c>
      <c r="N29" s="38">
        <v>3.5139252937745703E-2</v>
      </c>
      <c r="O29" s="38">
        <v>6.2947707462633812E-2</v>
      </c>
      <c r="P29" s="38">
        <v>5.9177581451867529E-2</v>
      </c>
      <c r="Q29" s="38">
        <v>6.7245096630556125E-2</v>
      </c>
      <c r="R29" s="38">
        <v>9.2262765669323898E-2</v>
      </c>
      <c r="S29" s="38">
        <v>8.7281018289227436E-2</v>
      </c>
      <c r="T29" s="38">
        <v>0.14287567163971118</v>
      </c>
      <c r="U29" s="38">
        <v>0.13384496175769597</v>
      </c>
      <c r="V29" s="38">
        <v>0.13602282723905154</v>
      </c>
      <c r="W29" s="38">
        <v>0.12905841841213389</v>
      </c>
      <c r="X29" s="38">
        <v>0.12667766278895756</v>
      </c>
      <c r="Y29" s="38">
        <v>0.11501491799461447</v>
      </c>
      <c r="Z29" s="38">
        <v>0.11436780792632334</v>
      </c>
      <c r="AA29" s="742">
        <f>'Borough GHG'!N45</f>
        <v>8.3124726585061565E-2</v>
      </c>
      <c r="AB29" s="32"/>
      <c r="AC29" s="661"/>
      <c r="AE29" s="350"/>
      <c r="AF29" s="39"/>
      <c r="AJ29" s="39"/>
    </row>
    <row r="30" spans="2:56" ht="15" x14ac:dyDescent="0.3">
      <c r="B30" s="37" t="s">
        <v>39</v>
      </c>
      <c r="C30" s="580"/>
      <c r="D30" s="726"/>
      <c r="E30" s="726"/>
      <c r="F30" s="726"/>
      <c r="G30" s="726"/>
      <c r="H30" s="726"/>
      <c r="I30" s="725"/>
      <c r="J30" s="726"/>
      <c r="K30" s="726"/>
      <c r="L30" s="726"/>
      <c r="M30" s="726"/>
      <c r="N30" s="726"/>
      <c r="O30" s="726"/>
      <c r="P30" s="726"/>
      <c r="Q30" s="38">
        <v>7.4855275608264639E-3</v>
      </c>
      <c r="R30" s="38">
        <v>7.4845686984918863E-3</v>
      </c>
      <c r="S30" s="38">
        <v>7.4950900361121691E-3</v>
      </c>
      <c r="T30" s="286">
        <v>0.692431629750763</v>
      </c>
      <c r="U30" s="286">
        <v>0.76292035759599242</v>
      </c>
      <c r="V30" s="286">
        <v>0.81929915084815019</v>
      </c>
      <c r="W30" s="286">
        <v>0.87842909449047324</v>
      </c>
      <c r="X30" s="286">
        <v>0.94384287643737652</v>
      </c>
      <c r="Y30" s="286">
        <v>0.90408886544258249</v>
      </c>
      <c r="Z30" s="286">
        <v>0.97776466697100728</v>
      </c>
      <c r="AA30" s="742">
        <f>('I. Energy - Stationary'!I137+'I. Energy - Stationary'!I138)/1000000</f>
        <v>0.97350666967950006</v>
      </c>
      <c r="AB30" s="32"/>
      <c r="AC30" s="661"/>
      <c r="AD30" s="39"/>
      <c r="AE30" s="39"/>
      <c r="AF30" s="39"/>
      <c r="AG30" s="39"/>
      <c r="AH30" s="39"/>
      <c r="AJ30" s="39"/>
      <c r="AK30" s="350"/>
    </row>
    <row r="31" spans="2:56" ht="14.4" x14ac:dyDescent="0.3">
      <c r="B31" s="41" t="s">
        <v>35</v>
      </c>
      <c r="C31" s="579">
        <v>19.739999999999998</v>
      </c>
      <c r="D31" s="42">
        <f>SUM(D23:D26)</f>
        <v>24.06439736844953</v>
      </c>
      <c r="E31" s="42">
        <f>SUM(E23:E26)</f>
        <v>21.757410238405313</v>
      </c>
      <c r="F31" s="42">
        <f>SUM(F23:F26)</f>
        <v>21.102602551810513</v>
      </c>
      <c r="G31" s="42">
        <f>SUM(G23:G26)</f>
        <v>20.447794865215712</v>
      </c>
      <c r="H31" s="42">
        <f>SUM(H23:H26)</f>
        <v>20.054620596406679</v>
      </c>
      <c r="I31" s="727">
        <f>SUM(I23:I29)</f>
        <v>21.123873663924968</v>
      </c>
      <c r="J31" s="42">
        <f t="shared" ref="J31:W31" si="3">SUM(J23:J29)</f>
        <v>22.52722263412938</v>
      </c>
      <c r="K31" s="42">
        <f t="shared" si="3"/>
        <v>21.883621502471946</v>
      </c>
      <c r="L31" s="42">
        <f t="shared" si="3"/>
        <v>20.700806420998443</v>
      </c>
      <c r="M31" s="42">
        <f t="shared" si="3"/>
        <v>18.81454782182195</v>
      </c>
      <c r="N31" s="42">
        <f t="shared" si="3"/>
        <v>19.497102619621394</v>
      </c>
      <c r="O31" s="42">
        <f t="shared" si="3"/>
        <v>17.892947547778604</v>
      </c>
      <c r="P31" s="42">
        <f t="shared" si="3"/>
        <v>19.915679544840248</v>
      </c>
      <c r="Q31" s="42">
        <f t="shared" si="3"/>
        <v>18.651883527714627</v>
      </c>
      <c r="R31" s="42">
        <f t="shared" si="3"/>
        <v>17.095911562589375</v>
      </c>
      <c r="S31" s="42">
        <f t="shared" si="3"/>
        <v>15.24432879858654</v>
      </c>
      <c r="T31" s="42">
        <f t="shared" si="3"/>
        <v>13.111546111489591</v>
      </c>
      <c r="U31" s="42">
        <f t="shared" si="3"/>
        <v>12.508284323916932</v>
      </c>
      <c r="V31" s="42">
        <f t="shared" si="3"/>
        <v>11.927329418741669</v>
      </c>
      <c r="W31" s="42">
        <f t="shared" si="3"/>
        <v>11.135200941439491</v>
      </c>
      <c r="X31" s="42">
        <f>SUM(X23:X29)</f>
        <v>9.8895912354500481</v>
      </c>
      <c r="Y31" s="42">
        <f>SUM(Y23:Y29)</f>
        <v>10.265803769976372</v>
      </c>
      <c r="Z31" s="42">
        <f>SUM(Z23:Z29)</f>
        <v>10.267417009376775</v>
      </c>
      <c r="AA31" s="743">
        <f>SUM(AA23:AA29)</f>
        <v>9.4017341420719589</v>
      </c>
      <c r="AB31" s="32"/>
      <c r="AC31" s="663"/>
      <c r="AD31" s="43"/>
      <c r="AE31" s="383"/>
      <c r="AF31" s="43"/>
      <c r="AG31" s="487"/>
      <c r="AH31" s="43"/>
      <c r="AI31" s="43"/>
      <c r="AJ31" s="43"/>
      <c r="AK31" s="43"/>
      <c r="AL31" s="43"/>
      <c r="AM31" s="43"/>
      <c r="AN31" s="43"/>
      <c r="AO31" s="43"/>
      <c r="AP31" s="43"/>
      <c r="AQ31" s="43"/>
      <c r="AR31" s="43"/>
      <c r="AS31" s="43"/>
      <c r="AT31" s="43"/>
      <c r="AU31" s="43"/>
      <c r="AV31" s="43"/>
    </row>
    <row r="32" spans="2:56" ht="14.4" x14ac:dyDescent="0.3">
      <c r="B32" s="548" t="s">
        <v>36</v>
      </c>
      <c r="C32" s="579"/>
      <c r="D32" s="42"/>
      <c r="E32" s="44">
        <f t="shared" ref="E32:Z32" si="4">(E31-$D$31)/$D$31</f>
        <v>-9.5867230528235578E-2</v>
      </c>
      <c r="F32" s="44">
        <f t="shared" si="4"/>
        <v>-0.12307787189893156</v>
      </c>
      <c r="G32" s="44">
        <f t="shared" si="4"/>
        <v>-0.15028851326962755</v>
      </c>
      <c r="H32" s="44">
        <f t="shared" si="4"/>
        <v>-0.1666269348302904</v>
      </c>
      <c r="I32" s="728">
        <f t="shared" si="4"/>
        <v>-0.12219394732817364</v>
      </c>
      <c r="J32" s="44">
        <f>(J31-$D$31)/$D$31</f>
        <v>-6.3877549509530479E-2</v>
      </c>
      <c r="K32" s="44">
        <f t="shared" si="4"/>
        <v>-9.0622500642246126E-2</v>
      </c>
      <c r="L32" s="44">
        <f t="shared" si="4"/>
        <v>-0.13977457635656568</v>
      </c>
      <c r="M32" s="44">
        <f t="shared" si="4"/>
        <v>-0.21815836342158224</v>
      </c>
      <c r="N32" s="44">
        <f t="shared" si="4"/>
        <v>-0.18979468627027607</v>
      </c>
      <c r="O32" s="44">
        <f t="shared" si="4"/>
        <v>-0.25645561474820977</v>
      </c>
      <c r="P32" s="44">
        <f t="shared" si="4"/>
        <v>-0.17240065313451827</v>
      </c>
      <c r="Q32" s="44">
        <f t="shared" si="4"/>
        <v>-0.22491790498070682</v>
      </c>
      <c r="R32" s="44">
        <f t="shared" si="4"/>
        <v>-0.28957657651533097</v>
      </c>
      <c r="S32" s="44">
        <f t="shared" si="4"/>
        <v>-0.36651940353290746</v>
      </c>
      <c r="T32" s="44">
        <f t="shared" si="4"/>
        <v>-0.45514753971441885</v>
      </c>
      <c r="U32" s="44">
        <f t="shared" si="4"/>
        <v>-0.48021618275318395</v>
      </c>
      <c r="V32" s="44">
        <f t="shared" si="4"/>
        <v>-0.50435785961632218</v>
      </c>
      <c r="W32" s="44">
        <f t="shared" si="4"/>
        <v>-0.53727488908412535</v>
      </c>
      <c r="X32" s="44">
        <f t="shared" si="4"/>
        <v>-0.58903640577278105</v>
      </c>
      <c r="Y32" s="44">
        <f t="shared" si="4"/>
        <v>-0.57340283187661645</v>
      </c>
      <c r="Z32" s="44">
        <f t="shared" si="4"/>
        <v>-0.57333579344736751</v>
      </c>
      <c r="AA32" s="744">
        <f>(AA31-$D$31)/$D$31</f>
        <v>-0.6093093877182052</v>
      </c>
      <c r="AB32" s="32"/>
      <c r="AC32" s="32"/>
      <c r="AD32" s="448"/>
      <c r="AE32" s="459"/>
    </row>
    <row r="33" spans="2:49" ht="14.4" x14ac:dyDescent="0.3">
      <c r="B33" s="772" t="s">
        <v>40</v>
      </c>
      <c r="C33" s="592" t="s">
        <v>26</v>
      </c>
      <c r="D33" s="593" t="s">
        <v>27</v>
      </c>
      <c r="E33" s="593" t="s">
        <v>27</v>
      </c>
      <c r="F33" s="593" t="s">
        <v>26</v>
      </c>
      <c r="G33" s="593" t="s">
        <v>27</v>
      </c>
      <c r="H33" s="593" t="s">
        <v>27</v>
      </c>
      <c r="I33" s="594" t="s">
        <v>27</v>
      </c>
      <c r="J33" s="593" t="s">
        <v>27</v>
      </c>
      <c r="K33" s="593" t="s">
        <v>27</v>
      </c>
      <c r="L33" s="593" t="s">
        <v>27</v>
      </c>
      <c r="M33" s="593" t="s">
        <v>27</v>
      </c>
      <c r="N33" s="593" t="s">
        <v>27</v>
      </c>
      <c r="O33" s="595" t="s">
        <v>27</v>
      </c>
      <c r="P33" s="595" t="s">
        <v>27</v>
      </c>
      <c r="Q33" s="595" t="s">
        <v>27</v>
      </c>
      <c r="R33" s="595" t="s">
        <v>27</v>
      </c>
      <c r="S33" s="595" t="s">
        <v>27</v>
      </c>
      <c r="T33" s="595" t="s">
        <v>27</v>
      </c>
      <c r="U33" s="595" t="s">
        <v>27</v>
      </c>
      <c r="V33" s="595" t="s">
        <v>27</v>
      </c>
      <c r="W33" s="595" t="s">
        <v>27</v>
      </c>
      <c r="X33" s="595" t="s">
        <v>27</v>
      </c>
      <c r="Y33" s="595" t="s">
        <v>27</v>
      </c>
      <c r="Z33" s="595" t="s">
        <v>27</v>
      </c>
      <c r="AA33" s="761" t="s">
        <v>28</v>
      </c>
      <c r="AB33" s="32"/>
      <c r="AC33" s="32"/>
      <c r="AD33" s="448"/>
      <c r="AE33" s="448"/>
    </row>
    <row r="34" spans="2:49" ht="14.4" x14ac:dyDescent="0.3">
      <c r="B34" s="37" t="s">
        <v>41</v>
      </c>
      <c r="C34" s="582"/>
      <c r="D34" s="729"/>
      <c r="E34" s="57"/>
      <c r="F34" s="57"/>
      <c r="G34" s="57"/>
      <c r="H34" s="57"/>
      <c r="I34" s="730">
        <v>0.1650170322173326</v>
      </c>
      <c r="J34" s="344">
        <v>0.15971266101661027</v>
      </c>
      <c r="K34" s="344">
        <v>0.15650604005786004</v>
      </c>
      <c r="L34" s="344">
        <v>0.1521393770216225</v>
      </c>
      <c r="M34" s="344">
        <v>0.14088922815649937</v>
      </c>
      <c r="N34" s="344">
        <v>0.14014280495345613</v>
      </c>
      <c r="O34" s="344">
        <v>0.13191773953564992</v>
      </c>
      <c r="P34" s="344">
        <v>0.13060741878071361</v>
      </c>
      <c r="Q34" s="344">
        <v>0.1287423244182839</v>
      </c>
      <c r="R34" s="344">
        <v>0.12631243946751131</v>
      </c>
      <c r="S34" s="344">
        <v>0.12728217041244713</v>
      </c>
      <c r="T34" s="344">
        <v>0.12657167705630806</v>
      </c>
      <c r="U34" s="344">
        <v>0.13100997698283603</v>
      </c>
      <c r="V34" s="344">
        <v>0.12408248796165988</v>
      </c>
      <c r="W34" s="344">
        <v>0.12802712473273462</v>
      </c>
      <c r="X34" s="344">
        <v>0.13715020366852285</v>
      </c>
      <c r="Y34" s="344">
        <v>0.11907541241669159</v>
      </c>
      <c r="Z34" s="344">
        <v>0.10872905568175915</v>
      </c>
      <c r="AA34" s="745">
        <f>AA36*AA14/(AA14+AA23+AA25)</f>
        <v>0.1057750869535022</v>
      </c>
      <c r="AB34" s="32"/>
      <c r="AC34" s="655"/>
      <c r="AD34" s="448"/>
      <c r="AE34" s="448"/>
    </row>
    <row r="35" spans="2:49" ht="14.4" x14ac:dyDescent="0.3">
      <c r="B35" s="37" t="s">
        <v>42</v>
      </c>
      <c r="C35" s="582"/>
      <c r="D35" s="729"/>
      <c r="E35" s="57"/>
      <c r="F35" s="57"/>
      <c r="G35" s="57"/>
      <c r="H35" s="57"/>
      <c r="I35" s="730">
        <v>8.5318154434879043E-2</v>
      </c>
      <c r="J35" s="344">
        <v>8.1533715235651658E-2</v>
      </c>
      <c r="K35" s="344">
        <v>7.6586559000460422E-2</v>
      </c>
      <c r="L35" s="344">
        <v>7.6094049779319078E-2</v>
      </c>
      <c r="M35" s="344">
        <v>7.0376241913045881E-2</v>
      </c>
      <c r="N35" s="344">
        <v>7.1235669589350376E-2</v>
      </c>
      <c r="O35" s="344">
        <v>6.8462157733761284E-2</v>
      </c>
      <c r="P35" s="344">
        <v>6.7022642139186447E-2</v>
      </c>
      <c r="Q35" s="344">
        <v>6.5466040001490616E-2</v>
      </c>
      <c r="R35" s="344">
        <v>6.7348653263527167E-2</v>
      </c>
      <c r="S35" s="344">
        <v>6.3979350118736247E-2</v>
      </c>
      <c r="T35" s="344">
        <v>6.2643975652577608E-2</v>
      </c>
      <c r="U35" s="344">
        <v>6.4483636398340552E-2</v>
      </c>
      <c r="V35" s="344">
        <v>6.2807824312050037E-2</v>
      </c>
      <c r="W35" s="344">
        <v>6.1729898624466463E-2</v>
      </c>
      <c r="X35" s="344">
        <v>6.3883647689108286E-2</v>
      </c>
      <c r="Y35" s="344">
        <v>6.1245351666090415E-2</v>
      </c>
      <c r="Z35" s="344">
        <v>6.0656853026131122E-2</v>
      </c>
      <c r="AA35" s="745">
        <f>AA36-AA34</f>
        <v>5.7285873339142465E-2</v>
      </c>
      <c r="AB35" s="32"/>
      <c r="AC35" s="32"/>
      <c r="AD35" s="448"/>
      <c r="AE35" s="707"/>
      <c r="AF35" s="39"/>
    </row>
    <row r="36" spans="2:49" ht="14.4" x14ac:dyDescent="0.3">
      <c r="B36" s="300" t="s">
        <v>35</v>
      </c>
      <c r="C36" s="583"/>
      <c r="D36" s="773">
        <v>0.2809162933714287</v>
      </c>
      <c r="E36" s="773">
        <v>0.3083770543918769</v>
      </c>
      <c r="F36" s="773">
        <v>0.19115925451712604</v>
      </c>
      <c r="G36" s="773">
        <v>0.26230957595885718</v>
      </c>
      <c r="H36" s="773">
        <v>0.26341696718310414</v>
      </c>
      <c r="I36" s="774">
        <f>SUM(I34:I35)</f>
        <v>0.25033518665221166</v>
      </c>
      <c r="J36" s="775">
        <f t="shared" ref="J36:X36" si="5">SUM(J34:J35)</f>
        <v>0.24124637625226192</v>
      </c>
      <c r="K36" s="775">
        <f t="shared" si="5"/>
        <v>0.23309259905832047</v>
      </c>
      <c r="L36" s="775">
        <f t="shared" si="5"/>
        <v>0.22823342680094158</v>
      </c>
      <c r="M36" s="775">
        <f t="shared" si="5"/>
        <v>0.21126547006954527</v>
      </c>
      <c r="N36" s="775">
        <f t="shared" si="5"/>
        <v>0.2113784745428065</v>
      </c>
      <c r="O36" s="775">
        <f t="shared" si="5"/>
        <v>0.20037989726941119</v>
      </c>
      <c r="P36" s="775">
        <f t="shared" si="5"/>
        <v>0.19763006091990004</v>
      </c>
      <c r="Q36" s="775">
        <f t="shared" si="5"/>
        <v>0.19420836441977452</v>
      </c>
      <c r="R36" s="775">
        <f t="shared" si="5"/>
        <v>0.19366109273103849</v>
      </c>
      <c r="S36" s="775">
        <f t="shared" si="5"/>
        <v>0.19126152053118339</v>
      </c>
      <c r="T36" s="775">
        <f t="shared" si="5"/>
        <v>0.18921565270888568</v>
      </c>
      <c r="U36" s="775">
        <f t="shared" si="5"/>
        <v>0.1954936133811766</v>
      </c>
      <c r="V36" s="775">
        <f t="shared" si="5"/>
        <v>0.18689031227370992</v>
      </c>
      <c r="W36" s="775">
        <f t="shared" si="5"/>
        <v>0.18975702335720107</v>
      </c>
      <c r="X36" s="775">
        <f t="shared" si="5"/>
        <v>0.20103385135763113</v>
      </c>
      <c r="Y36" s="775">
        <f>SUM(Y34:Y35)</f>
        <v>0.180320764082782</v>
      </c>
      <c r="Z36" s="775">
        <f>SUM(Z34:Z35)</f>
        <v>0.16938590870789028</v>
      </c>
      <c r="AA36" s="776">
        <f>'Borough GHG'!AD45</f>
        <v>0.16306096029264466</v>
      </c>
      <c r="AB36" s="32"/>
      <c r="AC36" s="32"/>
      <c r="AD36" s="449"/>
      <c r="AE36" s="450"/>
      <c r="AF36" s="39"/>
      <c r="AG36" s="383"/>
      <c r="AH36" s="383"/>
    </row>
    <row r="37" spans="2:49" ht="15" thickBot="1" x14ac:dyDescent="0.35">
      <c r="B37" s="41" t="s">
        <v>43</v>
      </c>
      <c r="C37" s="777">
        <f t="shared" ref="C37:AA37" si="6">C20+C31+C36</f>
        <v>35.58</v>
      </c>
      <c r="D37" s="778">
        <f>D20+D31+D36</f>
        <v>41.881977114339534</v>
      </c>
      <c r="E37" s="778">
        <f t="shared" si="6"/>
        <v>39.857329732263388</v>
      </c>
      <c r="F37" s="778">
        <f t="shared" si="6"/>
        <v>39.24383564097257</v>
      </c>
      <c r="G37" s="778">
        <f t="shared" si="6"/>
        <v>38.818709670998238</v>
      </c>
      <c r="H37" s="778">
        <f t="shared" si="6"/>
        <v>37.166744051028104</v>
      </c>
      <c r="I37" s="779">
        <f t="shared" si="6"/>
        <v>38.430196226387039</v>
      </c>
      <c r="J37" s="778">
        <f t="shared" si="6"/>
        <v>39.831862576722642</v>
      </c>
      <c r="K37" s="778">
        <f t="shared" si="6"/>
        <v>38.998595124591382</v>
      </c>
      <c r="L37" s="778">
        <f t="shared" si="6"/>
        <v>37.250519910766734</v>
      </c>
      <c r="M37" s="778">
        <f t="shared" si="6"/>
        <v>34.188108690623132</v>
      </c>
      <c r="N37" s="778">
        <f t="shared" si="6"/>
        <v>34.971881597709967</v>
      </c>
      <c r="O37" s="778">
        <f t="shared" si="6"/>
        <v>32.588014299493636</v>
      </c>
      <c r="P37" s="778">
        <f t="shared" si="6"/>
        <v>35.240614070071537</v>
      </c>
      <c r="Q37" s="778">
        <f t="shared" si="6"/>
        <v>33.270018424581913</v>
      </c>
      <c r="R37" s="778">
        <f t="shared" si="6"/>
        <v>30.916105184031071</v>
      </c>
      <c r="S37" s="778">
        <f t="shared" si="6"/>
        <v>28.207260846473893</v>
      </c>
      <c r="T37" s="778">
        <f t="shared" si="6"/>
        <v>24.985753580065243</v>
      </c>
      <c r="U37" s="778">
        <f t="shared" si="6"/>
        <v>24.244690075552587</v>
      </c>
      <c r="V37" s="778">
        <f t="shared" si="6"/>
        <v>22.874831734026916</v>
      </c>
      <c r="W37" s="778">
        <f t="shared" si="6"/>
        <v>21.992554583083113</v>
      </c>
      <c r="X37" s="778">
        <f t="shared" si="6"/>
        <v>21.01953740244539</v>
      </c>
      <c r="Y37" s="778">
        <f t="shared" si="6"/>
        <v>20.360900211868614</v>
      </c>
      <c r="Z37" s="778">
        <f t="shared" si="6"/>
        <v>19.694627490341116</v>
      </c>
      <c r="AA37" s="780">
        <f t="shared" si="6"/>
        <v>18.308076933394783</v>
      </c>
      <c r="AB37" s="32"/>
      <c r="AC37" s="706"/>
      <c r="AD37" s="161"/>
      <c r="AE37" s="487"/>
      <c r="AF37" s="161"/>
      <c r="AG37" s="161"/>
      <c r="AH37" s="161"/>
      <c r="AI37" s="161"/>
      <c r="AJ37" s="161"/>
      <c r="AK37" s="161"/>
      <c r="AL37" s="161"/>
      <c r="AM37" s="161"/>
      <c r="AN37" s="161"/>
      <c r="AO37" s="161"/>
      <c r="AP37" s="161"/>
      <c r="AQ37" s="161"/>
      <c r="AR37" s="161"/>
      <c r="AS37" s="161"/>
      <c r="AT37" s="161"/>
      <c r="AU37" s="161"/>
      <c r="AV37" s="161"/>
      <c r="AW37" s="161"/>
    </row>
    <row r="38" spans="2:49" ht="16.95" customHeight="1" x14ac:dyDescent="0.3">
      <c r="B38" s="766" t="s">
        <v>44</v>
      </c>
      <c r="C38" s="581" t="s">
        <v>26</v>
      </c>
      <c r="D38" s="731" t="s">
        <v>27</v>
      </c>
      <c r="E38" s="731" t="s">
        <v>27</v>
      </c>
      <c r="F38" s="731" t="s">
        <v>26</v>
      </c>
      <c r="G38" s="731" t="s">
        <v>27</v>
      </c>
      <c r="H38" s="731" t="s">
        <v>27</v>
      </c>
      <c r="I38" s="732" t="s">
        <v>27</v>
      </c>
      <c r="J38" s="731" t="s">
        <v>27</v>
      </c>
      <c r="K38" s="731" t="s">
        <v>26</v>
      </c>
      <c r="L38" s="731" t="s">
        <v>27</v>
      </c>
      <c r="M38" s="731" t="s">
        <v>26</v>
      </c>
      <c r="N38" s="733" t="s">
        <v>27</v>
      </c>
      <c r="O38" s="731" t="s">
        <v>26</v>
      </c>
      <c r="P38" s="731" t="s">
        <v>26</v>
      </c>
      <c r="Q38" s="731" t="s">
        <v>27</v>
      </c>
      <c r="R38" s="731" t="s">
        <v>26</v>
      </c>
      <c r="S38" s="731" t="s">
        <v>26</v>
      </c>
      <c r="T38" s="731" t="s">
        <v>27</v>
      </c>
      <c r="U38" s="731" t="s">
        <v>26</v>
      </c>
      <c r="V38" s="731" t="s">
        <v>26</v>
      </c>
      <c r="W38" s="731" t="s">
        <v>27</v>
      </c>
      <c r="X38" s="731" t="s">
        <v>26</v>
      </c>
      <c r="Y38" s="731" t="s">
        <v>26</v>
      </c>
      <c r="Z38" s="731" t="s">
        <v>27</v>
      </c>
      <c r="AA38" s="761" t="s">
        <v>28</v>
      </c>
      <c r="AB38" s="32"/>
      <c r="AC38" s="706"/>
      <c r="AD38" s="1224" t="s">
        <v>45</v>
      </c>
      <c r="AE38" s="1225"/>
      <c r="AF38" s="1225"/>
      <c r="AG38" s="1225"/>
      <c r="AH38" s="1225"/>
      <c r="AI38" s="1226"/>
      <c r="AL38" s="225"/>
    </row>
    <row r="39" spans="2:49" ht="14.25" customHeight="1" x14ac:dyDescent="0.3">
      <c r="B39" s="37" t="s">
        <v>46</v>
      </c>
      <c r="C39" s="584">
        <v>7.2198580274391704</v>
      </c>
      <c r="D39" s="38">
        <v>6.6230000000000002</v>
      </c>
      <c r="E39" s="38">
        <v>7.0018640922424504</v>
      </c>
      <c r="F39" s="38">
        <f>(G39-E39)/2+E39</f>
        <v>7.2403405461212254</v>
      </c>
      <c r="G39" s="38">
        <v>7.4788170000000003</v>
      </c>
      <c r="H39" s="680">
        <v>7.4316359508488175</v>
      </c>
      <c r="I39" s="38">
        <v>7.6692771706065797</v>
      </c>
      <c r="J39" s="38">
        <v>7.6722846154299003</v>
      </c>
      <c r="K39" s="38">
        <v>7.5908621167946597</v>
      </c>
      <c r="L39" s="38">
        <v>7.5094396181594201</v>
      </c>
      <c r="M39" s="38">
        <v>7.1926739989895498</v>
      </c>
      <c r="N39" s="38">
        <v>6.8759083798196947</v>
      </c>
      <c r="O39" s="38">
        <v>7.115778539653939</v>
      </c>
      <c r="P39" s="38">
        <v>7.3556486994881931</v>
      </c>
      <c r="Q39" s="38">
        <v>7.595518859322433</v>
      </c>
      <c r="R39" s="38">
        <v>7.561534869524893</v>
      </c>
      <c r="S39" s="38">
        <v>7.5339015487121737</v>
      </c>
      <c r="T39" s="38">
        <v>7.6385427269511066</v>
      </c>
      <c r="U39" s="38">
        <v>7.4159348273098429</v>
      </c>
      <c r="V39" s="38">
        <v>7.2429199732420928</v>
      </c>
      <c r="W39" s="38">
        <v>7.1131956667021274</v>
      </c>
      <c r="X39" s="38">
        <v>5.835200493549296</v>
      </c>
      <c r="Y39" s="38">
        <v>6.1949064380498786</v>
      </c>
      <c r="Z39" s="38">
        <v>6.7893788058249305</v>
      </c>
      <c r="AA39" s="746">
        <f>'Borough GHG'!T45</f>
        <v>6.6461606833228482</v>
      </c>
      <c r="AB39" s="687"/>
      <c r="AC39" s="654"/>
      <c r="AD39" s="1227"/>
      <c r="AE39" s="1228"/>
      <c r="AF39" s="1228"/>
      <c r="AG39" s="1228"/>
      <c r="AH39" s="1228"/>
      <c r="AI39" s="1229"/>
    </row>
    <row r="40" spans="2:49" ht="14.25" customHeight="1" x14ac:dyDescent="0.3">
      <c r="B40" s="37" t="s">
        <v>47</v>
      </c>
      <c r="C40" s="584">
        <v>1.38678591470095</v>
      </c>
      <c r="D40" s="38">
        <v>0.24322470170206273</v>
      </c>
      <c r="E40" s="38">
        <v>0.70016122219096422</v>
      </c>
      <c r="F40" s="38">
        <f>(G40-E40)/2+E40</f>
        <v>0.84057263264239745</v>
      </c>
      <c r="G40" s="38">
        <v>0.98098404309383069</v>
      </c>
      <c r="H40" s="38">
        <v>0.18596729283489999</v>
      </c>
      <c r="I40" s="724">
        <v>0.1915460016638694</v>
      </c>
      <c r="J40" s="38">
        <v>0.19154631992269994</v>
      </c>
      <c r="K40" s="38">
        <f>J40</f>
        <v>0.19154631992269994</v>
      </c>
      <c r="L40" s="38">
        <v>0.28214885322012995</v>
      </c>
      <c r="M40" s="38">
        <f>L40</f>
        <v>0.28214885322012995</v>
      </c>
      <c r="N40" s="38">
        <v>0.11117350639241576</v>
      </c>
      <c r="O40" s="38">
        <v>0.11117350639241576</v>
      </c>
      <c r="P40" s="38">
        <v>0.11117350639241576</v>
      </c>
      <c r="Q40" s="38">
        <v>0.13313119359680214</v>
      </c>
      <c r="R40" s="38">
        <v>0.13938504467927373</v>
      </c>
      <c r="S40" s="38">
        <v>0.1428110249846864</v>
      </c>
      <c r="T40" s="38">
        <v>0.14679734410186143</v>
      </c>
      <c r="U40" s="38">
        <v>0.12523685450769159</v>
      </c>
      <c r="V40" s="38">
        <v>0.11414420771168918</v>
      </c>
      <c r="W40" s="38">
        <v>0.10310807098244026</v>
      </c>
      <c r="X40" s="38">
        <v>8.2381428342027288E-2</v>
      </c>
      <c r="Y40" s="38">
        <v>8.6885034897127372E-2</v>
      </c>
      <c r="Z40" s="38">
        <v>8.3413987350350743E-2</v>
      </c>
      <c r="AA40" s="746">
        <f>'Borough GHG'!R45</f>
        <v>8.461915754137074E-2</v>
      </c>
      <c r="AB40" s="687"/>
      <c r="AC40" s="654"/>
      <c r="AD40" s="1227"/>
      <c r="AE40" s="1228"/>
      <c r="AF40" s="1228"/>
      <c r="AG40" s="1228"/>
      <c r="AH40" s="1228"/>
      <c r="AI40" s="1229"/>
      <c r="AJ40" s="39"/>
      <c r="AK40" s="39"/>
      <c r="AL40" s="350"/>
    </row>
    <row r="41" spans="2:49" ht="14.25" customHeight="1" x14ac:dyDescent="0.3">
      <c r="B41" s="37" t="s">
        <v>48</v>
      </c>
      <c r="C41" s="580"/>
      <c r="D41" s="38">
        <v>0.97868344904996896</v>
      </c>
      <c r="E41" s="38">
        <v>0.84044684005715253</v>
      </c>
      <c r="F41" s="38">
        <v>0.88044780475325091</v>
      </c>
      <c r="G41" s="38">
        <v>0.92044876944934928</v>
      </c>
      <c r="H41" s="38">
        <v>0.82802069826000013</v>
      </c>
      <c r="I41" s="724">
        <v>0.98461406436641197</v>
      </c>
      <c r="J41" s="38">
        <v>0.97870265534448198</v>
      </c>
      <c r="K41" s="38">
        <f>J41</f>
        <v>0.97870265534448198</v>
      </c>
      <c r="L41" s="38">
        <v>1.2372607054691678</v>
      </c>
      <c r="M41" s="38">
        <f>L41</f>
        <v>1.2372607054691678</v>
      </c>
      <c r="N41" s="38">
        <v>1.1844945258434656</v>
      </c>
      <c r="O41" s="38">
        <v>1.1844945258434656</v>
      </c>
      <c r="P41" s="38">
        <v>1.1844945258434656</v>
      </c>
      <c r="Q41" s="38">
        <v>1.172770188987764</v>
      </c>
      <c r="R41" s="38">
        <v>1.0553140048637288</v>
      </c>
      <c r="S41" s="38">
        <v>0.90474950239756557</v>
      </c>
      <c r="T41" s="38">
        <v>0.7244620196383128</v>
      </c>
      <c r="U41" s="38">
        <v>0.6686613494079986</v>
      </c>
      <c r="V41" s="38">
        <v>0.62395684863422185</v>
      </c>
      <c r="W41" s="38">
        <v>0.58182967446316058</v>
      </c>
      <c r="X41" s="38">
        <v>0.46578215252165478</v>
      </c>
      <c r="Y41" s="38">
        <v>0.50423397120425983</v>
      </c>
      <c r="Z41" s="38">
        <v>0.53408925082653291</v>
      </c>
      <c r="AA41" s="746">
        <f>'Borough GHG'!S45</f>
        <v>0.45528490903400487</v>
      </c>
      <c r="AB41" s="687"/>
      <c r="AC41" s="654"/>
      <c r="AD41" s="1227"/>
      <c r="AE41" s="1228"/>
      <c r="AF41" s="1228"/>
      <c r="AG41" s="1228"/>
      <c r="AH41" s="1228"/>
      <c r="AI41" s="1229"/>
    </row>
    <row r="42" spans="2:49" ht="14.25" customHeight="1" x14ac:dyDescent="0.3">
      <c r="B42" s="37" t="s">
        <v>49</v>
      </c>
      <c r="C42" s="580"/>
      <c r="D42" s="726"/>
      <c r="E42" s="726"/>
      <c r="F42" s="726"/>
      <c r="G42" s="726"/>
      <c r="H42" s="726"/>
      <c r="I42" s="725"/>
      <c r="J42" s="726"/>
      <c r="K42" s="726"/>
      <c r="L42" s="726"/>
      <c r="M42" s="726"/>
      <c r="N42" s="726"/>
      <c r="O42" s="726"/>
      <c r="P42" s="726"/>
      <c r="Q42" s="726"/>
      <c r="R42" s="726"/>
      <c r="S42" s="726"/>
      <c r="T42" s="726"/>
      <c r="U42" s="726"/>
      <c r="V42" s="38">
        <v>1.2885128180345333E-2</v>
      </c>
      <c r="W42" s="38">
        <v>1.7839614660821006E-2</v>
      </c>
      <c r="X42" s="38">
        <v>3.5136842886796485E-2</v>
      </c>
      <c r="Y42" s="38">
        <v>5.0961458555265148E-2</v>
      </c>
      <c r="Z42" s="38">
        <v>9.0032899999999999E-2</v>
      </c>
      <c r="AA42" s="746">
        <f>'Borough GHG'!U45</f>
        <v>0.12035522060205397</v>
      </c>
      <c r="AB42" s="687"/>
      <c r="AC42" s="654"/>
      <c r="AD42" s="1227"/>
      <c r="AE42" s="1228"/>
      <c r="AF42" s="1228"/>
      <c r="AG42" s="1228"/>
      <c r="AH42" s="1228"/>
      <c r="AI42" s="1229"/>
    </row>
    <row r="43" spans="2:49" ht="14.25" customHeight="1" x14ac:dyDescent="0.3">
      <c r="B43" s="37" t="s">
        <v>50</v>
      </c>
      <c r="C43" s="584">
        <v>0.857652802635539</v>
      </c>
      <c r="D43" s="38">
        <v>0.85599999999999998</v>
      </c>
      <c r="E43" s="38">
        <v>0.76137405382977974</v>
      </c>
      <c r="F43" s="38">
        <f>(G43-E43)/2+E43</f>
        <v>0.91406117986745539</v>
      </c>
      <c r="G43" s="38">
        <v>1.066748305905131</v>
      </c>
      <c r="H43" s="38">
        <v>1.2012669136783831</v>
      </c>
      <c r="I43" s="724">
        <v>1.3568150454926271</v>
      </c>
      <c r="J43" s="38">
        <v>1.3568150454926271</v>
      </c>
      <c r="K43" s="38">
        <f>J43</f>
        <v>1.3568150454926271</v>
      </c>
      <c r="L43" s="38">
        <v>1.3870149446322475</v>
      </c>
      <c r="M43" s="38">
        <f>L43</f>
        <v>1.3870149446322475</v>
      </c>
      <c r="N43" s="38">
        <v>0.87113930912428172</v>
      </c>
      <c r="O43" s="38">
        <v>0.87113930912428172</v>
      </c>
      <c r="P43" s="38">
        <v>0.87113930912428172</v>
      </c>
      <c r="Q43" s="38">
        <v>0.92907838761271944</v>
      </c>
      <c r="R43" s="38">
        <v>0.94123026898843609</v>
      </c>
      <c r="S43" s="38">
        <v>0.95338215036415308</v>
      </c>
      <c r="T43" s="38">
        <v>0.96553403173986985</v>
      </c>
      <c r="U43" s="38">
        <v>0.95712250291340528</v>
      </c>
      <c r="V43" s="38">
        <v>0.9487109740869405</v>
      </c>
      <c r="W43" s="38">
        <v>0.94029944526047604</v>
      </c>
      <c r="X43" s="38">
        <v>0.3986000993587861</v>
      </c>
      <c r="Y43" s="38">
        <v>0.36859633878353854</v>
      </c>
      <c r="Z43" s="38">
        <v>0.67580003316714765</v>
      </c>
      <c r="AA43" s="746">
        <f>'Borough GHG'!P45</f>
        <v>0.811172142917164</v>
      </c>
      <c r="AB43" s="687"/>
      <c r="AC43" s="701"/>
      <c r="AD43" s="1227"/>
      <c r="AE43" s="1228"/>
      <c r="AF43" s="1228"/>
      <c r="AG43" s="1228"/>
      <c r="AH43" s="1228"/>
      <c r="AI43" s="1229"/>
    </row>
    <row r="44" spans="2:49" ht="14.25" customHeight="1" x14ac:dyDescent="0.3">
      <c r="B44" s="37" t="s">
        <v>51</v>
      </c>
      <c r="C44" s="584">
        <v>0.01</v>
      </c>
      <c r="D44" s="38">
        <v>1.2E-2</v>
      </c>
      <c r="E44" s="38">
        <v>5.13139064592229E-3</v>
      </c>
      <c r="F44" s="38">
        <f>(G44-E44)/2+E44</f>
        <v>6.1604476335638102E-3</v>
      </c>
      <c r="G44" s="38">
        <v>7.1895046212053313E-3</v>
      </c>
      <c r="H44" s="38">
        <v>7.1570000000000002E-3</v>
      </c>
      <c r="I44" s="724">
        <v>7.261400736176816E-3</v>
      </c>
      <c r="J44" s="38">
        <v>7.2276935E-3</v>
      </c>
      <c r="K44" s="38">
        <f>J44</f>
        <v>7.2276935E-3</v>
      </c>
      <c r="L44" s="38">
        <v>7.2276935E-3</v>
      </c>
      <c r="M44" s="38">
        <f>L44</f>
        <v>7.2276935E-3</v>
      </c>
      <c r="N44" s="38">
        <v>1.9368174180161506E-2</v>
      </c>
      <c r="O44" s="38">
        <v>1.9368174180161506E-2</v>
      </c>
      <c r="P44" s="38">
        <v>1.9368174180161506E-2</v>
      </c>
      <c r="Q44" s="38">
        <v>3.6424899260880016E-2</v>
      </c>
      <c r="R44" s="38">
        <v>3.8868804276921021E-2</v>
      </c>
      <c r="S44" s="38">
        <v>4.1312709292962005E-2</v>
      </c>
      <c r="T44" s="38">
        <v>4.3756614309003003E-2</v>
      </c>
      <c r="U44" s="38">
        <v>4.2304585133724662E-2</v>
      </c>
      <c r="V44" s="38">
        <v>4.0852555958446314E-2</v>
      </c>
      <c r="W44" s="38">
        <v>4.5179228909795477E-2</v>
      </c>
      <c r="X44" s="38">
        <v>4.2910835060283724E-2</v>
      </c>
      <c r="Y44" s="38">
        <v>2.2372820401018654E-2</v>
      </c>
      <c r="Z44" s="38">
        <v>3.3169701108522388E-2</v>
      </c>
      <c r="AA44" s="746">
        <f>'Borough GHG'!Q45</f>
        <v>5.8835909344170566E-2</v>
      </c>
      <c r="AB44" s="687"/>
      <c r="AC44" s="654"/>
      <c r="AD44" s="1227"/>
      <c r="AE44" s="1228"/>
      <c r="AF44" s="1228"/>
      <c r="AG44" s="1228"/>
      <c r="AH44" s="1228"/>
      <c r="AI44" s="1229"/>
    </row>
    <row r="45" spans="2:49" ht="14.25" customHeight="1" x14ac:dyDescent="0.3">
      <c r="B45" s="37" t="s">
        <v>52</v>
      </c>
      <c r="C45" s="578"/>
      <c r="D45" s="726"/>
      <c r="E45" s="726"/>
      <c r="F45" s="726"/>
      <c r="G45" s="726"/>
      <c r="H45" s="726"/>
      <c r="I45" s="725"/>
      <c r="J45" s="726"/>
      <c r="K45" s="726"/>
      <c r="L45" s="726"/>
      <c r="M45" s="726"/>
      <c r="N45" s="726"/>
      <c r="O45" s="726"/>
      <c r="P45" s="726"/>
      <c r="Q45" s="38">
        <v>0.32785755223977403</v>
      </c>
      <c r="R45" s="38">
        <v>0.37127496670240934</v>
      </c>
      <c r="S45" s="38">
        <v>0.41469238116504431</v>
      </c>
      <c r="T45" s="38">
        <v>0.45810979562767967</v>
      </c>
      <c r="U45" s="38">
        <v>0.46489361538208906</v>
      </c>
      <c r="V45" s="38">
        <v>0.47167743513649885</v>
      </c>
      <c r="W45" s="38">
        <v>0.47840308066577852</v>
      </c>
      <c r="X45" s="38">
        <v>0.45546624420510673</v>
      </c>
      <c r="Y45" s="38">
        <v>0.45423521229915409</v>
      </c>
      <c r="Z45" s="38">
        <v>0.53788780735106001</v>
      </c>
      <c r="AA45" s="747">
        <f>'Borough GHG'!Z45</f>
        <v>0.54355991228994216</v>
      </c>
      <c r="AB45" s="687"/>
      <c r="AC45" s="705"/>
      <c r="AD45" s="1227"/>
      <c r="AE45" s="1228"/>
      <c r="AF45" s="1228"/>
      <c r="AG45" s="1228"/>
      <c r="AH45" s="1228"/>
      <c r="AI45" s="1229"/>
    </row>
    <row r="46" spans="2:49" ht="14.25" customHeight="1" x14ac:dyDescent="0.3">
      <c r="B46" s="46" t="s">
        <v>35</v>
      </c>
      <c r="C46" s="579">
        <f t="shared" ref="C46:X46" si="7">SUM(C39:C45)</f>
        <v>9.4742967447756588</v>
      </c>
      <c r="D46" s="42">
        <f t="shared" si="7"/>
        <v>8.7129081507520318</v>
      </c>
      <c r="E46" s="42">
        <f t="shared" si="7"/>
        <v>9.3089775989662691</v>
      </c>
      <c r="F46" s="42">
        <f t="shared" si="7"/>
        <v>9.8815826110178921</v>
      </c>
      <c r="G46" s="42">
        <f t="shared" si="7"/>
        <v>10.454187623069517</v>
      </c>
      <c r="H46" s="42">
        <f t="shared" si="7"/>
        <v>9.6540478556220997</v>
      </c>
      <c r="I46" s="727">
        <f t="shared" si="7"/>
        <v>10.209513682865666</v>
      </c>
      <c r="J46" s="42">
        <f t="shared" si="7"/>
        <v>10.20657632968971</v>
      </c>
      <c r="K46" s="42">
        <f t="shared" si="7"/>
        <v>10.125153831054471</v>
      </c>
      <c r="L46" s="42">
        <f t="shared" si="7"/>
        <v>10.423091814980966</v>
      </c>
      <c r="M46" s="42">
        <f t="shared" si="7"/>
        <v>10.106326195811096</v>
      </c>
      <c r="N46" s="42">
        <f t="shared" si="7"/>
        <v>9.0620838953600185</v>
      </c>
      <c r="O46" s="42">
        <f t="shared" si="7"/>
        <v>9.3019540551942637</v>
      </c>
      <c r="P46" s="42">
        <f t="shared" si="7"/>
        <v>9.5418242150285177</v>
      </c>
      <c r="Q46" s="42">
        <f>SUM(Q39:Q45)</f>
        <v>10.194781081020372</v>
      </c>
      <c r="R46" s="42">
        <f t="shared" si="7"/>
        <v>10.107607959035661</v>
      </c>
      <c r="S46" s="42">
        <f t="shared" si="7"/>
        <v>9.9908493169165844</v>
      </c>
      <c r="T46" s="42">
        <f t="shared" si="7"/>
        <v>9.9772025323678335</v>
      </c>
      <c r="U46" s="42">
        <f t="shared" si="7"/>
        <v>9.6741537346547499</v>
      </c>
      <c r="V46" s="42">
        <f t="shared" si="7"/>
        <v>9.4551471229502351</v>
      </c>
      <c r="W46" s="42">
        <f t="shared" si="7"/>
        <v>9.2798547816445982</v>
      </c>
      <c r="X46" s="42">
        <f t="shared" si="7"/>
        <v>7.315478095923952</v>
      </c>
      <c r="Y46" s="42">
        <f>SUM(Y39:Y45)</f>
        <v>7.6821912741902416</v>
      </c>
      <c r="Z46" s="42">
        <f>SUM(Z39:Z45)</f>
        <v>8.7437724856285453</v>
      </c>
      <c r="AA46" s="748">
        <f>SUM(AA39:AA45)</f>
        <v>8.7199879350515541</v>
      </c>
      <c r="AB46" s="687"/>
      <c r="AC46" s="681"/>
      <c r="AD46" s="1227"/>
      <c r="AE46" s="1228"/>
      <c r="AF46" s="1228"/>
      <c r="AG46" s="1228"/>
      <c r="AH46" s="1228"/>
      <c r="AI46" s="1229"/>
      <c r="AJ46" s="383"/>
    </row>
    <row r="47" spans="2:49" ht="14.25" customHeight="1" thickBot="1" x14ac:dyDescent="0.35">
      <c r="B47" s="37" t="s">
        <v>36</v>
      </c>
      <c r="C47" s="583"/>
      <c r="D47" s="773"/>
      <c r="E47" s="765">
        <f t="shared" ref="E47:M47" si="8">(E$46-$D$46)/$D$46</f>
        <v>6.8412226767567738E-2</v>
      </c>
      <c r="F47" s="765">
        <f t="shared" si="8"/>
        <v>0.13413138759703203</v>
      </c>
      <c r="G47" s="765">
        <f t="shared" si="8"/>
        <v>0.19985054842649652</v>
      </c>
      <c r="H47" s="765">
        <f t="shared" si="8"/>
        <v>0.10801671366050562</v>
      </c>
      <c r="I47" s="781">
        <f t="shared" si="8"/>
        <v>0.17176877182900846</v>
      </c>
      <c r="J47" s="765">
        <f t="shared" si="8"/>
        <v>0.17143164522040283</v>
      </c>
      <c r="K47" s="765">
        <f t="shared" si="8"/>
        <v>0.16208660252897816</v>
      </c>
      <c r="L47" s="765">
        <f t="shared" si="8"/>
        <v>0.19628161282537149</v>
      </c>
      <c r="M47" s="765">
        <f t="shared" si="8"/>
        <v>0.15992571262659244</v>
      </c>
      <c r="N47" s="765">
        <f t="shared" ref="N47:Z47" si="9">(N46-$D$46)/$D$46</f>
        <v>4.007568294839059E-2</v>
      </c>
      <c r="O47" s="765">
        <f t="shared" si="9"/>
        <v>6.7606118904328161E-2</v>
      </c>
      <c r="P47" s="765">
        <f t="shared" si="9"/>
        <v>9.5136554860266745E-2</v>
      </c>
      <c r="Q47" s="765">
        <f t="shared" si="9"/>
        <v>0.17007787808946842</v>
      </c>
      <c r="R47" s="765">
        <f t="shared" si="9"/>
        <v>0.16007282346517673</v>
      </c>
      <c r="S47" s="765">
        <f t="shared" si="9"/>
        <v>0.14667217237384172</v>
      </c>
      <c r="T47" s="765">
        <f t="shared" si="9"/>
        <v>0.14510590031947915</v>
      </c>
      <c r="U47" s="765">
        <f t="shared" si="9"/>
        <v>0.11032431046799807</v>
      </c>
      <c r="V47" s="765">
        <f t="shared" si="9"/>
        <v>8.5188430700275292E-2</v>
      </c>
      <c r="W47" s="765">
        <f t="shared" si="9"/>
        <v>6.506973573956841E-2</v>
      </c>
      <c r="X47" s="549">
        <f t="shared" si="9"/>
        <v>-0.16038617998141808</v>
      </c>
      <c r="Y47" s="549">
        <f t="shared" si="9"/>
        <v>-0.11829768645877745</v>
      </c>
      <c r="Z47" s="549">
        <f t="shared" si="9"/>
        <v>3.5423689016909283E-3</v>
      </c>
      <c r="AA47" s="749">
        <f>(AA46-$D$46)/$D$46</f>
        <v>8.1256271465586386E-4</v>
      </c>
      <c r="AB47" s="32"/>
      <c r="AC47" s="32"/>
      <c r="AD47" s="1230"/>
      <c r="AE47" s="1231"/>
      <c r="AF47" s="1231"/>
      <c r="AG47" s="1231"/>
      <c r="AH47" s="1231"/>
      <c r="AI47" s="1232"/>
    </row>
    <row r="48" spans="2:49" ht="14.25" customHeight="1" x14ac:dyDescent="0.3">
      <c r="B48" s="772" t="s">
        <v>53</v>
      </c>
      <c r="C48" s="782"/>
      <c r="D48" s="783"/>
      <c r="E48" s="783"/>
      <c r="F48" s="783"/>
      <c r="G48" s="783"/>
      <c r="H48" s="783"/>
      <c r="I48" s="784"/>
      <c r="J48" s="783"/>
      <c r="K48" s="783"/>
      <c r="L48" s="783"/>
      <c r="M48" s="783"/>
      <c r="N48" s="783"/>
      <c r="O48" s="783"/>
      <c r="P48" s="783"/>
      <c r="Q48" s="783"/>
      <c r="R48" s="783"/>
      <c r="S48" s="783"/>
      <c r="T48" s="783"/>
      <c r="U48" s="783"/>
      <c r="V48" s="783"/>
      <c r="W48" s="783"/>
      <c r="X48" s="783"/>
      <c r="Y48" s="783"/>
      <c r="Z48" s="783"/>
      <c r="AA48" s="761"/>
      <c r="AB48" s="32"/>
      <c r="AC48" s="32"/>
      <c r="AD48" s="303"/>
      <c r="AE48" s="303"/>
      <c r="AF48" s="303"/>
      <c r="AG48" s="303"/>
    </row>
    <row r="49" spans="2:43" ht="14.25" customHeight="1" x14ac:dyDescent="0.3">
      <c r="B49" s="37" t="s">
        <v>54</v>
      </c>
      <c r="C49" s="582"/>
      <c r="D49" s="729"/>
      <c r="E49" s="57"/>
      <c r="F49" s="57"/>
      <c r="G49" s="57"/>
      <c r="H49" s="57"/>
      <c r="I49" s="734"/>
      <c r="J49" s="57"/>
      <c r="K49" s="57"/>
      <c r="L49" s="57"/>
      <c r="M49" s="57"/>
      <c r="N49" s="57"/>
      <c r="O49" s="57"/>
      <c r="P49" s="57"/>
      <c r="Q49" s="384">
        <v>0.30737302322618854</v>
      </c>
      <c r="R49" s="384">
        <v>0.31737704826827307</v>
      </c>
      <c r="S49" s="384">
        <v>0.30848047544388524</v>
      </c>
      <c r="T49" s="384">
        <v>0.33390911218317415</v>
      </c>
      <c r="U49" s="384">
        <v>0.30485534217123361</v>
      </c>
      <c r="V49" s="384">
        <v>0.26268238693504892</v>
      </c>
      <c r="W49" s="384">
        <v>0.27413506481396305</v>
      </c>
      <c r="X49" s="384">
        <v>0.2228984009425844</v>
      </c>
      <c r="Y49" s="384">
        <v>0.20650623123093992</v>
      </c>
      <c r="Z49" s="384">
        <v>0.19287271853489801</v>
      </c>
      <c r="AA49" s="750">
        <f>('III. Waste'!L10+'III. Waste'!L12)/1000000</f>
        <v>0.1963694469334564</v>
      </c>
      <c r="AB49" s="32"/>
      <c r="AC49" s="32"/>
      <c r="AD49" s="382"/>
      <c r="AE49" s="382"/>
      <c r="AF49" s="539"/>
      <c r="AG49" s="381"/>
      <c r="AI49" s="39"/>
    </row>
    <row r="50" spans="2:43" ht="14.25" customHeight="1" x14ac:dyDescent="0.3">
      <c r="B50" s="37" t="s">
        <v>55</v>
      </c>
      <c r="C50" s="582"/>
      <c r="D50" s="729"/>
      <c r="E50" s="57"/>
      <c r="F50" s="57"/>
      <c r="G50" s="57"/>
      <c r="H50" s="57"/>
      <c r="I50" s="734"/>
      <c r="J50" s="57"/>
      <c r="K50" s="57"/>
      <c r="L50" s="57"/>
      <c r="M50" s="57"/>
      <c r="N50" s="57"/>
      <c r="O50" s="57"/>
      <c r="P50" s="57"/>
      <c r="Q50" s="384">
        <v>6.0265826819039997E-2</v>
      </c>
      <c r="R50" s="384">
        <v>5.764308311871999E-2</v>
      </c>
      <c r="S50" s="384">
        <v>3.6270389707199993E-2</v>
      </c>
      <c r="T50" s="384">
        <v>4.11291550112E-2</v>
      </c>
      <c r="U50" s="384">
        <v>5.2799576565599998E-2</v>
      </c>
      <c r="V50" s="384">
        <v>5.8587334567999992E-2</v>
      </c>
      <c r="W50" s="384">
        <v>6.7176967369760004E-2</v>
      </c>
      <c r="X50" s="384">
        <v>5.8387725108960002E-2</v>
      </c>
      <c r="Y50" s="384">
        <v>6.0764647589120001E-2</v>
      </c>
      <c r="Z50" s="384">
        <v>4.936004977024E-2</v>
      </c>
      <c r="AA50" s="751">
        <f>SUM('III. Waste'!L20:L27)/1000000</f>
        <v>5.6420457063199994E-2</v>
      </c>
      <c r="AB50" s="32"/>
      <c r="AC50" s="32"/>
      <c r="AD50" s="708"/>
      <c r="AE50" s="381"/>
      <c r="AF50" s="538"/>
      <c r="AG50" s="538"/>
    </row>
    <row r="51" spans="2:43" ht="14.25" customHeight="1" x14ac:dyDescent="0.3">
      <c r="B51" s="37" t="s">
        <v>56</v>
      </c>
      <c r="C51" s="582"/>
      <c r="D51" s="729"/>
      <c r="E51" s="57"/>
      <c r="F51" s="57"/>
      <c r="G51" s="57"/>
      <c r="H51" s="57"/>
      <c r="I51" s="734"/>
      <c r="J51" s="57"/>
      <c r="K51" s="57"/>
      <c r="L51" s="57"/>
      <c r="M51" s="57"/>
      <c r="N51" s="57"/>
      <c r="O51" s="57"/>
      <c r="P51" s="57"/>
      <c r="Q51" s="38">
        <v>0.18041804241387538</v>
      </c>
      <c r="R51" s="38">
        <v>0.18303655294736978</v>
      </c>
      <c r="S51" s="38">
        <v>0.18593094663300069</v>
      </c>
      <c r="T51" s="38">
        <v>0.1879876587475991</v>
      </c>
      <c r="U51" s="38">
        <v>0.18917397773792807</v>
      </c>
      <c r="V51" s="38">
        <v>0.19095489244495953</v>
      </c>
      <c r="W51" s="38">
        <v>0.1921104720071484</v>
      </c>
      <c r="X51" s="38">
        <v>0.19297861433647029</v>
      </c>
      <c r="Y51" s="38">
        <v>0.18856577007082895</v>
      </c>
      <c r="Z51" s="38">
        <v>0.19005669664405286</v>
      </c>
      <c r="AA51" s="751">
        <f>'III. Waste'!L35/1000000</f>
        <v>0.19175293858877354</v>
      </c>
      <c r="AB51" s="32"/>
      <c r="AC51" s="32"/>
      <c r="AD51" s="303"/>
      <c r="AE51" s="510"/>
      <c r="AF51" s="382"/>
      <c r="AG51" s="385"/>
    </row>
    <row r="52" spans="2:43" ht="14.25" customHeight="1" x14ac:dyDescent="0.3">
      <c r="B52" s="41" t="s">
        <v>35</v>
      </c>
      <c r="C52" s="579">
        <f t="shared" ref="C52:X52" si="10">SUM(C49:C51)</f>
        <v>0</v>
      </c>
      <c r="D52" s="42">
        <f t="shared" si="10"/>
        <v>0</v>
      </c>
      <c r="E52" s="42">
        <f t="shared" si="10"/>
        <v>0</v>
      </c>
      <c r="F52" s="42">
        <f t="shared" si="10"/>
        <v>0</v>
      </c>
      <c r="G52" s="42">
        <f t="shared" si="10"/>
        <v>0</v>
      </c>
      <c r="H52" s="42">
        <f t="shared" si="10"/>
        <v>0</v>
      </c>
      <c r="I52" s="727">
        <f t="shared" si="10"/>
        <v>0</v>
      </c>
      <c r="J52" s="42">
        <f t="shared" si="10"/>
        <v>0</v>
      </c>
      <c r="K52" s="42">
        <f t="shared" si="10"/>
        <v>0</v>
      </c>
      <c r="L52" s="42">
        <f t="shared" si="10"/>
        <v>0</v>
      </c>
      <c r="M52" s="42">
        <f t="shared" si="10"/>
        <v>0</v>
      </c>
      <c r="N52" s="42">
        <f t="shared" si="10"/>
        <v>0</v>
      </c>
      <c r="O52" s="42">
        <f t="shared" si="10"/>
        <v>0</v>
      </c>
      <c r="P52" s="42">
        <f t="shared" si="10"/>
        <v>0</v>
      </c>
      <c r="Q52" s="42">
        <f t="shared" si="10"/>
        <v>0.54805689245910394</v>
      </c>
      <c r="R52" s="42">
        <f t="shared" si="10"/>
        <v>0.55805668433436284</v>
      </c>
      <c r="S52" s="42">
        <f t="shared" si="10"/>
        <v>0.53068181178408591</v>
      </c>
      <c r="T52" s="42">
        <f t="shared" si="10"/>
        <v>0.5630259259419732</v>
      </c>
      <c r="U52" s="42">
        <f t="shared" si="10"/>
        <v>0.54682889647476174</v>
      </c>
      <c r="V52" s="42">
        <f t="shared" si="10"/>
        <v>0.51222461394800844</v>
      </c>
      <c r="W52" s="42">
        <f t="shared" si="10"/>
        <v>0.53342250419087145</v>
      </c>
      <c r="X52" s="42">
        <f t="shared" si="10"/>
        <v>0.47426474038801469</v>
      </c>
      <c r="Y52" s="42">
        <f>SUM(Y49:Y51)</f>
        <v>0.45583664889088882</v>
      </c>
      <c r="Z52" s="42">
        <f>SUM(Z49:Z51)</f>
        <v>0.43228946494919085</v>
      </c>
      <c r="AA52" s="752">
        <f>SUM(AA49:AA51)</f>
        <v>0.44454284258542998</v>
      </c>
      <c r="AB52" s="32"/>
      <c r="AC52" s="647"/>
      <c r="AD52" s="499"/>
      <c r="AE52" s="381"/>
      <c r="AF52" s="381"/>
      <c r="AG52" s="451"/>
    </row>
    <row r="53" spans="2:43" ht="14.25" customHeight="1" x14ac:dyDescent="0.3">
      <c r="B53" s="772" t="s">
        <v>57</v>
      </c>
      <c r="C53" s="782"/>
      <c r="D53" s="783"/>
      <c r="E53" s="783"/>
      <c r="F53" s="783"/>
      <c r="G53" s="783"/>
      <c r="H53" s="783"/>
      <c r="I53" s="784"/>
      <c r="J53" s="783"/>
      <c r="K53" s="783"/>
      <c r="L53" s="783"/>
      <c r="M53" s="783"/>
      <c r="N53" s="783"/>
      <c r="O53" s="783"/>
      <c r="P53" s="783"/>
      <c r="Q53" s="783"/>
      <c r="R53" s="783"/>
      <c r="S53" s="783"/>
      <c r="T53" s="783"/>
      <c r="U53" s="783"/>
      <c r="V53" s="783"/>
      <c r="W53" s="783"/>
      <c r="X53" s="783"/>
      <c r="Y53" s="783"/>
      <c r="Z53" s="783"/>
      <c r="AA53" s="761"/>
      <c r="AB53" s="32"/>
      <c r="AC53" s="32"/>
      <c r="AD53" s="224"/>
      <c r="AE53" s="537"/>
      <c r="AF53" s="498"/>
      <c r="AG53" s="223"/>
      <c r="AH53" s="39"/>
      <c r="AI53" s="350"/>
    </row>
    <row r="54" spans="2:43" ht="14.25" customHeight="1" x14ac:dyDescent="0.3">
      <c r="B54" s="550" t="s">
        <v>58</v>
      </c>
      <c r="C54" s="584" t="s">
        <v>59</v>
      </c>
      <c r="D54" s="38" t="s">
        <v>59</v>
      </c>
      <c r="E54" s="44" t="s">
        <v>59</v>
      </c>
      <c r="F54" s="38" t="s">
        <v>59</v>
      </c>
      <c r="G54" s="38" t="s">
        <v>59</v>
      </c>
      <c r="H54" s="44" t="s">
        <v>59</v>
      </c>
      <c r="I54" s="724" t="s">
        <v>59</v>
      </c>
      <c r="J54" s="38" t="s">
        <v>59</v>
      </c>
      <c r="K54" s="44" t="s">
        <v>59</v>
      </c>
      <c r="L54" s="38" t="s">
        <v>59</v>
      </c>
      <c r="M54" s="38" t="s">
        <v>59</v>
      </c>
      <c r="N54" s="44" t="s">
        <v>59</v>
      </c>
      <c r="O54" s="38" t="s">
        <v>59</v>
      </c>
      <c r="P54" s="38" t="s">
        <v>59</v>
      </c>
      <c r="Q54" s="44" t="s">
        <v>59</v>
      </c>
      <c r="R54" s="38" t="s">
        <v>59</v>
      </c>
      <c r="S54" s="38" t="s">
        <v>59</v>
      </c>
      <c r="T54" s="44" t="s">
        <v>59</v>
      </c>
      <c r="U54" s="38" t="s">
        <v>59</v>
      </c>
      <c r="V54" s="38" t="s">
        <v>59</v>
      </c>
      <c r="W54" s="38" t="s">
        <v>59</v>
      </c>
      <c r="X54" s="38" t="s">
        <v>59</v>
      </c>
      <c r="Y54" s="38" t="s">
        <v>59</v>
      </c>
      <c r="Z54" s="38" t="s">
        <v>59</v>
      </c>
      <c r="AA54" s="742" t="s">
        <v>59</v>
      </c>
      <c r="AB54" s="32"/>
      <c r="AC54" s="32"/>
      <c r="AD54" s="223"/>
      <c r="AE54" s="69"/>
      <c r="AF54" s="223"/>
      <c r="AG54" s="386"/>
    </row>
    <row r="55" spans="2:43" ht="14.25" customHeight="1" x14ac:dyDescent="0.3">
      <c r="B55" s="248" t="s">
        <v>60</v>
      </c>
      <c r="C55" s="585">
        <v>0.1353614480747207</v>
      </c>
      <c r="D55" s="729"/>
      <c r="E55" s="57"/>
      <c r="F55" s="57"/>
      <c r="G55" s="38">
        <v>1.504689896339201</v>
      </c>
      <c r="H55" s="38">
        <v>1.647091885301589</v>
      </c>
      <c r="I55" s="724">
        <v>1.3478075577165298</v>
      </c>
      <c r="J55" s="38">
        <v>1.4228268474304844</v>
      </c>
      <c r="K55" s="38">
        <v>1.4942821173568854</v>
      </c>
      <c r="L55" s="38">
        <v>1.5405997371985132</v>
      </c>
      <c r="M55" s="38">
        <v>1.601377555897356</v>
      </c>
      <c r="N55" s="38">
        <v>1.6958504527482541</v>
      </c>
      <c r="O55" s="38">
        <v>1.5359551758618681</v>
      </c>
      <c r="P55" s="38">
        <v>1.5911152665929975</v>
      </c>
      <c r="Q55" s="38">
        <v>1.6194730422196957</v>
      </c>
      <c r="R55" s="38">
        <v>1.6410260581370324</v>
      </c>
      <c r="S55" s="38">
        <v>1.6399106691237726</v>
      </c>
      <c r="T55" s="38">
        <v>1.5662243644616147</v>
      </c>
      <c r="U55" s="38">
        <v>1.4601118642782793</v>
      </c>
      <c r="V55" s="38">
        <v>1.3807014001316174</v>
      </c>
      <c r="W55" s="38">
        <v>1.3189410652313553</v>
      </c>
      <c r="X55" s="38">
        <v>1.2605780554340531</v>
      </c>
      <c r="Y55" s="38">
        <v>1.1576058347976375</v>
      </c>
      <c r="Z55" s="38">
        <v>1.0144399493149179</v>
      </c>
      <c r="AA55" s="742">
        <f>'IV. IPPU'!R65/1000000</f>
        <v>1.0101036196923097</v>
      </c>
      <c r="AB55" s="32"/>
      <c r="AC55" s="32"/>
      <c r="AD55" s="452"/>
      <c r="AE55" s="501"/>
      <c r="AF55" s="403"/>
      <c r="AG55" s="403"/>
    </row>
    <row r="56" spans="2:43" ht="14.25" customHeight="1" x14ac:dyDescent="0.3">
      <c r="B56" s="41" t="s">
        <v>35</v>
      </c>
      <c r="C56" s="579">
        <f t="shared" ref="C56:X56" si="11">C55</f>
        <v>0.1353614480747207</v>
      </c>
      <c r="D56" s="42">
        <f t="shared" si="11"/>
        <v>0</v>
      </c>
      <c r="E56" s="42">
        <f t="shared" si="11"/>
        <v>0</v>
      </c>
      <c r="F56" s="42">
        <f t="shared" si="11"/>
        <v>0</v>
      </c>
      <c r="G56" s="42">
        <f t="shared" si="11"/>
        <v>1.504689896339201</v>
      </c>
      <c r="H56" s="42">
        <f t="shared" si="11"/>
        <v>1.647091885301589</v>
      </c>
      <c r="I56" s="727">
        <f t="shared" si="11"/>
        <v>1.3478075577165298</v>
      </c>
      <c r="J56" s="42">
        <f t="shared" si="11"/>
        <v>1.4228268474304844</v>
      </c>
      <c r="K56" s="42">
        <f t="shared" si="11"/>
        <v>1.4942821173568854</v>
      </c>
      <c r="L56" s="42">
        <f t="shared" si="11"/>
        <v>1.5405997371985132</v>
      </c>
      <c r="M56" s="42">
        <f t="shared" si="11"/>
        <v>1.601377555897356</v>
      </c>
      <c r="N56" s="773">
        <f t="shared" si="11"/>
        <v>1.6958504527482541</v>
      </c>
      <c r="O56" s="42">
        <f t="shared" si="11"/>
        <v>1.5359551758618681</v>
      </c>
      <c r="P56" s="42">
        <f t="shared" si="11"/>
        <v>1.5911152665929975</v>
      </c>
      <c r="Q56" s="42">
        <f t="shared" si="11"/>
        <v>1.6194730422196957</v>
      </c>
      <c r="R56" s="42">
        <f t="shared" si="11"/>
        <v>1.6410260581370324</v>
      </c>
      <c r="S56" s="42">
        <f t="shared" si="11"/>
        <v>1.6399106691237726</v>
      </c>
      <c r="T56" s="42">
        <f t="shared" si="11"/>
        <v>1.5662243644616147</v>
      </c>
      <c r="U56" s="42">
        <f t="shared" si="11"/>
        <v>1.4601118642782793</v>
      </c>
      <c r="V56" s="42">
        <f t="shared" si="11"/>
        <v>1.3807014001316174</v>
      </c>
      <c r="W56" s="42">
        <f t="shared" si="11"/>
        <v>1.3189410652313553</v>
      </c>
      <c r="X56" s="42">
        <f t="shared" si="11"/>
        <v>1.2605780554340531</v>
      </c>
      <c r="Y56" s="42">
        <f>Y55</f>
        <v>1.1576058347976375</v>
      </c>
      <c r="Z56" s="42">
        <f>Z55</f>
        <v>1.0144399493149179</v>
      </c>
      <c r="AA56" s="752">
        <f>AA55</f>
        <v>1.0101036196923097</v>
      </c>
      <c r="AB56" s="32"/>
      <c r="AC56" s="561"/>
      <c r="AD56" s="452"/>
      <c r="AE56" s="404"/>
      <c r="AF56" s="67"/>
      <c r="AG56" s="651"/>
      <c r="AH56" s="492"/>
      <c r="AI56" s="492"/>
      <c r="AJ56" s="492"/>
      <c r="AK56" s="492"/>
      <c r="AL56" s="492"/>
      <c r="AM56" s="492"/>
      <c r="AN56" s="492"/>
      <c r="AO56" s="492"/>
      <c r="AP56" s="492"/>
      <c r="AQ56" s="492"/>
    </row>
    <row r="57" spans="2:43" ht="14.25" customHeight="1" x14ac:dyDescent="0.3">
      <c r="B57" s="772" t="s">
        <v>61</v>
      </c>
      <c r="C57" s="782"/>
      <c r="D57" s="783"/>
      <c r="E57" s="783"/>
      <c r="F57" s="783"/>
      <c r="G57" s="783"/>
      <c r="H57" s="783"/>
      <c r="I57" s="784"/>
      <c r="J57" s="783"/>
      <c r="K57" s="783"/>
      <c r="L57" s="783"/>
      <c r="M57" s="783"/>
      <c r="N57" s="783"/>
      <c r="O57" s="783"/>
      <c r="P57" s="783"/>
      <c r="Q57" s="783"/>
      <c r="R57" s="783"/>
      <c r="S57" s="783"/>
      <c r="T57" s="783"/>
      <c r="U57" s="783"/>
      <c r="V57" s="783"/>
      <c r="W57" s="783"/>
      <c r="X57" s="783"/>
      <c r="Y57" s="783"/>
      <c r="Z57" s="783"/>
      <c r="AA57" s="761"/>
      <c r="AB57" s="32"/>
      <c r="AC57" s="32"/>
      <c r="AD57" s="67"/>
      <c r="AE57" s="452"/>
      <c r="AF57" s="67"/>
      <c r="AG57" s="67"/>
      <c r="AH57" s="492"/>
    </row>
    <row r="58" spans="2:43" ht="14.25" customHeight="1" x14ac:dyDescent="0.3">
      <c r="B58" s="37" t="s">
        <v>62</v>
      </c>
      <c r="C58" s="586">
        <v>2.8358997655622085E-2</v>
      </c>
      <c r="D58" s="390">
        <v>2.1443250716666765E-2</v>
      </c>
      <c r="E58" s="390">
        <v>2.0121423678405387E-2</v>
      </c>
      <c r="F58" s="390">
        <v>1.864775759492308E-2</v>
      </c>
      <c r="G58" s="390">
        <v>1.7569016696668827E-2</v>
      </c>
      <c r="H58" s="390">
        <v>1.7870952368564744E-2</v>
      </c>
      <c r="I58" s="735">
        <v>1.3147487363629468E-2</v>
      </c>
      <c r="J58" s="390">
        <v>1.2955266564111329E-2</v>
      </c>
      <c r="K58" s="390">
        <v>1.1235466535935766E-2</v>
      </c>
      <c r="L58" s="390">
        <v>1.138026822326885E-2</v>
      </c>
      <c r="M58" s="390">
        <v>1.16203113576504E-2</v>
      </c>
      <c r="N58" s="390">
        <v>1.3361898717437492E-2</v>
      </c>
      <c r="O58" s="390">
        <v>1.2955426234678442E-2</v>
      </c>
      <c r="P58" s="390">
        <v>1.2563089616518619E-2</v>
      </c>
      <c r="Q58" s="390">
        <v>1.1839146322238567E-2</v>
      </c>
      <c r="R58" s="390">
        <v>1.0645547008260928E-2</v>
      </c>
      <c r="S58" s="390">
        <v>1.0300334107414828E-2</v>
      </c>
      <c r="T58" s="390">
        <v>1.0242812518309951E-2</v>
      </c>
      <c r="U58" s="390">
        <v>1.0130796780762428E-2</v>
      </c>
      <c r="V58" s="390">
        <v>1.0356521382281212E-2</v>
      </c>
      <c r="W58" s="390">
        <v>1.0356521382281212E-2</v>
      </c>
      <c r="X58" s="390">
        <v>1.0356521382281212E-2</v>
      </c>
      <c r="Y58" s="390">
        <v>1.0356521382281212E-2</v>
      </c>
      <c r="Z58" s="390">
        <v>1.191474395566804E-2</v>
      </c>
      <c r="AA58" s="753">
        <f>'V. AFOLU'!H20</f>
        <v>1.191474395566804E-2</v>
      </c>
      <c r="AB58" s="32"/>
      <c r="AC58" s="32"/>
      <c r="AD58" s="234"/>
      <c r="AF58" s="67"/>
      <c r="AG58" s="67"/>
      <c r="AH58" s="492"/>
    </row>
    <row r="59" spans="2:43" ht="14.25" customHeight="1" x14ac:dyDescent="0.3">
      <c r="B59" s="37" t="s">
        <v>63</v>
      </c>
      <c r="C59" s="586">
        <v>0.13665979189079658</v>
      </c>
      <c r="D59" s="390">
        <v>0.12932166970719453</v>
      </c>
      <c r="E59" s="390">
        <v>0.12730634529926266</v>
      </c>
      <c r="F59" s="390">
        <v>0.12581040652407827</v>
      </c>
      <c r="G59" s="390">
        <v>0.12398263593252648</v>
      </c>
      <c r="H59" s="390">
        <v>0.1205075798884533</v>
      </c>
      <c r="I59" s="735">
        <v>0.11955126992171697</v>
      </c>
      <c r="J59" s="390">
        <v>0.1171267859305356</v>
      </c>
      <c r="K59" s="390">
        <v>0.11564482361576663</v>
      </c>
      <c r="L59" s="390">
        <v>0.11377004886058774</v>
      </c>
      <c r="M59" s="390">
        <v>0.11259781977377388</v>
      </c>
      <c r="N59" s="390">
        <v>0.11161635465942349</v>
      </c>
      <c r="O59" s="390">
        <v>0.11046022416247736</v>
      </c>
      <c r="P59" s="390">
        <v>0.10881792511973541</v>
      </c>
      <c r="Q59" s="390">
        <v>0.10654469524127952</v>
      </c>
      <c r="R59" s="390">
        <v>0.10984624341071941</v>
      </c>
      <c r="S59" s="390">
        <v>0.10478077164963315</v>
      </c>
      <c r="T59" s="390">
        <v>0.10569714389842726</v>
      </c>
      <c r="U59" s="390">
        <v>0.10324654382285642</v>
      </c>
      <c r="V59" s="390">
        <v>0.10236322</v>
      </c>
      <c r="W59" s="390">
        <v>0.10236322</v>
      </c>
      <c r="X59" s="390">
        <v>0.10236322</v>
      </c>
      <c r="Y59" s="390">
        <v>0.10236322</v>
      </c>
      <c r="Z59" s="390">
        <v>0.10901989537494816</v>
      </c>
      <c r="AA59" s="753">
        <f>'V. AFOLU'!H44</f>
        <v>0.10901989537494816</v>
      </c>
      <c r="AB59" s="32"/>
      <c r="AC59" s="32"/>
      <c r="AD59" s="452"/>
      <c r="AE59" s="67"/>
      <c r="AF59" s="67"/>
      <c r="AG59" s="67"/>
      <c r="AH59" s="492"/>
    </row>
    <row r="60" spans="2:43" ht="14.25" customHeight="1" x14ac:dyDescent="0.3">
      <c r="B60" s="37" t="s">
        <v>64</v>
      </c>
      <c r="C60" s="587">
        <v>2.3073093372078172E-4</v>
      </c>
      <c r="D60" s="38">
        <v>0</v>
      </c>
      <c r="E60" s="38">
        <v>0</v>
      </c>
      <c r="F60" s="38">
        <v>0</v>
      </c>
      <c r="G60" s="38">
        <v>0</v>
      </c>
      <c r="H60" s="38">
        <v>0</v>
      </c>
      <c r="I60" s="724">
        <v>0</v>
      </c>
      <c r="J60" s="38">
        <v>0</v>
      </c>
      <c r="K60" s="38">
        <v>0</v>
      </c>
      <c r="L60" s="38">
        <v>0</v>
      </c>
      <c r="M60" s="38">
        <v>0</v>
      </c>
      <c r="N60" s="38">
        <v>0</v>
      </c>
      <c r="O60" s="38">
        <v>0</v>
      </c>
      <c r="P60" s="38">
        <v>0</v>
      </c>
      <c r="Q60" s="38">
        <v>0</v>
      </c>
      <c r="R60" s="38">
        <v>0</v>
      </c>
      <c r="S60" s="38">
        <v>0</v>
      </c>
      <c r="T60" s="38">
        <v>0</v>
      </c>
      <c r="U60" s="38">
        <v>0</v>
      </c>
      <c r="V60" s="38">
        <v>0</v>
      </c>
      <c r="W60" s="38">
        <v>0</v>
      </c>
      <c r="X60" s="38">
        <v>0</v>
      </c>
      <c r="Y60" s="38">
        <v>0</v>
      </c>
      <c r="Z60" s="38">
        <v>0</v>
      </c>
      <c r="AA60" s="742">
        <f>'V. AFOLU'!H49</f>
        <v>0</v>
      </c>
      <c r="AB60" s="32"/>
      <c r="AC60" s="32"/>
      <c r="AD60" s="234"/>
      <c r="AE60" s="67"/>
      <c r="AF60" s="387"/>
      <c r="AG60" s="67"/>
      <c r="AH60" s="492"/>
    </row>
    <row r="61" spans="2:43" ht="14.25" customHeight="1" x14ac:dyDescent="0.3">
      <c r="B61" s="37" t="s">
        <v>31</v>
      </c>
      <c r="C61" s="588">
        <v>9.886184656308885E-3</v>
      </c>
      <c r="D61" s="314">
        <v>8.3771062208103653E-3</v>
      </c>
      <c r="E61" s="315">
        <v>7.5283287831450591E-3</v>
      </c>
      <c r="F61" s="315">
        <v>7.3351517372419687E-3</v>
      </c>
      <c r="G61" s="315">
        <v>7.3181826388705688E-3</v>
      </c>
      <c r="H61" s="315">
        <v>6.8690117759108776E-3</v>
      </c>
      <c r="I61" s="736">
        <v>7.089151665911805E-3</v>
      </c>
      <c r="J61" s="315">
        <v>7.7843653910415174E-3</v>
      </c>
      <c r="K61" s="315">
        <v>5.9424759554059193E-3</v>
      </c>
      <c r="L61" s="315">
        <v>6.6130885181524077E-3</v>
      </c>
      <c r="M61" s="315">
        <v>5.8695691537471789E-3</v>
      </c>
      <c r="N61" s="315">
        <v>6.7016826096160881E-3</v>
      </c>
      <c r="O61" s="315">
        <v>6.6430068472611717E-3</v>
      </c>
      <c r="P61" s="315">
        <v>7.2109759895467142E-3</v>
      </c>
      <c r="Q61" s="315">
        <v>6.6016606876922457E-3</v>
      </c>
      <c r="R61" s="315">
        <v>7.1956235971829697E-3</v>
      </c>
      <c r="S61" s="315">
        <v>6.9585995437638579E-3</v>
      </c>
      <c r="T61" s="315">
        <v>6.3958097506563536E-3</v>
      </c>
      <c r="U61" s="315">
        <v>5.9678364394213984E-3</v>
      </c>
      <c r="V61" s="315">
        <v>6.4362684730451224E-3</v>
      </c>
      <c r="W61" s="315">
        <v>6.4362684730451224E-3</v>
      </c>
      <c r="X61" s="315">
        <v>6.4362684730451224E-3</v>
      </c>
      <c r="Y61" s="315">
        <v>6.4362684730451224E-3</v>
      </c>
      <c r="Z61" s="315">
        <v>6.8959842008810149E-3</v>
      </c>
      <c r="AA61" s="754">
        <f>'V. AFOLU'!H63</f>
        <v>6.8959842008810149E-3</v>
      </c>
      <c r="AB61" s="32"/>
      <c r="AC61" s="32"/>
      <c r="AD61" s="498"/>
      <c r="AE61" s="498"/>
      <c r="AF61" s="67"/>
      <c r="AG61" s="67"/>
      <c r="AH61" s="492"/>
    </row>
    <row r="62" spans="2:43" ht="14.25" customHeight="1" x14ac:dyDescent="0.3">
      <c r="B62" s="41" t="s">
        <v>35</v>
      </c>
      <c r="C62" s="579">
        <f t="shared" ref="C62:X62" si="12">SUM(C58:C61)</f>
        <v>0.17513570513644833</v>
      </c>
      <c r="D62" s="42">
        <f t="shared" si="12"/>
        <v>0.15914202664467167</v>
      </c>
      <c r="E62" s="42">
        <f t="shared" si="12"/>
        <v>0.15495609776081309</v>
      </c>
      <c r="F62" s="42">
        <f t="shared" si="12"/>
        <v>0.15179331585624331</v>
      </c>
      <c r="G62" s="42">
        <f t="shared" si="12"/>
        <v>0.14886983526806588</v>
      </c>
      <c r="H62" s="42">
        <f t="shared" si="12"/>
        <v>0.14524754403292892</v>
      </c>
      <c r="I62" s="727">
        <f t="shared" si="12"/>
        <v>0.13978790895125826</v>
      </c>
      <c r="J62" s="42">
        <f t="shared" si="12"/>
        <v>0.13786641788568846</v>
      </c>
      <c r="K62" s="42">
        <f t="shared" si="12"/>
        <v>0.1328227661071083</v>
      </c>
      <c r="L62" s="42">
        <f t="shared" si="12"/>
        <v>0.131763405602009</v>
      </c>
      <c r="M62" s="42">
        <f t="shared" si="12"/>
        <v>0.13008770028517147</v>
      </c>
      <c r="N62" s="42">
        <f t="shared" si="12"/>
        <v>0.13167993598647706</v>
      </c>
      <c r="O62" s="42">
        <f t="shared" si="12"/>
        <v>0.13005865724441698</v>
      </c>
      <c r="P62" s="42">
        <f t="shared" si="12"/>
        <v>0.12859199072580074</v>
      </c>
      <c r="Q62" s="42">
        <f t="shared" si="12"/>
        <v>0.12498550225121033</v>
      </c>
      <c r="R62" s="42">
        <f t="shared" si="12"/>
        <v>0.12768741401616332</v>
      </c>
      <c r="S62" s="42">
        <f t="shared" si="12"/>
        <v>0.12203970530081183</v>
      </c>
      <c r="T62" s="42">
        <f t="shared" si="12"/>
        <v>0.12233576616739357</v>
      </c>
      <c r="U62" s="42">
        <f t="shared" si="12"/>
        <v>0.11934517704304023</v>
      </c>
      <c r="V62" s="42">
        <f t="shared" si="12"/>
        <v>0.11915600985532634</v>
      </c>
      <c r="W62" s="42">
        <f t="shared" si="12"/>
        <v>0.11915600985532634</v>
      </c>
      <c r="X62" s="42">
        <f t="shared" si="12"/>
        <v>0.11915600985532634</v>
      </c>
      <c r="Y62" s="42">
        <f>SUM(Y58:Y61)</f>
        <v>0.11915600985532634</v>
      </c>
      <c r="Z62" s="42">
        <f>SUM(Z58:Z61)</f>
        <v>0.12783062353149721</v>
      </c>
      <c r="AA62" s="743">
        <f>SUM(AA58:AA61)</f>
        <v>0.12783062353149721</v>
      </c>
      <c r="AB62" s="647"/>
      <c r="AC62" s="32"/>
      <c r="AD62" s="452"/>
      <c r="AE62" s="383"/>
      <c r="AF62" s="67"/>
      <c r="AG62" s="67"/>
      <c r="AH62" s="492"/>
    </row>
    <row r="63" spans="2:43" ht="14.25" customHeight="1" x14ac:dyDescent="0.3">
      <c r="B63" s="41" t="s">
        <v>65</v>
      </c>
      <c r="C63" s="584">
        <v>-0.10776934707644574</v>
      </c>
      <c r="D63" s="38">
        <v>-0.12316365157678677</v>
      </c>
      <c r="E63" s="38">
        <v>-0.12562143109596471</v>
      </c>
      <c r="F63" s="38">
        <v>-0.12750644247093307</v>
      </c>
      <c r="G63" s="38">
        <v>-0.12967459764508657</v>
      </c>
      <c r="H63" s="38">
        <v>-0.13145663314287434</v>
      </c>
      <c r="I63" s="724">
        <v>-0.13334311002921487</v>
      </c>
      <c r="J63" s="38">
        <v>-0.13607170598065085</v>
      </c>
      <c r="K63" s="38">
        <v>-0.13791716476159052</v>
      </c>
      <c r="L63" s="38">
        <v>-0.13959849431003707</v>
      </c>
      <c r="M63" s="38">
        <v>-0.14043470960273685</v>
      </c>
      <c r="N63" s="38">
        <v>-0.14277009127093146</v>
      </c>
      <c r="O63" s="38">
        <v>-0.14474843674654186</v>
      </c>
      <c r="P63" s="38">
        <v>-0.14667310336901079</v>
      </c>
      <c r="Q63" s="38">
        <v>-0.14833615232541161</v>
      </c>
      <c r="R63" s="38">
        <v>-0.14962014388865794</v>
      </c>
      <c r="S63" s="38">
        <v>-0.15153397287038334</v>
      </c>
      <c r="T63" s="38">
        <v>-0.15297185029355942</v>
      </c>
      <c r="U63" s="38">
        <v>-0.15398779226860582</v>
      </c>
      <c r="V63" s="38">
        <v>-0.15494902590685694</v>
      </c>
      <c r="W63" s="38">
        <v>-0.15494902590685694</v>
      </c>
      <c r="X63" s="38">
        <v>-0.15494902590685694</v>
      </c>
      <c r="Y63" s="38">
        <v>-0.15494902590685694</v>
      </c>
      <c r="Z63" s="38">
        <v>-8.2792442054094029E-2</v>
      </c>
      <c r="AA63" s="742">
        <f>SUM('V. AFOLU'!G25:G42)/1000000</f>
        <v>-8.2792442054094029E-2</v>
      </c>
      <c r="AB63" s="32"/>
      <c r="AC63" s="32"/>
      <c r="AD63" s="71"/>
      <c r="AE63" s="67"/>
      <c r="AF63" s="498"/>
      <c r="AG63" s="67"/>
      <c r="AH63" s="492"/>
    </row>
    <row r="64" spans="2:43" ht="14.25" customHeight="1" x14ac:dyDescent="0.3">
      <c r="B64" s="37" t="s">
        <v>36</v>
      </c>
      <c r="C64" s="583"/>
      <c r="D64" s="773"/>
      <c r="E64" s="591">
        <f t="shared" ref="E64:M64" si="13">(E62-$D$62)/$D$62</f>
        <v>-2.630310152581387E-2</v>
      </c>
      <c r="F64" s="591">
        <f t="shared" si="13"/>
        <v>-4.6177059217904617E-2</v>
      </c>
      <c r="G64" s="591">
        <f t="shared" si="13"/>
        <v>-6.4547320360204288E-2</v>
      </c>
      <c r="H64" s="591">
        <f t="shared" si="13"/>
        <v>-8.7308694659054498E-2</v>
      </c>
      <c r="I64" s="643">
        <f t="shared" si="13"/>
        <v>-0.12161537779474685</v>
      </c>
      <c r="J64" s="591">
        <f t="shared" si="13"/>
        <v>-0.13368944211378467</v>
      </c>
      <c r="K64" s="591">
        <f t="shared" si="13"/>
        <v>-0.16538221293567129</v>
      </c>
      <c r="L64" s="591">
        <f t="shared" si="13"/>
        <v>-0.17203891153022055</v>
      </c>
      <c r="M64" s="591">
        <f t="shared" si="13"/>
        <v>-0.18256853310264781</v>
      </c>
      <c r="N64" s="765">
        <f>(N62-$D$62)/$D$62</f>
        <v>-0.17256340915848253</v>
      </c>
      <c r="O64" s="591">
        <f>(O62-$D$62)/$D$62</f>
        <v>-0.18275103072044763</v>
      </c>
      <c r="P64" s="591">
        <f>(P62-$D$62)/$D$62</f>
        <v>-0.19196711618535739</v>
      </c>
      <c r="Q64" s="591">
        <f>(Q62-$D$62)/$D$62</f>
        <v>-0.21462919075251677</v>
      </c>
      <c r="R64" s="591">
        <f t="shared" ref="R64:X64" si="14">(R62-$D$62)/$D$62</f>
        <v>-0.19765120057657315</v>
      </c>
      <c r="S64" s="591">
        <f t="shared" si="14"/>
        <v>-0.23313968111453659</v>
      </c>
      <c r="T64" s="591">
        <f t="shared" si="14"/>
        <v>-0.23127932484772357</v>
      </c>
      <c r="U64" s="591">
        <f t="shared" si="14"/>
        <v>-0.25007127558133241</v>
      </c>
      <c r="V64" s="591">
        <f t="shared" si="14"/>
        <v>-0.25125994454390793</v>
      </c>
      <c r="W64" s="591">
        <f t="shared" si="14"/>
        <v>-0.25125994454390793</v>
      </c>
      <c r="X64" s="591">
        <f t="shared" si="14"/>
        <v>-0.25125994454390793</v>
      </c>
      <c r="Y64" s="591">
        <f>(Y62-$D$62)/$D$62</f>
        <v>-0.25125994454390793</v>
      </c>
      <c r="Z64" s="591">
        <f>(Z62-$D$62)/$D$62</f>
        <v>-0.19675131562252737</v>
      </c>
      <c r="AA64" s="749">
        <f>(AA62-$D$62)/$D$62</f>
        <v>-0.19675131562252737</v>
      </c>
      <c r="AB64" s="32"/>
      <c r="AC64" s="674"/>
      <c r="AD64" s="67"/>
      <c r="AE64" s="44"/>
      <c r="AF64" s="435"/>
      <c r="AG64" s="67"/>
      <c r="AH64" s="492"/>
    </row>
    <row r="65" spans="2:37" ht="18.75" customHeight="1" x14ac:dyDescent="0.3">
      <c r="B65" s="785" t="s">
        <v>66</v>
      </c>
      <c r="C65" s="786">
        <f t="shared" ref="C65:M65" si="15">C37+C46+C52+C56+C62</f>
        <v>45.364793897986821</v>
      </c>
      <c r="D65" s="787">
        <f t="shared" si="15"/>
        <v>50.754027291736236</v>
      </c>
      <c r="E65" s="787">
        <f t="shared" si="15"/>
        <v>49.321263428990477</v>
      </c>
      <c r="F65" s="787">
        <f t="shared" si="15"/>
        <v>49.277211567846706</v>
      </c>
      <c r="G65" s="787">
        <f t="shared" si="15"/>
        <v>50.92645702567502</v>
      </c>
      <c r="H65" s="787">
        <f t="shared" si="15"/>
        <v>48.613131335984718</v>
      </c>
      <c r="I65" s="788">
        <f t="shared" si="15"/>
        <v>50.127305375920486</v>
      </c>
      <c r="J65" s="787">
        <f t="shared" si="15"/>
        <v>51.599132171728527</v>
      </c>
      <c r="K65" s="787">
        <f t="shared" si="15"/>
        <v>50.750853839109851</v>
      </c>
      <c r="L65" s="787">
        <f t="shared" si="15"/>
        <v>49.345974868548218</v>
      </c>
      <c r="M65" s="787">
        <f t="shared" si="15"/>
        <v>46.025900142616763</v>
      </c>
      <c r="N65" s="787">
        <f t="shared" ref="N65:X65" si="16">N37+N46+N52+N56+N62</f>
        <v>45.861495881804714</v>
      </c>
      <c r="O65" s="787">
        <f t="shared" si="16"/>
        <v>43.555982187794186</v>
      </c>
      <c r="P65" s="787">
        <f t="shared" si="16"/>
        <v>46.502145542418859</v>
      </c>
      <c r="Q65" s="787">
        <f t="shared" si="16"/>
        <v>45.757314942532297</v>
      </c>
      <c r="R65" s="787">
        <f>R37+R46+R52+R56+R62</f>
        <v>43.350483299554284</v>
      </c>
      <c r="S65" s="787">
        <f t="shared" si="16"/>
        <v>40.490742349599152</v>
      </c>
      <c r="T65" s="787">
        <f t="shared" si="16"/>
        <v>37.214542169004062</v>
      </c>
      <c r="U65" s="787">
        <f t="shared" si="16"/>
        <v>36.045129748003419</v>
      </c>
      <c r="V65" s="787">
        <f t="shared" si="16"/>
        <v>34.342060880912101</v>
      </c>
      <c r="W65" s="787">
        <f t="shared" si="16"/>
        <v>33.243928944005262</v>
      </c>
      <c r="X65" s="787">
        <f t="shared" si="16"/>
        <v>30.18901430404674</v>
      </c>
      <c r="Y65" s="787">
        <f>Y37+Y46+Y52+Y56+Y62</f>
        <v>29.775689979602706</v>
      </c>
      <c r="Z65" s="787">
        <f>Z37+Z46+Z52+Z56+Z62</f>
        <v>30.012960013765266</v>
      </c>
      <c r="AA65" s="789">
        <f>AA37+AA46+AA52+AA56+AA62</f>
        <v>28.610541954255574</v>
      </c>
      <c r="AB65" s="32"/>
      <c r="AC65" s="647"/>
      <c r="AD65" s="67"/>
      <c r="AE65" s="513"/>
      <c r="AF65" s="656"/>
      <c r="AG65" s="435"/>
      <c r="AH65" s="435"/>
      <c r="AI65" s="435"/>
      <c r="AJ65" s="51"/>
    </row>
    <row r="66" spans="2:37" ht="14.25" customHeight="1" x14ac:dyDescent="0.3">
      <c r="B66" s="37" t="s">
        <v>67</v>
      </c>
      <c r="C66" s="580"/>
      <c r="D66" s="44">
        <f t="shared" ref="D66:W66" si="17">(D65-$C$65)/$C$65</f>
        <v>0.1187977047987553</v>
      </c>
      <c r="E66" s="44">
        <f t="shared" si="17"/>
        <v>8.7214537773514136E-2</v>
      </c>
      <c r="F66" s="44">
        <f t="shared" si="17"/>
        <v>8.6243479440419282E-2</v>
      </c>
      <c r="G66" s="44">
        <f t="shared" si="17"/>
        <v>0.1225986640696501</v>
      </c>
      <c r="H66" s="44">
        <f t="shared" si="17"/>
        <v>7.1604809784929946E-2</v>
      </c>
      <c r="I66" s="728">
        <f t="shared" si="17"/>
        <v>0.10498254414300365</v>
      </c>
      <c r="J66" s="44">
        <f t="shared" si="17"/>
        <v>0.13742679593697812</v>
      </c>
      <c r="K66" s="44">
        <f t="shared" si="17"/>
        <v>0.11872775071423944</v>
      </c>
      <c r="L66" s="44">
        <f t="shared" si="17"/>
        <v>8.7759265026399066E-2</v>
      </c>
      <c r="M66" s="44">
        <f t="shared" si="17"/>
        <v>1.4573112491519104E-2</v>
      </c>
      <c r="N66" s="790">
        <f t="shared" si="17"/>
        <v>1.0949062943718899E-2</v>
      </c>
      <c r="O66" s="44">
        <f t="shared" si="17"/>
        <v>-3.9872587413494372E-2</v>
      </c>
      <c r="P66" s="44">
        <f t="shared" si="17"/>
        <v>2.5071240199826195E-2</v>
      </c>
      <c r="Q66" s="44">
        <f t="shared" si="17"/>
        <v>8.6525477317972409E-3</v>
      </c>
      <c r="R66" s="44">
        <f t="shared" si="17"/>
        <v>-4.4402507436982479E-2</v>
      </c>
      <c r="S66" s="44">
        <f t="shared" si="17"/>
        <v>-0.10744128055222946</v>
      </c>
      <c r="T66" s="44">
        <f t="shared" si="17"/>
        <v>-0.17966028341957149</v>
      </c>
      <c r="U66" s="44">
        <f t="shared" si="17"/>
        <v>-0.20543825617153277</v>
      </c>
      <c r="V66" s="44">
        <f t="shared" si="17"/>
        <v>-0.24297989850591789</v>
      </c>
      <c r="W66" s="44">
        <f t="shared" si="17"/>
        <v>-0.26718659807510892</v>
      </c>
      <c r="X66" s="44">
        <f>(X65-$C$65)/$C$65</f>
        <v>-0.33452768744119754</v>
      </c>
      <c r="Y66" s="44">
        <f>(Y65-$C$65)/$C$65</f>
        <v>-0.34363881280800707</v>
      </c>
      <c r="Z66" s="44">
        <f>(Z65-$C$65)/$C$65</f>
        <v>-0.33840854471297033</v>
      </c>
      <c r="AA66" s="744">
        <f>(AA65-$C$65)/$C$65</f>
        <v>-0.36932278324480078</v>
      </c>
      <c r="AB66" s="32"/>
      <c r="AC66" s="32"/>
      <c r="AD66" s="67"/>
      <c r="AE66" s="454"/>
      <c r="AF66" s="435"/>
      <c r="AG66" s="435"/>
      <c r="AH66" s="435"/>
      <c r="AI66" s="435"/>
    </row>
    <row r="67" spans="2:37" ht="14.25" customHeight="1" x14ac:dyDescent="0.3">
      <c r="B67" s="37" t="s">
        <v>36</v>
      </c>
      <c r="C67" s="580"/>
      <c r="D67" s="731"/>
      <c r="E67" s="44">
        <f t="shared" ref="E67:W67" si="18">(E65-$D$65)/$D$65</f>
        <v>-2.8229560080231135E-2</v>
      </c>
      <c r="F67" s="44">
        <f t="shared" si="18"/>
        <v>-2.9097508172124597E-2</v>
      </c>
      <c r="G67" s="44">
        <f t="shared" si="18"/>
        <v>3.3973606261361563E-3</v>
      </c>
      <c r="H67" s="44">
        <f t="shared" si="18"/>
        <v>-4.2181794627755537E-2</v>
      </c>
      <c r="I67" s="728">
        <f t="shared" si="18"/>
        <v>-1.2348220412408396E-2</v>
      </c>
      <c r="J67" s="44">
        <f t="shared" si="18"/>
        <v>1.6650991558454935E-2</v>
      </c>
      <c r="K67" s="44">
        <f t="shared" si="18"/>
        <v>-6.252612444217582E-5</v>
      </c>
      <c r="L67" s="44">
        <f t="shared" si="18"/>
        <v>-2.7742673799942504E-2</v>
      </c>
      <c r="M67" s="44">
        <f t="shared" si="18"/>
        <v>-9.3157674403688273E-2</v>
      </c>
      <c r="N67" s="44">
        <f t="shared" si="18"/>
        <v>-9.6396910176389544E-2</v>
      </c>
      <c r="O67" s="44">
        <f t="shared" si="18"/>
        <v>-0.14182214669522461</v>
      </c>
      <c r="P67" s="44">
        <f t="shared" si="18"/>
        <v>-8.3774273219293233E-2</v>
      </c>
      <c r="Q67" s="44">
        <f t="shared" si="18"/>
        <v>-9.8449573675850999E-2</v>
      </c>
      <c r="R67" s="44">
        <f t="shared" si="18"/>
        <v>-0.14587106456845436</v>
      </c>
      <c r="S67" s="44">
        <f t="shared" si="18"/>
        <v>-0.20221616864299852</v>
      </c>
      <c r="T67" s="44">
        <f t="shared" si="18"/>
        <v>-0.26676671478514713</v>
      </c>
      <c r="U67" s="44">
        <f t="shared" si="18"/>
        <v>-0.28980749565321129</v>
      </c>
      <c r="V67" s="44">
        <f t="shared" si="18"/>
        <v>-0.32336284008532912</v>
      </c>
      <c r="W67" s="44">
        <f t="shared" si="18"/>
        <v>-0.34499919084415132</v>
      </c>
      <c r="X67" s="44">
        <f>(X65-$D$65)/$D$65</f>
        <v>-0.40518977675369394</v>
      </c>
      <c r="Y67" s="44">
        <f>(Y65-$D$65)/$D$65</f>
        <v>-0.41333345217216327</v>
      </c>
      <c r="Z67" s="44">
        <f>(Z65-$D$65)/$D$65</f>
        <v>-0.40865855154213598</v>
      </c>
      <c r="AA67" s="744">
        <f>(AA65-$D$65)/$D$65</f>
        <v>-0.43629021220718106</v>
      </c>
      <c r="AB67" s="32"/>
      <c r="AC67" s="32"/>
      <c r="AD67" s="67"/>
      <c r="AE67" s="435"/>
      <c r="AF67" s="435"/>
      <c r="AH67" s="435"/>
      <c r="AI67" s="435"/>
    </row>
    <row r="68" spans="2:37" ht="14.25" customHeight="1" thickBot="1" x14ac:dyDescent="0.35">
      <c r="B68" s="37" t="s">
        <v>68</v>
      </c>
      <c r="C68" s="589">
        <v>6798800</v>
      </c>
      <c r="D68" s="49">
        <v>7236700</v>
      </c>
      <c r="E68" s="49">
        <v>7322400</v>
      </c>
      <c r="F68" s="49">
        <v>7376700</v>
      </c>
      <c r="G68" s="49">
        <v>7394800</v>
      </c>
      <c r="H68" s="49">
        <v>7432700</v>
      </c>
      <c r="I68" s="737">
        <v>7519000</v>
      </c>
      <c r="J68" s="49">
        <v>7597800</v>
      </c>
      <c r="K68" s="49">
        <v>7693600</v>
      </c>
      <c r="L68" s="49">
        <v>7812400</v>
      </c>
      <c r="M68" s="49">
        <v>7942500</v>
      </c>
      <c r="N68" s="49">
        <v>8061495</v>
      </c>
      <c r="O68" s="49">
        <v>8204370</v>
      </c>
      <c r="P68" s="49">
        <v>8320160</v>
      </c>
      <c r="Q68" s="49">
        <v>8437904</v>
      </c>
      <c r="R68" s="49">
        <v>8546344</v>
      </c>
      <c r="S68" s="49">
        <v>8660701</v>
      </c>
      <c r="T68" s="49">
        <v>8747370</v>
      </c>
      <c r="U68" s="49">
        <v>8778769</v>
      </c>
      <c r="V68" s="49">
        <v>8834085</v>
      </c>
      <c r="W68" s="49">
        <v>8888757</v>
      </c>
      <c r="X68" s="49">
        <v>8866225</v>
      </c>
      <c r="Y68" s="49">
        <v>8804763</v>
      </c>
      <c r="Z68" s="49">
        <v>8866180</v>
      </c>
      <c r="AA68" s="755">
        <v>8945310</v>
      </c>
      <c r="AB68" s="647"/>
      <c r="AC68" s="32"/>
      <c r="AD68" s="67"/>
      <c r="AE68" s="515"/>
      <c r="AF68" s="454"/>
      <c r="AG68" s="435"/>
      <c r="AH68" s="435"/>
      <c r="AI68" s="435"/>
    </row>
    <row r="69" spans="2:37" ht="14.25" customHeight="1" x14ac:dyDescent="0.3">
      <c r="B69" s="37" t="s">
        <v>69</v>
      </c>
      <c r="C69" s="551"/>
      <c r="D69" s="552"/>
      <c r="E69" s="552"/>
      <c r="F69" s="552"/>
      <c r="G69" s="552"/>
      <c r="H69" s="552"/>
      <c r="I69" s="738"/>
      <c r="J69" s="552"/>
      <c r="K69" s="552"/>
      <c r="L69" s="552"/>
      <c r="M69" s="552"/>
      <c r="N69" s="552"/>
      <c r="O69" s="552"/>
      <c r="P69" s="552"/>
      <c r="Q69" s="552"/>
      <c r="R69" s="552"/>
      <c r="S69" s="154">
        <v>0</v>
      </c>
      <c r="T69" s="154">
        <v>-8.9105870495181844E-2</v>
      </c>
      <c r="U69" s="154">
        <v>-0.1277255295015812</v>
      </c>
      <c r="V69" s="154">
        <v>-0.15426922907534937</v>
      </c>
      <c r="W69" s="154">
        <v>-0.19210308880415705</v>
      </c>
      <c r="X69" s="154">
        <v>-0.28191236192200564</v>
      </c>
      <c r="Y69" s="154">
        <v>-0.30862442708080495</v>
      </c>
      <c r="Z69" s="154">
        <v>-0.34286026165838013</v>
      </c>
      <c r="AA69" s="756">
        <v>-0.38257485441796113</v>
      </c>
      <c r="AB69" s="647"/>
      <c r="AC69" s="32"/>
      <c r="AD69" s="1224" t="s">
        <v>70</v>
      </c>
      <c r="AE69" s="1225"/>
      <c r="AF69" s="1225"/>
      <c r="AG69" s="1225"/>
      <c r="AH69" s="1225"/>
      <c r="AI69" s="1226"/>
    </row>
    <row r="70" spans="2:37" ht="14.25" customHeight="1" x14ac:dyDescent="0.3">
      <c r="B70" s="37" t="s">
        <v>71</v>
      </c>
      <c r="C70" s="551"/>
      <c r="D70" s="552"/>
      <c r="E70" s="552"/>
      <c r="F70" s="552"/>
      <c r="G70" s="552"/>
      <c r="H70" s="552"/>
      <c r="I70" s="738"/>
      <c r="J70" s="552"/>
      <c r="K70" s="552"/>
      <c r="L70" s="552"/>
      <c r="M70" s="552"/>
      <c r="N70" s="552"/>
      <c r="O70" s="552"/>
      <c r="P70" s="552"/>
      <c r="Q70" s="552"/>
      <c r="R70" s="552"/>
      <c r="S70" s="154">
        <f>(S65-$S65)/$S65</f>
        <v>0</v>
      </c>
      <c r="T70" s="154">
        <f t="shared" ref="T70:AA70" si="19">(T65-$S65)/$S65</f>
        <v>-8.0912326879764504E-2</v>
      </c>
      <c r="U70" s="154">
        <f t="shared" si="19"/>
        <v>-0.10979330937457471</v>
      </c>
      <c r="V70" s="154">
        <f t="shared" si="19"/>
        <v>-0.15185400691345738</v>
      </c>
      <c r="W70" s="154">
        <f t="shared" si="19"/>
        <v>-0.17897457505284864</v>
      </c>
      <c r="X70" s="154">
        <f t="shared" si="19"/>
        <v>-0.25442181219121057</v>
      </c>
      <c r="Y70" s="154">
        <f t="shared" si="19"/>
        <v>-0.26462968442223489</v>
      </c>
      <c r="Z70" s="154">
        <f t="shared" si="19"/>
        <v>-0.25876982559045658</v>
      </c>
      <c r="AA70" s="756">
        <f t="shared" si="19"/>
        <v>-0.29340534912324689</v>
      </c>
      <c r="AB70" s="647"/>
      <c r="AC70" s="647"/>
      <c r="AD70" s="1227"/>
      <c r="AE70" s="1228"/>
      <c r="AF70" s="1228"/>
      <c r="AG70" s="1228"/>
      <c r="AH70" s="1228"/>
      <c r="AI70" s="1229"/>
    </row>
    <row r="71" spans="2:37" ht="15" x14ac:dyDescent="0.3">
      <c r="B71" s="37" t="s">
        <v>72</v>
      </c>
      <c r="C71" s="584">
        <f t="shared" ref="C71:W71" si="20">C65*1000000/C68</f>
        <v>6.6724707151242608</v>
      </c>
      <c r="D71" s="38">
        <f t="shared" si="20"/>
        <v>7.0134214893164337</v>
      </c>
      <c r="E71" s="38">
        <f t="shared" si="20"/>
        <v>6.7356691015227899</v>
      </c>
      <c r="F71" s="38">
        <f t="shared" si="20"/>
        <v>6.6801159824646126</v>
      </c>
      <c r="G71" s="38">
        <f t="shared" si="20"/>
        <v>6.8867930201864853</v>
      </c>
      <c r="H71" s="38">
        <f t="shared" si="20"/>
        <v>6.5404403966236657</v>
      </c>
      <c r="I71" s="724">
        <f>I65*1000000/I68</f>
        <v>6.6667516127038811</v>
      </c>
      <c r="J71" s="38">
        <f t="shared" si="20"/>
        <v>6.7913254062660942</v>
      </c>
      <c r="K71" s="38">
        <f t="shared" si="20"/>
        <v>6.5965027866161297</v>
      </c>
      <c r="L71" s="38">
        <f t="shared" si="20"/>
        <v>6.3163656326542705</v>
      </c>
      <c r="M71" s="38">
        <f t="shared" si="20"/>
        <v>5.794888277320335</v>
      </c>
      <c r="N71" s="38">
        <f t="shared" si="20"/>
        <v>5.6889566862976055</v>
      </c>
      <c r="O71" s="38">
        <f t="shared" si="20"/>
        <v>5.3088759024512777</v>
      </c>
      <c r="P71" s="38">
        <f t="shared" si="20"/>
        <v>5.5890927028349049</v>
      </c>
      <c r="Q71" s="38">
        <f t="shared" si="20"/>
        <v>5.4228295252627063</v>
      </c>
      <c r="R71" s="38">
        <f t="shared" si="20"/>
        <v>5.0724009353653772</v>
      </c>
      <c r="S71" s="38">
        <f t="shared" si="20"/>
        <v>4.6752269071059205</v>
      </c>
      <c r="T71" s="38">
        <f t="shared" si="20"/>
        <v>4.254369275451257</v>
      </c>
      <c r="U71" s="38">
        <f t="shared" si="20"/>
        <v>4.1059435267066959</v>
      </c>
      <c r="V71" s="38">
        <f t="shared" si="20"/>
        <v>3.8874496771212983</v>
      </c>
      <c r="W71" s="38">
        <f t="shared" si="20"/>
        <v>3.7399974984134747</v>
      </c>
      <c r="X71" s="38">
        <f>X65*1000000/X68</f>
        <v>3.4049456565840299</v>
      </c>
      <c r="Y71" s="38">
        <f>Y65*1000000/Y68</f>
        <v>3.381770750626985</v>
      </c>
      <c r="Z71" s="38">
        <f>Z65*1000000/Z68</f>
        <v>3.3851061013610444</v>
      </c>
      <c r="AA71" s="742">
        <f>AA65*1000000/AA68</f>
        <v>3.1983846232557145</v>
      </c>
      <c r="AB71" s="32"/>
      <c r="AC71" s="32"/>
      <c r="AD71" s="1227"/>
      <c r="AE71" s="1228"/>
      <c r="AF71" s="1228"/>
      <c r="AG71" s="1228"/>
      <c r="AH71" s="1228"/>
      <c r="AI71" s="1229"/>
      <c r="AJ71" s="32"/>
      <c r="AK71" s="32"/>
    </row>
    <row r="72" spans="2:37" ht="15" x14ac:dyDescent="0.3">
      <c r="B72" s="37" t="s">
        <v>73</v>
      </c>
      <c r="C72" s="590">
        <f t="shared" ref="C72:N72" si="21">(C20+C46)/C68*1000000</f>
        <v>3.7233477591303847</v>
      </c>
      <c r="D72" s="301">
        <f t="shared" si="21"/>
        <v>3.6272847573162643</v>
      </c>
      <c r="E72" s="301">
        <f t="shared" si="21"/>
        <v>3.7010433790058546</v>
      </c>
      <c r="F72" s="301">
        <f t="shared" si="21"/>
        <v>3.7729142361303594</v>
      </c>
      <c r="G72" s="301">
        <f t="shared" si="21"/>
        <v>3.8625510971078572</v>
      </c>
      <c r="H72" s="301">
        <f t="shared" si="21"/>
        <v>3.5656967647100548</v>
      </c>
      <c r="I72" s="739">
        <f>(I20+I46)/I68*1000000</f>
        <v>3.6262137330330528</v>
      </c>
      <c r="J72" s="301">
        <f t="shared" si="21"/>
        <v>3.5891929105834195</v>
      </c>
      <c r="K72" s="301">
        <f t="shared" si="21"/>
        <v>3.5103247964692188</v>
      </c>
      <c r="L72" s="301">
        <f t="shared" si="21"/>
        <v>3.423349019244831</v>
      </c>
      <c r="M72" s="301">
        <f t="shared" si="21"/>
        <v>3.1814443304428992</v>
      </c>
      <c r="N72" s="301">
        <f t="shared" si="21"/>
        <v>3.0174904777470912</v>
      </c>
      <c r="O72" s="301">
        <f>(O20+O46)/O68*1000000</f>
        <v>2.9004836336781352</v>
      </c>
      <c r="P72" s="301">
        <f t="shared" ref="P72:AA72" si="22">(P20+P46)/P68*1000000</f>
        <v>2.9649824858343954</v>
      </c>
      <c r="Q72" s="301">
        <f t="shared" si="22"/>
        <v>2.9176330535957606</v>
      </c>
      <c r="R72" s="301">
        <f t="shared" si="22"/>
        <v>2.7771103629512601</v>
      </c>
      <c r="S72" s="301">
        <f t="shared" si="22"/>
        <v>2.6282537457733217</v>
      </c>
      <c r="T72" s="301">
        <f t="shared" si="22"/>
        <v>2.4764236962920969</v>
      </c>
      <c r="U72" s="301">
        <f t="shared" si="22"/>
        <v>2.4166333426599134</v>
      </c>
      <c r="V72" s="301">
        <f t="shared" si="22"/>
        <v>2.288381776489786</v>
      </c>
      <c r="W72" s="301">
        <f t="shared" si="22"/>
        <v>2.2441215796461775</v>
      </c>
      <c r="X72" s="301">
        <f t="shared" si="22"/>
        <v>2.057740516574039</v>
      </c>
      <c r="Y72" s="301">
        <f t="shared" si="22"/>
        <v>1.9985736074894578</v>
      </c>
      <c r="Z72" s="301">
        <f t="shared" si="22"/>
        <v>2.030366748462697</v>
      </c>
      <c r="AA72" s="757">
        <f t="shared" si="22"/>
        <v>1.952226336044445</v>
      </c>
      <c r="AB72" s="32"/>
      <c r="AC72" s="32"/>
      <c r="AD72" s="1227"/>
      <c r="AE72" s="1228"/>
      <c r="AF72" s="1228"/>
      <c r="AG72" s="1228"/>
      <c r="AH72" s="1228"/>
      <c r="AI72" s="1229"/>
      <c r="AJ72" s="32"/>
      <c r="AK72" s="32"/>
    </row>
    <row r="73" spans="2:37" ht="15" thickBot="1" x14ac:dyDescent="0.35">
      <c r="B73" s="277" t="s">
        <v>74</v>
      </c>
      <c r="C73" s="740">
        <f t="shared" ref="C73:Z73" si="23">C65+C63</f>
        <v>45.257024550910373</v>
      </c>
      <c r="D73" s="741">
        <f t="shared" si="23"/>
        <v>50.630863640159447</v>
      </c>
      <c r="E73" s="741">
        <f t="shared" si="23"/>
        <v>49.195641997894512</v>
      </c>
      <c r="F73" s="741">
        <f t="shared" si="23"/>
        <v>49.149705125375775</v>
      </c>
      <c r="G73" s="741">
        <f t="shared" si="23"/>
        <v>50.796782428029935</v>
      </c>
      <c r="H73" s="741">
        <f t="shared" si="23"/>
        <v>48.481674702841843</v>
      </c>
      <c r="I73" s="791">
        <f t="shared" si="23"/>
        <v>49.99396226589127</v>
      </c>
      <c r="J73" s="741">
        <f t="shared" si="23"/>
        <v>51.46306046574788</v>
      </c>
      <c r="K73" s="741">
        <f t="shared" si="23"/>
        <v>50.612936674348262</v>
      </c>
      <c r="L73" s="741">
        <f t="shared" si="23"/>
        <v>49.206376374238182</v>
      </c>
      <c r="M73" s="741">
        <f t="shared" si="23"/>
        <v>45.885465433014026</v>
      </c>
      <c r="N73" s="741">
        <f t="shared" si="23"/>
        <v>45.718725790533782</v>
      </c>
      <c r="O73" s="741">
        <f t="shared" si="23"/>
        <v>43.411233751047646</v>
      </c>
      <c r="P73" s="741">
        <f t="shared" si="23"/>
        <v>46.355472439049848</v>
      </c>
      <c r="Q73" s="741">
        <f t="shared" si="23"/>
        <v>45.608978790206884</v>
      </c>
      <c r="R73" s="741">
        <f t="shared" si="23"/>
        <v>43.20086315566563</v>
      </c>
      <c r="S73" s="741">
        <f t="shared" si="23"/>
        <v>40.33920837672877</v>
      </c>
      <c r="T73" s="741">
        <f t="shared" si="23"/>
        <v>37.061570318710501</v>
      </c>
      <c r="U73" s="741">
        <f t="shared" si="23"/>
        <v>35.89114195573481</v>
      </c>
      <c r="V73" s="741">
        <f t="shared" si="23"/>
        <v>34.187111855005242</v>
      </c>
      <c r="W73" s="741">
        <f t="shared" si="23"/>
        <v>33.088979918098403</v>
      </c>
      <c r="X73" s="741">
        <f t="shared" si="23"/>
        <v>30.034065278139884</v>
      </c>
      <c r="Y73" s="741">
        <f t="shared" si="23"/>
        <v>29.620740953695851</v>
      </c>
      <c r="Z73" s="741">
        <f t="shared" si="23"/>
        <v>29.930167571711173</v>
      </c>
      <c r="AA73" s="792">
        <f>AA65+AA63</f>
        <v>28.527749512201481</v>
      </c>
      <c r="AB73" s="32"/>
      <c r="AC73" s="32"/>
      <c r="AD73" s="1230"/>
      <c r="AE73" s="1231"/>
      <c r="AF73" s="1231"/>
      <c r="AG73" s="1231"/>
      <c r="AH73" s="1231"/>
      <c r="AI73" s="1232"/>
      <c r="AJ73" s="32"/>
      <c r="AK73" s="32"/>
    </row>
    <row r="74" spans="2:37" ht="14.25" customHeight="1" x14ac:dyDescent="0.3">
      <c r="B74" s="624"/>
      <c r="C74" s="225"/>
      <c r="D74" s="225"/>
      <c r="E74" s="225"/>
      <c r="F74" s="225"/>
      <c r="G74" s="225"/>
      <c r="H74" s="225"/>
      <c r="I74" s="225"/>
      <c r="J74" s="225"/>
      <c r="K74" s="225"/>
      <c r="L74" s="660"/>
      <c r="M74" s="660"/>
      <c r="N74" s="660"/>
      <c r="O74" s="660"/>
      <c r="P74" s="660"/>
      <c r="Q74" s="660"/>
      <c r="R74" s="660"/>
      <c r="S74" s="660"/>
      <c r="T74" s="660"/>
      <c r="U74" s="660"/>
      <c r="V74" s="660"/>
      <c r="W74" s="660"/>
      <c r="X74" s="660"/>
      <c r="Y74" s="660"/>
      <c r="Z74" s="660"/>
      <c r="AA74" s="39"/>
      <c r="AB74" s="32"/>
      <c r="AC74" s="32"/>
      <c r="AD74" s="32"/>
      <c r="AE74" s="32"/>
      <c r="AF74" s="32"/>
      <c r="AG74" s="32"/>
      <c r="AH74" s="32"/>
      <c r="AI74" s="32"/>
      <c r="AJ74" s="32"/>
      <c r="AK74" s="32"/>
    </row>
    <row r="75" spans="2:37" ht="15" x14ac:dyDescent="0.3">
      <c r="B75" s="318" t="s">
        <v>75</v>
      </c>
      <c r="C75" s="225"/>
      <c r="D75" s="225"/>
      <c r="E75" s="225"/>
      <c r="F75" s="225"/>
      <c r="G75" s="225"/>
      <c r="H75" s="225"/>
      <c r="I75" s="225"/>
      <c r="J75" s="225"/>
      <c r="K75" s="225"/>
      <c r="L75" s="225"/>
      <c r="M75" s="225"/>
      <c r="N75" s="225"/>
      <c r="O75" s="225"/>
      <c r="P75" s="225"/>
      <c r="Q75" s="225"/>
      <c r="R75" s="225"/>
      <c r="S75" s="225"/>
      <c r="T75" s="225"/>
      <c r="U75" s="225"/>
      <c r="V75" s="47"/>
      <c r="W75" s="161"/>
      <c r="X75" s="51"/>
      <c r="Y75" s="43"/>
      <c r="Z75" s="43"/>
      <c r="AA75" s="43"/>
      <c r="AB75" s="32"/>
      <c r="AC75" s="32"/>
      <c r="AD75" s="32"/>
      <c r="AE75" s="32"/>
      <c r="AF75" s="32"/>
      <c r="AG75" s="32"/>
      <c r="AH75" s="32"/>
      <c r="AI75" s="32"/>
      <c r="AJ75" s="32"/>
      <c r="AK75" s="32"/>
    </row>
    <row r="76" spans="2:37" ht="14.4" x14ac:dyDescent="0.3">
      <c r="B76" s="26" t="s">
        <v>76</v>
      </c>
      <c r="W76" s="51"/>
      <c r="X76" s="51"/>
      <c r="Y76" s="43"/>
      <c r="Z76" s="43"/>
      <c r="AA76" s="657"/>
      <c r="AB76" s="32"/>
      <c r="AC76" s="32"/>
      <c r="AD76" s="32"/>
      <c r="AE76" s="32"/>
      <c r="AF76" s="32"/>
      <c r="AG76" s="32"/>
      <c r="AH76" s="32"/>
      <c r="AI76" s="32"/>
      <c r="AJ76" s="32"/>
      <c r="AK76" s="32"/>
    </row>
    <row r="77" spans="2:37" ht="14.4" x14ac:dyDescent="0.3">
      <c r="C77" s="500"/>
      <c r="D77" s="500"/>
      <c r="E77" s="500"/>
      <c r="F77" s="500"/>
      <c r="G77" s="500"/>
      <c r="H77" s="500"/>
      <c r="I77" s="500"/>
      <c r="J77" s="500"/>
      <c r="K77" s="500"/>
      <c r="L77" s="500"/>
      <c r="M77" s="500"/>
      <c r="N77" s="500"/>
      <c r="O77" s="500"/>
      <c r="P77" s="500"/>
      <c r="Q77" s="500"/>
      <c r="R77" s="500"/>
      <c r="S77" s="500"/>
      <c r="T77" s="500"/>
      <c r="U77" s="500"/>
      <c r="V77" s="500"/>
      <c r="W77" s="500"/>
      <c r="X77" s="500"/>
      <c r="Y77" s="500"/>
      <c r="Z77" s="500"/>
      <c r="AA77" s="161"/>
      <c r="AB77" s="32"/>
      <c r="AC77" s="32"/>
      <c r="AD77" s="32"/>
      <c r="AE77" s="32"/>
      <c r="AF77" s="32"/>
      <c r="AG77" s="32"/>
      <c r="AH77" s="32"/>
      <c r="AI77" s="32"/>
      <c r="AJ77" s="32"/>
      <c r="AK77" s="32"/>
    </row>
    <row r="78" spans="2:37" ht="14.4" x14ac:dyDescent="0.3">
      <c r="C78" s="161"/>
      <c r="D78" s="161"/>
      <c r="E78" s="161"/>
      <c r="F78" s="161"/>
      <c r="G78" s="161"/>
      <c r="H78" s="161"/>
      <c r="I78" s="161"/>
      <c r="J78" s="161"/>
      <c r="K78" s="161"/>
      <c r="L78" s="161"/>
      <c r="M78" s="161"/>
      <c r="N78" s="161"/>
      <c r="O78" s="161"/>
      <c r="P78" s="161"/>
      <c r="Q78" s="161"/>
      <c r="R78" s="161"/>
      <c r="S78" s="161"/>
      <c r="T78" s="161"/>
      <c r="U78" s="161"/>
      <c r="V78" s="161"/>
      <c r="W78" s="161"/>
      <c r="X78" s="161"/>
      <c r="Y78" s="161"/>
      <c r="Z78" s="161"/>
      <c r="AA78" s="487"/>
      <c r="AB78" s="32"/>
      <c r="AC78" s="32"/>
      <c r="AD78" s="32"/>
      <c r="AE78" s="32"/>
      <c r="AF78" s="32"/>
      <c r="AG78" s="32"/>
      <c r="AH78" s="32"/>
      <c r="AI78" s="32"/>
      <c r="AJ78" s="32"/>
      <c r="AK78" s="32"/>
    </row>
    <row r="79" spans="2:37" ht="18.75" customHeight="1" x14ac:dyDescent="0.35">
      <c r="B79" s="27" t="s">
        <v>77</v>
      </c>
      <c r="Y79" s="383"/>
      <c r="Z79" s="383"/>
      <c r="AA79" s="383"/>
      <c r="AB79" s="32"/>
      <c r="AC79" s="32"/>
      <c r="AD79" s="32"/>
      <c r="AE79" s="32"/>
      <c r="AF79" s="32"/>
      <c r="AG79" s="32"/>
      <c r="AH79" s="32"/>
      <c r="AI79" s="32"/>
      <c r="AJ79" s="32"/>
      <c r="AK79" s="32"/>
    </row>
    <row r="80" spans="2:37" ht="15" thickBot="1" x14ac:dyDescent="0.35">
      <c r="B80" s="50"/>
      <c r="C80" s="42"/>
      <c r="D80" s="52"/>
      <c r="E80" s="52"/>
      <c r="F80" s="52"/>
      <c r="G80" s="52"/>
      <c r="H80" s="52"/>
      <c r="I80" s="52"/>
      <c r="J80" s="52"/>
      <c r="K80" s="52"/>
      <c r="L80" s="38"/>
      <c r="M80" s="38"/>
      <c r="U80" s="68"/>
      <c r="AB80" s="32"/>
      <c r="AC80" s="32"/>
    </row>
    <row r="81" spans="2:35" ht="14.25" customHeight="1" x14ac:dyDescent="0.3">
      <c r="B81" s="53"/>
      <c r="C81" s="1234" t="s">
        <v>78</v>
      </c>
      <c r="D81" s="1235"/>
      <c r="E81" s="1235"/>
      <c r="F81" s="1235"/>
      <c r="G81" s="1235"/>
      <c r="H81" s="1235"/>
      <c r="I81" s="1235"/>
      <c r="J81" s="1235"/>
      <c r="K81" s="1235"/>
      <c r="L81" s="1235"/>
      <c r="M81" s="1235"/>
      <c r="N81" s="1235"/>
      <c r="O81" s="1235"/>
      <c r="P81" s="1235"/>
      <c r="Q81" s="1235"/>
      <c r="R81" s="1235"/>
      <c r="S81" s="1235"/>
      <c r="T81" s="1235"/>
      <c r="U81" s="1235"/>
      <c r="V81" s="1235"/>
      <c r="W81" s="1235"/>
      <c r="X81" s="1235"/>
      <c r="Y81" s="1235"/>
      <c r="Z81" s="1235"/>
      <c r="AA81" s="1236"/>
      <c r="AB81" s="32"/>
      <c r="AC81" s="32"/>
    </row>
    <row r="82" spans="2:35" ht="14.25" customHeight="1" x14ac:dyDescent="0.3">
      <c r="B82" s="54"/>
      <c r="C82" s="793">
        <v>1990</v>
      </c>
      <c r="D82" s="762">
        <v>2000</v>
      </c>
      <c r="E82" s="762">
        <v>2001</v>
      </c>
      <c r="F82" s="762">
        <v>2002</v>
      </c>
      <c r="G82" s="762">
        <v>2003</v>
      </c>
      <c r="H82" s="762">
        <v>2004</v>
      </c>
      <c r="I82" s="762">
        <v>2005</v>
      </c>
      <c r="J82" s="762">
        <v>2006</v>
      </c>
      <c r="K82" s="762">
        <v>2007</v>
      </c>
      <c r="L82" s="762">
        <v>2008</v>
      </c>
      <c r="M82" s="763">
        <v>2009</v>
      </c>
      <c r="N82" s="763">
        <v>2010</v>
      </c>
      <c r="O82" s="763">
        <v>2011</v>
      </c>
      <c r="P82" s="763">
        <v>2012</v>
      </c>
      <c r="Q82" s="763">
        <v>2013</v>
      </c>
      <c r="R82" s="763">
        <v>2014</v>
      </c>
      <c r="S82" s="763">
        <v>2015</v>
      </c>
      <c r="T82" s="763">
        <v>2016</v>
      </c>
      <c r="U82" s="763">
        <v>2017</v>
      </c>
      <c r="V82" s="763">
        <v>2018</v>
      </c>
      <c r="W82" s="763">
        <v>2019</v>
      </c>
      <c r="X82" s="763">
        <v>2020</v>
      </c>
      <c r="Y82" s="763">
        <v>2021</v>
      </c>
      <c r="Z82" s="763">
        <v>2022</v>
      </c>
      <c r="AA82" s="558">
        <v>2023</v>
      </c>
      <c r="AB82" s="32"/>
      <c r="AC82" s="32"/>
    </row>
    <row r="83" spans="2:35" ht="14.4" x14ac:dyDescent="0.3">
      <c r="B83" s="794" t="s">
        <v>79</v>
      </c>
      <c r="C83" s="795" t="s">
        <v>26</v>
      </c>
      <c r="D83" s="768" t="s">
        <v>27</v>
      </c>
      <c r="E83" s="768" t="s">
        <v>27</v>
      </c>
      <c r="F83" s="768" t="s">
        <v>26</v>
      </c>
      <c r="G83" s="768" t="s">
        <v>27</v>
      </c>
      <c r="H83" s="768" t="s">
        <v>27</v>
      </c>
      <c r="I83" s="769" t="s">
        <v>27</v>
      </c>
      <c r="J83" s="768" t="s">
        <v>27</v>
      </c>
      <c r="K83" s="768" t="s">
        <v>27</v>
      </c>
      <c r="L83" s="768" t="s">
        <v>27</v>
      </c>
      <c r="M83" s="768" t="s">
        <v>27</v>
      </c>
      <c r="N83" s="768" t="s">
        <v>27</v>
      </c>
      <c r="O83" s="783" t="s">
        <v>27</v>
      </c>
      <c r="P83" s="783" t="s">
        <v>27</v>
      </c>
      <c r="Q83" s="783" t="s">
        <v>27</v>
      </c>
      <c r="R83" s="783" t="s">
        <v>27</v>
      </c>
      <c r="S83" s="783" t="s">
        <v>27</v>
      </c>
      <c r="T83" s="783" t="s">
        <v>27</v>
      </c>
      <c r="U83" s="783" t="s">
        <v>27</v>
      </c>
      <c r="V83" s="783" t="s">
        <v>27</v>
      </c>
      <c r="W83" s="783" t="s">
        <v>27</v>
      </c>
      <c r="X83" s="783" t="s">
        <v>27</v>
      </c>
      <c r="Y83" s="783" t="s">
        <v>27</v>
      </c>
      <c r="Z83" s="783" t="s">
        <v>27</v>
      </c>
      <c r="AA83" s="557" t="s">
        <v>28</v>
      </c>
      <c r="AB83" s="32"/>
      <c r="AC83" s="32"/>
    </row>
    <row r="84" spans="2:35" ht="14.4" x14ac:dyDescent="0.3">
      <c r="B84" s="37" t="s">
        <v>29</v>
      </c>
      <c r="C84" s="551"/>
      <c r="D84" s="49">
        <v>54743</v>
      </c>
      <c r="E84" s="49">
        <v>64627.994084601567</v>
      </c>
      <c r="F84" s="49">
        <f>(E84+G84)/2</f>
        <v>59994.202042300785</v>
      </c>
      <c r="G84" s="49">
        <v>55360.41</v>
      </c>
      <c r="H84" s="49">
        <v>55299.044916451021</v>
      </c>
      <c r="I84" s="737">
        <v>52635.328217000009</v>
      </c>
      <c r="J84" s="49">
        <v>50943.39790299999</v>
      </c>
      <c r="K84" s="49">
        <v>49920.585018999998</v>
      </c>
      <c r="L84" s="49">
        <v>48527.7546</v>
      </c>
      <c r="M84" s="49">
        <v>44939.305153000001</v>
      </c>
      <c r="N84" s="49">
        <v>44701.219243000007</v>
      </c>
      <c r="O84" s="49">
        <v>42077.677830000001</v>
      </c>
      <c r="P84" s="49">
        <v>41659.726046000003</v>
      </c>
      <c r="Q84" s="49">
        <v>41064.818643999999</v>
      </c>
      <c r="R84" s="49">
        <v>40289.760517000002</v>
      </c>
      <c r="S84" s="49">
        <v>40599.074688289023</v>
      </c>
      <c r="T84" s="49">
        <v>40372.449287905351</v>
      </c>
      <c r="U84" s="49">
        <v>41788.129658708618</v>
      </c>
      <c r="V84" s="49">
        <v>39578.474973675613</v>
      </c>
      <c r="W84" s="49">
        <v>40836.692070132143</v>
      </c>
      <c r="X84" s="49">
        <v>43746.672013913827</v>
      </c>
      <c r="Y84" s="49">
        <v>37981.372776554417</v>
      </c>
      <c r="Z84" s="49">
        <v>34681.205058883541</v>
      </c>
      <c r="AA84" s="758">
        <f>'Borough kWh'!D45</f>
        <v>33738.980420195185</v>
      </c>
      <c r="AB84" s="32"/>
      <c r="AC84" s="32"/>
      <c r="AD84" s="313"/>
      <c r="AF84" s="56"/>
      <c r="AG84" s="56"/>
    </row>
    <row r="85" spans="2:35" ht="14.4" x14ac:dyDescent="0.3">
      <c r="B85" s="37" t="s">
        <v>30</v>
      </c>
      <c r="C85" s="551"/>
      <c r="D85" s="49">
        <v>13125.562869004429</v>
      </c>
      <c r="E85" s="49">
        <v>13535.612015696201</v>
      </c>
      <c r="F85" s="49">
        <f>(E85+G85)/2</f>
        <v>13615.786007848099</v>
      </c>
      <c r="G85" s="49">
        <v>13695.96</v>
      </c>
      <c r="H85" s="49">
        <v>13459.23607744</v>
      </c>
      <c r="I85" s="737">
        <v>13885.205935399999</v>
      </c>
      <c r="J85" s="49">
        <v>13700.845572349999</v>
      </c>
      <c r="K85" s="49">
        <v>13773.695719699999</v>
      </c>
      <c r="L85" s="49">
        <v>13410.0381769</v>
      </c>
      <c r="M85" s="49">
        <v>13370.984738700001</v>
      </c>
      <c r="N85" s="49">
        <v>13468.49444884999</v>
      </c>
      <c r="O85" s="49">
        <v>13373.9108031</v>
      </c>
      <c r="P85" s="49">
        <v>13275.356969</v>
      </c>
      <c r="Q85" s="49">
        <v>13101.7473685</v>
      </c>
      <c r="R85" s="49">
        <v>13226.328649999999</v>
      </c>
      <c r="S85" s="49">
        <v>13051.446195698531</v>
      </c>
      <c r="T85" s="49">
        <v>12946.456072205719</v>
      </c>
      <c r="U85" s="49">
        <v>12802.761611001861</v>
      </c>
      <c r="V85" s="49">
        <v>12611.42834110353</v>
      </c>
      <c r="W85" s="49">
        <v>12553.29792220341</v>
      </c>
      <c r="X85" s="49">
        <v>13134.810042960769</v>
      </c>
      <c r="Y85" s="49">
        <v>12413.778389665849</v>
      </c>
      <c r="Z85" s="49">
        <v>11683.959907532257</v>
      </c>
      <c r="AA85" s="758">
        <f>'Borough kWh'!C45</f>
        <v>11900.128788172156</v>
      </c>
      <c r="AB85" s="32"/>
      <c r="AC85" s="32"/>
      <c r="AD85" s="438"/>
      <c r="AF85" s="461"/>
      <c r="AG85" s="56"/>
      <c r="AI85" s="463"/>
    </row>
    <row r="86" spans="2:35" ht="14.4" x14ac:dyDescent="0.3">
      <c r="B86" s="37" t="s">
        <v>32</v>
      </c>
      <c r="C86" s="551"/>
      <c r="D86" s="49">
        <v>0</v>
      </c>
      <c r="E86" s="49">
        <v>0</v>
      </c>
      <c r="F86" s="49">
        <f>(E86+G86)/2</f>
        <v>23.806915</v>
      </c>
      <c r="G86" s="49">
        <v>47.61383</v>
      </c>
      <c r="H86" s="49">
        <v>25.004655103889998</v>
      </c>
      <c r="I86" s="737">
        <v>538.91301694123695</v>
      </c>
      <c r="J86" s="49">
        <v>472.72882625242227</v>
      </c>
      <c r="K86" s="49">
        <v>482.30308254534037</v>
      </c>
      <c r="L86" s="49">
        <v>521.62674394773137</v>
      </c>
      <c r="M86" s="49">
        <v>459.76713222595828</v>
      </c>
      <c r="N86" s="49">
        <v>483.97796605710312</v>
      </c>
      <c r="O86" s="49">
        <v>465.57086926645496</v>
      </c>
      <c r="P86" s="49">
        <v>453.68433137903594</v>
      </c>
      <c r="Q86" s="49">
        <v>458.0210594683723</v>
      </c>
      <c r="R86" s="49">
        <v>401.65072601361157</v>
      </c>
      <c r="S86" s="49">
        <v>402.51315909641482</v>
      </c>
      <c r="T86" s="49">
        <v>395.92564254504441</v>
      </c>
      <c r="U86" s="49">
        <v>404.39581464349567</v>
      </c>
      <c r="V86" s="49">
        <v>402.72175911832733</v>
      </c>
      <c r="W86" s="49">
        <v>381.59967674373303</v>
      </c>
      <c r="X86" s="49">
        <v>362.90646038161805</v>
      </c>
      <c r="Y86" s="49">
        <v>361.38648823588665</v>
      </c>
      <c r="Z86" s="49">
        <v>374.25006229372883</v>
      </c>
      <c r="AA86" s="758">
        <f>'Borough kWh'!E45</f>
        <v>243.09184982164695</v>
      </c>
      <c r="AB86" s="32"/>
      <c r="AC86" s="32"/>
      <c r="AD86" s="312"/>
    </row>
    <row r="87" spans="2:35" ht="14.4" x14ac:dyDescent="0.3">
      <c r="B87" s="37" t="s">
        <v>33</v>
      </c>
      <c r="C87" s="551"/>
      <c r="D87" s="49">
        <v>187</v>
      </c>
      <c r="E87" s="49">
        <v>661.73030647934274</v>
      </c>
      <c r="F87" s="49">
        <f>(E87+G87)/2</f>
        <v>614.28460323967136</v>
      </c>
      <c r="G87" s="49">
        <v>566.83889999999997</v>
      </c>
      <c r="H87" s="49">
        <v>267.27990870000002</v>
      </c>
      <c r="I87" s="737">
        <v>214.26224764670371</v>
      </c>
      <c r="J87" s="49">
        <v>220.19568978719914</v>
      </c>
      <c r="K87" s="49">
        <v>206.87862365045163</v>
      </c>
      <c r="L87" s="49">
        <v>209.68882978854555</v>
      </c>
      <c r="M87" s="49">
        <v>198.81728568797774</v>
      </c>
      <c r="N87" s="49">
        <v>216.90567936339684</v>
      </c>
      <c r="O87" s="49">
        <v>193.99104383330666</v>
      </c>
      <c r="P87" s="49">
        <v>196.25980231869028</v>
      </c>
      <c r="Q87" s="49">
        <v>202.27368112127735</v>
      </c>
      <c r="R87" s="49">
        <v>195.48816856624794</v>
      </c>
      <c r="S87" s="49">
        <v>194.25485593571074</v>
      </c>
      <c r="T87" s="49">
        <v>198.1168929267796</v>
      </c>
      <c r="U87" s="49">
        <v>192.81862920040734</v>
      </c>
      <c r="V87" s="49">
        <v>195.61850473709779</v>
      </c>
      <c r="W87" s="49">
        <v>195.55112259445514</v>
      </c>
      <c r="X87" s="49">
        <v>194.94108037617445</v>
      </c>
      <c r="Y87" s="49">
        <v>190.87793955758974</v>
      </c>
      <c r="Z87" s="49">
        <v>170.9308462792788</v>
      </c>
      <c r="AA87" s="758">
        <f>'Borough kWh'!F45</f>
        <v>178.95935913219148</v>
      </c>
      <c r="AB87" s="32"/>
      <c r="AC87" s="32"/>
    </row>
    <row r="88" spans="2:35" ht="14.4" x14ac:dyDescent="0.3">
      <c r="B88" s="248" t="s">
        <v>80</v>
      </c>
      <c r="C88" s="551"/>
      <c r="D88" s="552"/>
      <c r="E88" s="552"/>
      <c r="F88" s="552"/>
      <c r="G88" s="552"/>
      <c r="H88" s="552"/>
      <c r="I88" s="737">
        <v>565.39773529399474</v>
      </c>
      <c r="J88" s="49">
        <v>593.99072384344493</v>
      </c>
      <c r="K88" s="49">
        <v>543.75035906166545</v>
      </c>
      <c r="L88" s="49">
        <v>480.60524288198667</v>
      </c>
      <c r="M88" s="49">
        <v>487.19454683643619</v>
      </c>
      <c r="N88" s="49">
        <v>543.48377075183441</v>
      </c>
      <c r="O88" s="49">
        <v>519.63521006654366</v>
      </c>
      <c r="P88" s="49">
        <v>564.31283473919325</v>
      </c>
      <c r="Q88" s="49">
        <v>599.43627677493544</v>
      </c>
      <c r="R88" s="49">
        <v>582.23507476932832</v>
      </c>
      <c r="S88" s="49">
        <v>634.37035472467176</v>
      </c>
      <c r="T88" s="49">
        <v>667.84922675159874</v>
      </c>
      <c r="U88" s="49">
        <v>676.60788535662618</v>
      </c>
      <c r="V88" s="49">
        <v>722.54318937938251</v>
      </c>
      <c r="W88" s="49">
        <v>749.58272754821155</v>
      </c>
      <c r="X88" s="49">
        <v>765.18389132858272</v>
      </c>
      <c r="Y88" s="49">
        <v>797.81181732639925</v>
      </c>
      <c r="Z88" s="49">
        <v>777.61845246249368</v>
      </c>
      <c r="AA88" s="758">
        <f>'Borough kWh'!G45</f>
        <v>815.64785211178867</v>
      </c>
      <c r="AB88" s="32"/>
      <c r="AC88" s="32"/>
    </row>
    <row r="89" spans="2:35" ht="14.4" x14ac:dyDescent="0.3">
      <c r="B89" s="442" t="s">
        <v>35</v>
      </c>
      <c r="C89" s="553"/>
      <c r="D89" s="796">
        <f>SUM(D84:D87)</f>
        <v>68055.562869004425</v>
      </c>
      <c r="E89" s="796">
        <f>SUM(E84:E87)</f>
        <v>78825.336406777104</v>
      </c>
      <c r="F89" s="796">
        <f>SUM(F84:F87)</f>
        <v>74248.079568388552</v>
      </c>
      <c r="G89" s="796">
        <f>SUM(G84:G87)</f>
        <v>69670.82273</v>
      </c>
      <c r="H89" s="796">
        <f>SUM(H84:H87)</f>
        <v>69050.565557694907</v>
      </c>
      <c r="I89" s="797">
        <f>SUM(I84:I88)</f>
        <v>67839.107152281955</v>
      </c>
      <c r="J89" s="796">
        <f>SUM(J84:J88)</f>
        <v>65931.158715233061</v>
      </c>
      <c r="K89" s="796">
        <f t="shared" ref="K89:Z89" si="24">SUM(K84:K88)</f>
        <v>64927.21280395746</v>
      </c>
      <c r="L89" s="796">
        <f t="shared" si="24"/>
        <v>63149.713593518267</v>
      </c>
      <c r="M89" s="796">
        <f t="shared" si="24"/>
        <v>59456.068856450365</v>
      </c>
      <c r="N89" s="796">
        <f t="shared" si="24"/>
        <v>59414.081108022321</v>
      </c>
      <c r="O89" s="796">
        <f t="shared" si="24"/>
        <v>56630.785756266312</v>
      </c>
      <c r="P89" s="796">
        <f t="shared" si="24"/>
        <v>56149.339983436919</v>
      </c>
      <c r="Q89" s="796">
        <f t="shared" si="24"/>
        <v>55426.297029864581</v>
      </c>
      <c r="R89" s="796">
        <f t="shared" si="24"/>
        <v>54695.463136349186</v>
      </c>
      <c r="S89" s="796">
        <f t="shared" si="24"/>
        <v>54881.65925374435</v>
      </c>
      <c r="T89" s="796">
        <f t="shared" si="24"/>
        <v>54580.797122334494</v>
      </c>
      <c r="U89" s="796">
        <f t="shared" si="24"/>
        <v>55864.713598911017</v>
      </c>
      <c r="V89" s="796">
        <f t="shared" si="24"/>
        <v>53510.786768013946</v>
      </c>
      <c r="W89" s="796">
        <f t="shared" si="24"/>
        <v>54716.723519221952</v>
      </c>
      <c r="X89" s="796">
        <f t="shared" si="24"/>
        <v>58204.513488960962</v>
      </c>
      <c r="Y89" s="796">
        <f t="shared" si="24"/>
        <v>51745.227411340151</v>
      </c>
      <c r="Z89" s="796">
        <f t="shared" si="24"/>
        <v>47687.964327451293</v>
      </c>
      <c r="AA89" s="798">
        <f>SUM(AA84:AA88)</f>
        <v>46876.808269432971</v>
      </c>
      <c r="AB89" s="32"/>
      <c r="AC89" s="32"/>
      <c r="AD89" s="383"/>
    </row>
    <row r="90" spans="2:35" ht="14.4" x14ac:dyDescent="0.3">
      <c r="B90" s="45" t="s">
        <v>81</v>
      </c>
      <c r="C90" s="795" t="s">
        <v>26</v>
      </c>
      <c r="D90" s="768" t="s">
        <v>27</v>
      </c>
      <c r="E90" s="768" t="s">
        <v>27</v>
      </c>
      <c r="F90" s="768" t="s">
        <v>26</v>
      </c>
      <c r="G90" s="768" t="s">
        <v>27</v>
      </c>
      <c r="H90" s="768" t="s">
        <v>27</v>
      </c>
      <c r="I90" s="769" t="s">
        <v>27</v>
      </c>
      <c r="J90" s="768" t="s">
        <v>27</v>
      </c>
      <c r="K90" s="768" t="s">
        <v>27</v>
      </c>
      <c r="L90" s="768" t="s">
        <v>27</v>
      </c>
      <c r="M90" s="768" t="s">
        <v>27</v>
      </c>
      <c r="N90" s="783" t="s">
        <v>27</v>
      </c>
      <c r="O90" s="783" t="s">
        <v>27</v>
      </c>
      <c r="P90" s="783" t="s">
        <v>27</v>
      </c>
      <c r="Q90" s="783" t="s">
        <v>27</v>
      </c>
      <c r="R90" s="783" t="s">
        <v>27</v>
      </c>
      <c r="S90" s="783" t="s">
        <v>27</v>
      </c>
      <c r="T90" s="783" t="s">
        <v>27</v>
      </c>
      <c r="U90" s="799" t="s">
        <v>27</v>
      </c>
      <c r="V90" s="799" t="s">
        <v>27</v>
      </c>
      <c r="W90" s="799" t="s">
        <v>27</v>
      </c>
      <c r="X90" s="799" t="s">
        <v>27</v>
      </c>
      <c r="Y90" s="799" t="s">
        <v>27</v>
      </c>
      <c r="Z90" s="665" t="s">
        <v>27</v>
      </c>
      <c r="AA90" s="686" t="s">
        <v>28</v>
      </c>
      <c r="AB90" s="32"/>
      <c r="AC90" s="32"/>
      <c r="AD90" s="383"/>
    </row>
    <row r="91" spans="2:35" ht="14.4" x14ac:dyDescent="0.3">
      <c r="B91" s="37" t="s">
        <v>29</v>
      </c>
      <c r="C91" s="551"/>
      <c r="D91" s="49">
        <v>34474</v>
      </c>
      <c r="E91" s="49">
        <v>33310.346662700606</v>
      </c>
      <c r="F91" s="49">
        <f>(E91+G91)/2</f>
        <v>30628.788331350304</v>
      </c>
      <c r="G91" s="49">
        <v>27947.23</v>
      </c>
      <c r="H91" s="49">
        <v>28360.294593989998</v>
      </c>
      <c r="I91" s="737">
        <v>27213.851814000001</v>
      </c>
      <c r="J91" s="49">
        <v>26006.732787000001</v>
      </c>
      <c r="K91" s="49">
        <v>24428.742996000001</v>
      </c>
      <c r="L91" s="49">
        <v>24271.647790999999</v>
      </c>
      <c r="M91" s="49">
        <v>22447.843970999998</v>
      </c>
      <c r="N91" s="49">
        <v>22721.974812</v>
      </c>
      <c r="O91" s="49">
        <v>21837.310333000001</v>
      </c>
      <c r="P91" s="49">
        <v>21378.149391999999</v>
      </c>
      <c r="Q91" s="49">
        <v>20881.641466000001</v>
      </c>
      <c r="R91" s="49">
        <v>21482.136854999997</v>
      </c>
      <c r="S91" s="49">
        <v>20407.433386481222</v>
      </c>
      <c r="T91" s="49">
        <v>19981.49024367709</v>
      </c>
      <c r="U91" s="49">
        <v>20568.285108789161</v>
      </c>
      <c r="V91" s="49">
        <v>20033.752897133909</v>
      </c>
      <c r="W91" s="49">
        <v>19689.927950114059</v>
      </c>
      <c r="X91" s="49">
        <v>20376.907272134449</v>
      </c>
      <c r="Y91" s="49">
        <v>19535.372460611121</v>
      </c>
      <c r="Z91" s="422">
        <v>19299.723944604182</v>
      </c>
      <c r="AA91" s="758">
        <f>'Borough kWh'!K45-'Borough kWh'!K43/1000000</f>
        <v>18219.188708977807</v>
      </c>
      <c r="AB91" s="32"/>
      <c r="AC91" s="32"/>
      <c r="AD91" s="383"/>
    </row>
    <row r="92" spans="2:35" ht="14.4" x14ac:dyDescent="0.3">
      <c r="B92" s="37" t="s">
        <v>30</v>
      </c>
      <c r="C92" s="551"/>
      <c r="D92" s="49">
        <v>25884.017461733678</v>
      </c>
      <c r="E92" s="49">
        <v>25258.504627145001</v>
      </c>
      <c r="F92" s="49">
        <f>(E92+G92)/2</f>
        <v>25399.897313572503</v>
      </c>
      <c r="G92" s="49">
        <v>25541.29</v>
      </c>
      <c r="H92" s="49">
        <v>26422.586736460009</v>
      </c>
      <c r="I92" s="737">
        <v>27549.651272473991</v>
      </c>
      <c r="J92" s="49">
        <v>29142.5234906363</v>
      </c>
      <c r="K92" s="49">
        <v>28423.36994869999</v>
      </c>
      <c r="L92" s="49">
        <v>28403.931482389999</v>
      </c>
      <c r="M92" s="49">
        <v>27709.657332438361</v>
      </c>
      <c r="N92" s="49">
        <v>25986.620765194046</v>
      </c>
      <c r="O92" s="49">
        <v>24313.027076794056</v>
      </c>
      <c r="P92" s="49">
        <v>25272.714191994059</v>
      </c>
      <c r="Q92" s="49">
        <v>25032.370368978227</v>
      </c>
      <c r="R92" s="49">
        <v>24414.308683348772</v>
      </c>
      <c r="S92" s="49">
        <v>24306.731931333219</v>
      </c>
      <c r="T92" s="49">
        <v>23392.819060690566</v>
      </c>
      <c r="U92" s="49">
        <v>23345.712850483404</v>
      </c>
      <c r="V92" s="49">
        <v>23204.640553099096</v>
      </c>
      <c r="W92" s="49">
        <v>22446.585535887694</v>
      </c>
      <c r="X92" s="49">
        <v>18764.455027595177</v>
      </c>
      <c r="Y92" s="49">
        <v>19752.671710715527</v>
      </c>
      <c r="Z92" s="49">
        <v>20343.070891343948</v>
      </c>
      <c r="AA92" s="758">
        <f>'Borough kWh'!J45</f>
        <v>19797.850591735219</v>
      </c>
      <c r="AB92" s="32"/>
      <c r="AC92" s="32"/>
      <c r="AD92" s="383"/>
      <c r="AI92" s="463"/>
    </row>
    <row r="93" spans="2:35" ht="14.4" x14ac:dyDescent="0.3">
      <c r="B93" s="37" t="s">
        <v>82</v>
      </c>
      <c r="C93" s="551"/>
      <c r="D93" s="552"/>
      <c r="E93" s="552"/>
      <c r="F93" s="552"/>
      <c r="G93" s="552"/>
      <c r="H93" s="552"/>
      <c r="I93" s="738"/>
      <c r="J93" s="552"/>
      <c r="K93" s="552"/>
      <c r="L93" s="552"/>
      <c r="M93" s="552"/>
      <c r="N93" s="49">
        <v>366.54423178225164</v>
      </c>
      <c r="O93" s="49">
        <v>126.22588829408255</v>
      </c>
      <c r="P93" s="49">
        <v>167.67459605607374</v>
      </c>
      <c r="Q93" s="49">
        <v>173.68878443460824</v>
      </c>
      <c r="R93" s="49">
        <v>106.06196469181363</v>
      </c>
      <c r="S93" s="49">
        <v>100.53871731595413</v>
      </c>
      <c r="T93" s="49">
        <v>73.236818</v>
      </c>
      <c r="U93" s="49">
        <v>74.802096000000006</v>
      </c>
      <c r="V93" s="49">
        <v>54.747888869999997</v>
      </c>
      <c r="W93" s="49">
        <v>60.135592000000003</v>
      </c>
      <c r="X93" s="49">
        <v>50.932599000000003</v>
      </c>
      <c r="Y93" s="49">
        <v>63.086506</v>
      </c>
      <c r="Z93" s="49">
        <v>47.935656000000002</v>
      </c>
      <c r="AA93" s="759">
        <f>'Borough kWh'!K43/1000000</f>
        <v>53.232658000000001</v>
      </c>
      <c r="AB93" s="32"/>
      <c r="AC93" s="32"/>
      <c r="AD93" s="383"/>
      <c r="AF93" s="56"/>
      <c r="AG93" s="56"/>
    </row>
    <row r="94" spans="2:35" ht="14.4" x14ac:dyDescent="0.3">
      <c r="B94" s="37" t="s">
        <v>32</v>
      </c>
      <c r="C94" s="551"/>
      <c r="D94" s="49">
        <v>255</v>
      </c>
      <c r="E94" s="49">
        <v>52.512477774288797</v>
      </c>
      <c r="F94" s="49">
        <f>(E94+G94)/2</f>
        <v>37.871163887144398</v>
      </c>
      <c r="G94" s="49">
        <v>23.229849999999999</v>
      </c>
      <c r="H94" s="49">
        <v>41.90340298237097</v>
      </c>
      <c r="I94" s="737">
        <v>350.96760012215287</v>
      </c>
      <c r="J94" s="49">
        <v>373.67543752807319</v>
      </c>
      <c r="K94" s="49">
        <v>325.02379413836752</v>
      </c>
      <c r="L94" s="49">
        <v>376.59476505238001</v>
      </c>
      <c r="M94" s="49">
        <v>470.98851623960661</v>
      </c>
      <c r="N94" s="49">
        <v>506.83682007493547</v>
      </c>
      <c r="O94" s="49">
        <v>472.81575629501896</v>
      </c>
      <c r="P94" s="49">
        <v>532.59095296779094</v>
      </c>
      <c r="Q94" s="49">
        <v>654.73450820328594</v>
      </c>
      <c r="R94" s="49">
        <v>592.65247663383639</v>
      </c>
      <c r="S94" s="49">
        <v>321.04407751189495</v>
      </c>
      <c r="T94" s="49">
        <v>311.67753583696367</v>
      </c>
      <c r="U94" s="49">
        <v>250.37586563687282</v>
      </c>
      <c r="V94" s="49">
        <v>204.27860510276366</v>
      </c>
      <c r="W94" s="49">
        <v>191.43426914383139</v>
      </c>
      <c r="X94" s="49">
        <v>173.98230238519457</v>
      </c>
      <c r="Y94" s="49">
        <v>154.42126305378139</v>
      </c>
      <c r="Z94" s="49">
        <v>168.55424724672218</v>
      </c>
      <c r="AA94" s="758">
        <f>'Borough kWh'!L45</f>
        <v>167.76985100404042</v>
      </c>
      <c r="AB94" s="32"/>
      <c r="AC94" s="32"/>
      <c r="AD94" s="383"/>
      <c r="AF94" s="380"/>
    </row>
    <row r="95" spans="2:35" ht="14.4" x14ac:dyDescent="0.3">
      <c r="B95" s="37" t="s">
        <v>33</v>
      </c>
      <c r="C95" s="551"/>
      <c r="D95" s="49">
        <v>6420</v>
      </c>
      <c r="E95" s="49">
        <v>3142.9621898984146</v>
      </c>
      <c r="F95" s="49">
        <f>(E95+G95)/2</f>
        <v>2967.6900949492074</v>
      </c>
      <c r="G95" s="49">
        <v>2792.4180000000001</v>
      </c>
      <c r="H95" s="49">
        <v>3345.3337455999999</v>
      </c>
      <c r="I95" s="737">
        <v>11348.628023469471</v>
      </c>
      <c r="J95" s="49">
        <v>10993.021990329362</v>
      </c>
      <c r="K95" s="49">
        <v>11540.966706341405</v>
      </c>
      <c r="L95" s="49">
        <v>8910.0739948565024</v>
      </c>
      <c r="M95" s="49">
        <v>7844.7866321272686</v>
      </c>
      <c r="N95" s="49">
        <v>8477.0181334577701</v>
      </c>
      <c r="O95" s="49">
        <v>7636.7180281639467</v>
      </c>
      <c r="P95" s="49">
        <v>8082.0241009505626</v>
      </c>
      <c r="Q95" s="49">
        <v>7597.293893488828</v>
      </c>
      <c r="R95" s="49">
        <v>7235.1208871438494</v>
      </c>
      <c r="S95" s="49">
        <v>7503.2848580505588</v>
      </c>
      <c r="T95" s="49">
        <v>7738.4455240610905</v>
      </c>
      <c r="U95" s="49">
        <v>7822.7509209869231</v>
      </c>
      <c r="V95" s="49">
        <v>8408.680022916129</v>
      </c>
      <c r="W95" s="49">
        <v>8321.2403236255541</v>
      </c>
      <c r="X95" s="49">
        <v>8049.7119265877318</v>
      </c>
      <c r="Y95" s="49">
        <v>8285.1337688683889</v>
      </c>
      <c r="Z95" s="49">
        <v>7779.4138757145502</v>
      </c>
      <c r="AA95" s="758">
        <f>'Borough kWh'!M45</f>
        <v>7976.4683333708372</v>
      </c>
      <c r="AB95" s="32"/>
      <c r="AC95" s="32"/>
      <c r="AD95" s="383"/>
    </row>
    <row r="96" spans="2:35" ht="14.4" x14ac:dyDescent="0.3">
      <c r="B96" s="248" t="s">
        <v>80</v>
      </c>
      <c r="C96" s="551"/>
      <c r="D96" s="49">
        <v>1734</v>
      </c>
      <c r="E96" s="49">
        <v>326.66819372383708</v>
      </c>
      <c r="F96" s="49">
        <f>(E96+G96)/2</f>
        <v>297.33204686191857</v>
      </c>
      <c r="G96" s="49">
        <v>267.99590000000001</v>
      </c>
      <c r="H96" s="49">
        <v>349.15640051129998</v>
      </c>
      <c r="I96" s="737">
        <v>318.20461612572751</v>
      </c>
      <c r="J96" s="49">
        <v>392.13842748174949</v>
      </c>
      <c r="K96" s="49">
        <v>140.5010163656174</v>
      </c>
      <c r="L96" s="49">
        <v>238.52488462168895</v>
      </c>
      <c r="M96" s="49">
        <v>177.91588585597898</v>
      </c>
      <c r="N96" s="49">
        <v>253.32604332147338</v>
      </c>
      <c r="O96" s="49">
        <v>453.80286530045987</v>
      </c>
      <c r="P96" s="49">
        <v>426.6232577310322</v>
      </c>
      <c r="Q96" s="49">
        <v>484.78362053879715</v>
      </c>
      <c r="R96" s="49">
        <v>665.14110058953111</v>
      </c>
      <c r="S96" s="49">
        <v>629.2266673810966</v>
      </c>
      <c r="T96" s="49">
        <v>1030.0198654624005</v>
      </c>
      <c r="U96" s="49">
        <v>964.91563553332196</v>
      </c>
      <c r="V96" s="49">
        <v>980.61631210307314</v>
      </c>
      <c r="W96" s="49">
        <v>930.40846803416684</v>
      </c>
      <c r="X96" s="49">
        <v>913.24511503963652</v>
      </c>
      <c r="Y96" s="49">
        <v>829.16600845608639</v>
      </c>
      <c r="Z96" s="49">
        <v>824.50085995437814</v>
      </c>
      <c r="AA96" s="758">
        <f>'Borough kWh'!N45</f>
        <v>599.26311254481266</v>
      </c>
      <c r="AB96" s="32"/>
      <c r="AC96" s="32"/>
      <c r="AD96" s="383"/>
    </row>
    <row r="97" spans="2:35" ht="14.4" x14ac:dyDescent="0.3">
      <c r="B97" s="46" t="s">
        <v>35</v>
      </c>
      <c r="C97" s="554"/>
      <c r="D97" s="58">
        <f>SUM(D91:D96)</f>
        <v>68767.017461733674</v>
      </c>
      <c r="E97" s="58">
        <f t="shared" ref="E97:M97" si="25">SUM(E91:E96)</f>
        <v>62090.99415124215</v>
      </c>
      <c r="F97" s="58">
        <f>SUM(F91:F96)</f>
        <v>59331.578950621079</v>
      </c>
      <c r="G97" s="58">
        <f t="shared" si="25"/>
        <v>56572.163750000007</v>
      </c>
      <c r="H97" s="58">
        <f t="shared" si="25"/>
        <v>58519.274879543686</v>
      </c>
      <c r="I97" s="800">
        <f>SUM(I91:I96)</f>
        <v>66781.303326191352</v>
      </c>
      <c r="J97" s="58">
        <f t="shared" si="25"/>
        <v>66908.092132975493</v>
      </c>
      <c r="K97" s="58">
        <f>SUM(K91:K96)</f>
        <v>64858.604461545379</v>
      </c>
      <c r="L97" s="58">
        <f t="shared" si="25"/>
        <v>62200.772917920571</v>
      </c>
      <c r="M97" s="58">
        <f t="shared" si="25"/>
        <v>58651.192337661218</v>
      </c>
      <c r="N97" s="796">
        <f t="shared" ref="N97:Z97" si="26">SUM(N91:N96)</f>
        <v>58312.320805830481</v>
      </c>
      <c r="O97" s="796">
        <f t="shared" si="26"/>
        <v>54839.89994784756</v>
      </c>
      <c r="P97" s="796">
        <f t="shared" si="26"/>
        <v>55859.776491699507</v>
      </c>
      <c r="Q97" s="796">
        <f t="shared" si="26"/>
        <v>54824.512641643742</v>
      </c>
      <c r="R97" s="796">
        <f t="shared" si="26"/>
        <v>54495.42196740779</v>
      </c>
      <c r="S97" s="796">
        <f t="shared" si="26"/>
        <v>53268.259638073941</v>
      </c>
      <c r="T97" s="796">
        <f t="shared" si="26"/>
        <v>52527.689047728112</v>
      </c>
      <c r="U97" s="796">
        <f t="shared" si="26"/>
        <v>53026.842477429687</v>
      </c>
      <c r="V97" s="796">
        <f t="shared" si="26"/>
        <v>52886.716279224973</v>
      </c>
      <c r="W97" s="796">
        <f t="shared" si="26"/>
        <v>51639.73213880531</v>
      </c>
      <c r="X97" s="796">
        <f t="shared" si="26"/>
        <v>48329.23424274219</v>
      </c>
      <c r="Y97" s="796">
        <f t="shared" si="26"/>
        <v>48619.851717704907</v>
      </c>
      <c r="Z97" s="796">
        <f t="shared" si="26"/>
        <v>48463.199474863781</v>
      </c>
      <c r="AA97" s="798">
        <f>SUM(AA91:AA96)</f>
        <v>46813.773255632717</v>
      </c>
      <c r="AB97" s="32"/>
      <c r="AC97" s="32"/>
      <c r="AD97" s="383"/>
    </row>
    <row r="98" spans="2:35" ht="14.4" x14ac:dyDescent="0.3">
      <c r="B98" s="766" t="s">
        <v>83</v>
      </c>
      <c r="C98" s="795" t="s">
        <v>26</v>
      </c>
      <c r="D98" s="768" t="s">
        <v>27</v>
      </c>
      <c r="E98" s="768" t="s">
        <v>27</v>
      </c>
      <c r="F98" s="768" t="s">
        <v>26</v>
      </c>
      <c r="G98" s="768" t="s">
        <v>27</v>
      </c>
      <c r="H98" s="768" t="s">
        <v>27</v>
      </c>
      <c r="I98" s="769" t="s">
        <v>27</v>
      </c>
      <c r="J98" s="768" t="s">
        <v>27</v>
      </c>
      <c r="K98" s="768" t="s">
        <v>26</v>
      </c>
      <c r="L98" s="771" t="s">
        <v>27</v>
      </c>
      <c r="M98" s="771" t="s">
        <v>26</v>
      </c>
      <c r="N98" s="799" t="s">
        <v>27</v>
      </c>
      <c r="O98" s="799" t="s">
        <v>26</v>
      </c>
      <c r="P98" s="799" t="s">
        <v>26</v>
      </c>
      <c r="Q98" s="799" t="s">
        <v>27</v>
      </c>
      <c r="R98" s="799" t="s">
        <v>26</v>
      </c>
      <c r="S98" s="799" t="s">
        <v>26</v>
      </c>
      <c r="T98" s="799" t="s">
        <v>27</v>
      </c>
      <c r="U98" s="799" t="s">
        <v>26</v>
      </c>
      <c r="V98" s="799" t="s">
        <v>26</v>
      </c>
      <c r="W98" s="799" t="s">
        <v>27</v>
      </c>
      <c r="X98" s="799" t="s">
        <v>26</v>
      </c>
      <c r="Y98" s="799" t="s">
        <v>26</v>
      </c>
      <c r="Z98" s="665" t="s">
        <v>27</v>
      </c>
      <c r="AA98" s="686" t="s">
        <v>28</v>
      </c>
      <c r="AB98" s="32"/>
      <c r="AC98" s="32"/>
      <c r="AD98" s="383"/>
    </row>
    <row r="99" spans="2:35" ht="13.2" customHeight="1" x14ac:dyDescent="0.3">
      <c r="B99" s="37" t="s">
        <v>84</v>
      </c>
      <c r="C99" s="551"/>
      <c r="D99" s="49">
        <v>26995</v>
      </c>
      <c r="E99" s="49">
        <v>26768.876419005865</v>
      </c>
      <c r="F99" s="49">
        <f>(E99+G99)/2</f>
        <v>27730.098209502932</v>
      </c>
      <c r="G99" s="49">
        <v>28691.32</v>
      </c>
      <c r="H99" s="49">
        <v>30004.672718411308</v>
      </c>
      <c r="I99" s="737">
        <v>29912.174476856198</v>
      </c>
      <c r="J99" s="49">
        <v>29923.9042934065</v>
      </c>
      <c r="K99" s="49">
        <v>29606.335384193899</v>
      </c>
      <c r="L99" s="49">
        <v>29288.766474981199</v>
      </c>
      <c r="M99" s="49">
        <v>28053.298221833102</v>
      </c>
      <c r="N99" s="49">
        <v>26817.829972557774</v>
      </c>
      <c r="O99" s="49">
        <v>27753.385946631664</v>
      </c>
      <c r="P99" s="49">
        <v>28688.941920705587</v>
      </c>
      <c r="Q99" s="49">
        <v>29624.49789477947</v>
      </c>
      <c r="R99" s="49">
        <v>29491.951500930718</v>
      </c>
      <c r="S99" s="49">
        <v>29384.174366885767</v>
      </c>
      <c r="T99" s="49">
        <v>29792.302161952932</v>
      </c>
      <c r="U99" s="49">
        <v>28924.073489702336</v>
      </c>
      <c r="V99" s="49">
        <v>28249.270586171297</v>
      </c>
      <c r="W99" s="49">
        <v>27743.312070739757</v>
      </c>
      <c r="X99" s="49">
        <v>22758.798699393625</v>
      </c>
      <c r="Y99" s="49">
        <v>24161.745383216061</v>
      </c>
      <c r="Z99" s="49">
        <v>26480.34214188801</v>
      </c>
      <c r="AA99" s="758">
        <f>'Borough kWh'!T45</f>
        <v>25906.116825827401</v>
      </c>
      <c r="AB99" s="684"/>
      <c r="AC99" s="658"/>
      <c r="AD99" s="383"/>
      <c r="AF99" s="436"/>
      <c r="AG99" s="436"/>
      <c r="AH99" s="436"/>
      <c r="AI99" s="436"/>
    </row>
    <row r="100" spans="2:35" ht="14.25" customHeight="1" x14ac:dyDescent="0.3">
      <c r="B100" s="37" t="s">
        <v>85</v>
      </c>
      <c r="C100" s="551"/>
      <c r="D100" s="49">
        <v>2019</v>
      </c>
      <c r="E100" s="49">
        <v>1094.0036459486394</v>
      </c>
      <c r="F100" s="49">
        <f>(E100+G100)/2</f>
        <v>1313.3968229743195</v>
      </c>
      <c r="G100" s="49">
        <v>1532.79</v>
      </c>
      <c r="H100" s="49">
        <v>290.57388603570001</v>
      </c>
      <c r="I100" s="737">
        <v>299.29110259980007</v>
      </c>
      <c r="J100" s="49">
        <v>299.29110259980007</v>
      </c>
      <c r="K100" s="49">
        <f>(J100+L100)/2</f>
        <v>370.07438541099998</v>
      </c>
      <c r="L100" s="49">
        <v>440.85766822219989</v>
      </c>
      <c r="M100" s="49">
        <f>(L100+N100)/2</f>
        <v>446.94372081121367</v>
      </c>
      <c r="N100" s="49">
        <v>453.02977340022738</v>
      </c>
      <c r="O100" s="49">
        <v>453.02977340022738</v>
      </c>
      <c r="P100" s="49">
        <v>453.02977340022738</v>
      </c>
      <c r="Q100" s="49">
        <v>491.24088999225921</v>
      </c>
      <c r="R100" s="49">
        <v>504.4520057659247</v>
      </c>
      <c r="S100" s="49">
        <v>517.66312153959029</v>
      </c>
      <c r="T100" s="49">
        <v>530.87423731325566</v>
      </c>
      <c r="U100" s="49">
        <v>487.75843008136638</v>
      </c>
      <c r="V100" s="49">
        <v>444.64262284947694</v>
      </c>
      <c r="W100" s="49">
        <v>401.52681561758749</v>
      </c>
      <c r="X100" s="49">
        <v>320.81244729945593</v>
      </c>
      <c r="Y100" s="49">
        <v>338.73885124774404</v>
      </c>
      <c r="Z100" s="49">
        <v>324.83347229390057</v>
      </c>
      <c r="AA100" s="758">
        <f>'Borough kWh'!R45</f>
        <v>329.73046255357821</v>
      </c>
      <c r="AB100" s="684"/>
      <c r="AC100" s="647"/>
      <c r="AD100" s="383"/>
      <c r="AF100" s="436"/>
      <c r="AG100" s="436"/>
      <c r="AH100" s="436"/>
      <c r="AI100" s="436"/>
    </row>
    <row r="101" spans="2:35" ht="14.25" customHeight="1" x14ac:dyDescent="0.3">
      <c r="B101" s="59" t="s">
        <v>86</v>
      </c>
      <c r="C101" s="551"/>
      <c r="D101" s="552"/>
      <c r="E101" s="552"/>
      <c r="F101" s="552"/>
      <c r="G101" s="552"/>
      <c r="H101" s="552"/>
      <c r="I101" s="738"/>
      <c r="J101" s="552"/>
      <c r="K101" s="552"/>
      <c r="L101" s="552"/>
      <c r="M101" s="552"/>
      <c r="N101" s="49">
        <v>2258.8045650059421</v>
      </c>
      <c r="O101" s="49">
        <v>2258.8045650059421</v>
      </c>
      <c r="P101" s="49">
        <v>2258.8045650059421</v>
      </c>
      <c r="Q101" s="49">
        <v>2343.8996482217722</v>
      </c>
      <c r="R101" s="49">
        <v>2348.6913666512255</v>
      </c>
      <c r="S101" s="49">
        <v>2353.4830850806798</v>
      </c>
      <c r="T101" s="49">
        <v>2358.2748035101326</v>
      </c>
      <c r="U101" s="49">
        <v>2411.3283426180983</v>
      </c>
      <c r="V101" s="49">
        <v>2464.3818817260621</v>
      </c>
      <c r="W101" s="49">
        <v>2517.4354208340278</v>
      </c>
      <c r="X101" s="49">
        <v>2206.7662506355946</v>
      </c>
      <c r="Y101" s="49">
        <v>2241.1454548714732</v>
      </c>
      <c r="Z101" s="49">
        <v>2264.7214129946688</v>
      </c>
      <c r="AA101" s="758">
        <f>'Borough kWh'!S45</f>
        <v>2328.3466760458473</v>
      </c>
      <c r="AB101" s="684"/>
      <c r="AC101" s="647"/>
      <c r="AD101" s="383"/>
      <c r="AF101" s="436"/>
      <c r="AG101" s="436"/>
      <c r="AH101" s="436"/>
      <c r="AI101" s="436"/>
    </row>
    <row r="102" spans="2:35" ht="14.25" customHeight="1" x14ac:dyDescent="0.3">
      <c r="B102" s="59" t="s">
        <v>49</v>
      </c>
      <c r="C102" s="551"/>
      <c r="D102" s="552"/>
      <c r="E102" s="552"/>
      <c r="F102" s="552"/>
      <c r="G102" s="552"/>
      <c r="H102" s="552"/>
      <c r="I102" s="738"/>
      <c r="J102" s="552"/>
      <c r="K102" s="552"/>
      <c r="L102" s="552"/>
      <c r="M102" s="552"/>
      <c r="N102" s="552"/>
      <c r="O102" s="552"/>
      <c r="P102" s="552"/>
      <c r="Q102" s="552"/>
      <c r="R102" s="552"/>
      <c r="S102" s="552"/>
      <c r="T102" s="552"/>
      <c r="U102" s="552"/>
      <c r="V102" s="49">
        <v>57.190981714803968</v>
      </c>
      <c r="W102" s="49">
        <v>79.181600802578785</v>
      </c>
      <c r="X102" s="49">
        <v>155.95580509008664</v>
      </c>
      <c r="Y102" s="49">
        <v>226.19377965053317</v>
      </c>
      <c r="Z102" s="49">
        <v>399.61340434975568</v>
      </c>
      <c r="AA102" s="758">
        <f>'Borough kWh'!U45</f>
        <v>615.50179299403692</v>
      </c>
      <c r="AB102" s="684"/>
      <c r="AC102" s="647"/>
      <c r="AD102" s="383"/>
      <c r="AF102" s="508"/>
      <c r="AG102" s="436"/>
      <c r="AH102" s="436"/>
      <c r="AI102" s="436"/>
    </row>
    <row r="103" spans="2:35" ht="14.25" customHeight="1" x14ac:dyDescent="0.3">
      <c r="B103" s="37" t="s">
        <v>50</v>
      </c>
      <c r="C103" s="551"/>
      <c r="D103" s="49">
        <v>3453</v>
      </c>
      <c r="E103" s="49">
        <v>3145.9975904246494</v>
      </c>
      <c r="F103" s="49">
        <f>(E103+G103)/2</f>
        <v>3776.9007952123247</v>
      </c>
      <c r="G103" s="49">
        <v>4407.8040000000001</v>
      </c>
      <c r="H103" s="49">
        <v>4963.6348873190791</v>
      </c>
      <c r="I103" s="737">
        <v>5606.359767975533</v>
      </c>
      <c r="J103" s="49">
        <v>5606.359767975533</v>
      </c>
      <c r="K103" s="49">
        <f>(J103+L103)/2</f>
        <v>5668.75275959799</v>
      </c>
      <c r="L103" s="49">
        <v>5731.1457512204479</v>
      </c>
      <c r="M103" s="49">
        <f>(L103+N103)/2</f>
        <v>4616.3037677081065</v>
      </c>
      <c r="N103" s="487">
        <v>3501.4617841957643</v>
      </c>
      <c r="O103" s="487">
        <v>3501.4617841957643</v>
      </c>
      <c r="P103" s="487">
        <v>3501.4617841957643</v>
      </c>
      <c r="Q103" s="487">
        <v>3940.8872036151574</v>
      </c>
      <c r="R103" s="487">
        <v>3992.4320403608094</v>
      </c>
      <c r="S103" s="487">
        <v>4043.9768771064628</v>
      </c>
      <c r="T103" s="487">
        <v>4095.5217138521152</v>
      </c>
      <c r="U103" s="487">
        <v>4059.8423925407769</v>
      </c>
      <c r="V103" s="487">
        <v>4024.1630712294377</v>
      </c>
      <c r="W103" s="487">
        <v>3988.4837499180994</v>
      </c>
      <c r="X103" s="487">
        <v>1685.5829376789841</v>
      </c>
      <c r="Y103" s="487">
        <v>1558.5070005977132</v>
      </c>
      <c r="Z103" s="487">
        <v>2832.911642406536</v>
      </c>
      <c r="AA103" s="758">
        <f>'Borough kWh'!P45</f>
        <v>3401.1872396603144</v>
      </c>
      <c r="AB103" s="684"/>
      <c r="AC103" s="647"/>
      <c r="AD103" s="383"/>
      <c r="AF103" s="436"/>
      <c r="AG103" s="436"/>
      <c r="AH103" s="436"/>
      <c r="AI103" s="436"/>
    </row>
    <row r="104" spans="2:35" ht="14.25" customHeight="1" x14ac:dyDescent="0.3">
      <c r="B104" s="37" t="s">
        <v>51</v>
      </c>
      <c r="C104" s="551"/>
      <c r="D104" s="49">
        <v>51</v>
      </c>
      <c r="E104" s="49">
        <v>7.6820141062087073</v>
      </c>
      <c r="F104" s="49">
        <f>(E104+G104)/2</f>
        <v>9.2225770531043541</v>
      </c>
      <c r="G104" s="49">
        <v>10.76314</v>
      </c>
      <c r="H104" s="49">
        <v>10.763142</v>
      </c>
      <c r="I104" s="737">
        <v>10.870773</v>
      </c>
      <c r="J104" s="49">
        <v>10.820770640000001</v>
      </c>
      <c r="K104" s="49">
        <f>(J104+L104)/2</f>
        <v>10.820770640000001</v>
      </c>
      <c r="L104" s="49">
        <v>10.820770640000001</v>
      </c>
      <c r="M104" s="49">
        <f>(L104+N104)/2</f>
        <v>43.67091652222841</v>
      </c>
      <c r="N104" s="49">
        <v>76.521062404456814</v>
      </c>
      <c r="O104" s="49">
        <v>76.521062404456814</v>
      </c>
      <c r="P104" s="49">
        <v>76.521062404456814</v>
      </c>
      <c r="Q104" s="49">
        <v>61.092844101099963</v>
      </c>
      <c r="R104" s="49">
        <v>65.191828893715197</v>
      </c>
      <c r="S104" s="49">
        <v>69.290813686330395</v>
      </c>
      <c r="T104" s="49">
        <v>73.389798478945607</v>
      </c>
      <c r="U104" s="49">
        <v>70.954415160513221</v>
      </c>
      <c r="V104" s="49">
        <v>68.519031842080807</v>
      </c>
      <c r="W104" s="49">
        <v>75.775846863038367</v>
      </c>
      <c r="X104" s="49">
        <v>75.414492811040702</v>
      </c>
      <c r="Y104" s="49">
        <v>13.388893943011315</v>
      </c>
      <c r="Z104" s="49">
        <v>52.467997514306518</v>
      </c>
      <c r="AA104" s="758">
        <f>'Borough kWh'!Q45</f>
        <v>90.399705124026539</v>
      </c>
      <c r="AB104" s="684"/>
      <c r="AC104" s="647"/>
      <c r="AD104" s="383"/>
      <c r="AF104" s="436"/>
      <c r="AG104" s="436"/>
      <c r="AH104" s="436"/>
      <c r="AI104" s="436"/>
    </row>
    <row r="105" spans="2:35" ht="14.25" customHeight="1" x14ac:dyDescent="0.3">
      <c r="B105" s="442" t="s">
        <v>35</v>
      </c>
      <c r="C105" s="553"/>
      <c r="D105" s="796">
        <f>SUM(D99:D104)</f>
        <v>32518</v>
      </c>
      <c r="E105" s="796">
        <f t="shared" ref="E105:M105" si="27">SUM(E99:E104)</f>
        <v>31016.559669485363</v>
      </c>
      <c r="F105" s="796">
        <f>SUM(F99:F104)</f>
        <v>32829.61840474268</v>
      </c>
      <c r="G105" s="796">
        <f t="shared" si="27"/>
        <v>34642.677140000007</v>
      </c>
      <c r="H105" s="796">
        <f t="shared" si="27"/>
        <v>35269.644633766089</v>
      </c>
      <c r="I105" s="797">
        <f t="shared" si="27"/>
        <v>35828.69612043153</v>
      </c>
      <c r="J105" s="796">
        <f t="shared" si="27"/>
        <v>35840.375934621828</v>
      </c>
      <c r="K105" s="796">
        <f t="shared" si="27"/>
        <v>35655.98329984289</v>
      </c>
      <c r="L105" s="796">
        <f t="shared" si="27"/>
        <v>35471.59066506385</v>
      </c>
      <c r="M105" s="796">
        <f t="shared" si="27"/>
        <v>33160.216626874651</v>
      </c>
      <c r="N105" s="801">
        <f t="shared" ref="N105:V105" si="28">SUM(N99:N104)</f>
        <v>33107.647157564163</v>
      </c>
      <c r="O105" s="801">
        <f t="shared" si="28"/>
        <v>34043.203131638053</v>
      </c>
      <c r="P105" s="801">
        <f t="shared" si="28"/>
        <v>34978.759105711979</v>
      </c>
      <c r="Q105" s="801">
        <f t="shared" si="28"/>
        <v>36461.61848070976</v>
      </c>
      <c r="R105" s="801">
        <f t="shared" si="28"/>
        <v>36402.718742602396</v>
      </c>
      <c r="S105" s="801">
        <f t="shared" si="28"/>
        <v>36368.588264298836</v>
      </c>
      <c r="T105" s="801">
        <f t="shared" si="28"/>
        <v>36850.362715107382</v>
      </c>
      <c r="U105" s="801">
        <f t="shared" si="28"/>
        <v>35953.95707010309</v>
      </c>
      <c r="V105" s="801">
        <f t="shared" si="28"/>
        <v>35308.168175533159</v>
      </c>
      <c r="W105" s="801">
        <f>SUM(W99:W104)</f>
        <v>34805.715504775093</v>
      </c>
      <c r="X105" s="801">
        <f>SUM(X99:X104)</f>
        <v>27203.330632908786</v>
      </c>
      <c r="Y105" s="801">
        <f>SUM(Y99:Y104)</f>
        <v>28539.719363526536</v>
      </c>
      <c r="Z105" s="801">
        <f>SUM(Z99:Z104)</f>
        <v>32354.890071447178</v>
      </c>
      <c r="AA105" s="802">
        <f>SUM(AA99:AA104)</f>
        <v>32671.282702205204</v>
      </c>
      <c r="AB105" s="681"/>
      <c r="AC105" s="32"/>
      <c r="AD105" s="383"/>
      <c r="AF105" s="436"/>
      <c r="AG105" s="436"/>
      <c r="AH105" s="436"/>
      <c r="AI105" s="436"/>
    </row>
    <row r="106" spans="2:35" ht="15" thickBot="1" x14ac:dyDescent="0.35">
      <c r="B106" s="60" t="s">
        <v>66</v>
      </c>
      <c r="C106" s="555">
        <v>160431</v>
      </c>
      <c r="D106" s="556">
        <f>D89+D97+D105</f>
        <v>169340.5803307381</v>
      </c>
      <c r="E106" s="556">
        <f>E89+E97+E105</f>
        <v>171932.89022750463</v>
      </c>
      <c r="F106" s="556">
        <f>F89+F97+F105</f>
        <v>166409.2769237523</v>
      </c>
      <c r="G106" s="556">
        <f t="shared" ref="G106:N106" si="29">G89+G97+G105</f>
        <v>160885.66362000001</v>
      </c>
      <c r="H106" s="556">
        <f t="shared" si="29"/>
        <v>162839.48507100469</v>
      </c>
      <c r="I106" s="644">
        <f>I89+I97+I105</f>
        <v>170449.10659890482</v>
      </c>
      <c r="J106" s="556">
        <f t="shared" si="29"/>
        <v>168679.6267828304</v>
      </c>
      <c r="K106" s="556">
        <f t="shared" si="29"/>
        <v>165441.80056534574</v>
      </c>
      <c r="L106" s="556">
        <f t="shared" si="29"/>
        <v>160822.07717650267</v>
      </c>
      <c r="M106" s="556">
        <f t="shared" si="29"/>
        <v>151267.47782098624</v>
      </c>
      <c r="N106" s="556">
        <f t="shared" si="29"/>
        <v>150834.04907141696</v>
      </c>
      <c r="O106" s="556">
        <f t="shared" ref="O106:U106" si="30">O89+O97+O105</f>
        <v>145513.88883575192</v>
      </c>
      <c r="P106" s="556">
        <f t="shared" si="30"/>
        <v>146987.8755808484</v>
      </c>
      <c r="Q106" s="556">
        <f t="shared" si="30"/>
        <v>146712.42815221808</v>
      </c>
      <c r="R106" s="556">
        <f t="shared" si="30"/>
        <v>145593.60384635936</v>
      </c>
      <c r="S106" s="556">
        <f t="shared" si="30"/>
        <v>144518.50715611712</v>
      </c>
      <c r="T106" s="556">
        <f t="shared" si="30"/>
        <v>143958.84888516998</v>
      </c>
      <c r="U106" s="556">
        <f t="shared" si="30"/>
        <v>144845.51314644379</v>
      </c>
      <c r="V106" s="556">
        <f t="shared" ref="V106:AA106" si="31">V89+V97+V105</f>
        <v>141705.67122277207</v>
      </c>
      <c r="W106" s="556">
        <f t="shared" si="31"/>
        <v>141162.17116280235</v>
      </c>
      <c r="X106" s="556">
        <f t="shared" si="31"/>
        <v>133737.07836461195</v>
      </c>
      <c r="Y106" s="556">
        <f t="shared" si="31"/>
        <v>128904.7984925716</v>
      </c>
      <c r="Z106" s="556">
        <f t="shared" si="31"/>
        <v>128506.05387376226</v>
      </c>
      <c r="AA106" s="685">
        <f t="shared" si="31"/>
        <v>126361.8642272709</v>
      </c>
      <c r="AB106" s="32"/>
      <c r="AC106" s="32"/>
      <c r="AD106" s="383"/>
    </row>
    <row r="107" spans="2:35" ht="14.4" x14ac:dyDescent="0.3">
      <c r="D107" s="492"/>
      <c r="E107" s="492"/>
      <c r="F107" s="492"/>
      <c r="G107" s="492"/>
      <c r="H107" s="492"/>
      <c r="I107" s="492"/>
      <c r="J107" s="492"/>
      <c r="K107" s="492"/>
      <c r="L107" s="492"/>
      <c r="M107" s="492"/>
      <c r="N107" s="492"/>
      <c r="O107" s="492"/>
      <c r="P107" s="492"/>
      <c r="Q107" s="492"/>
      <c r="R107" s="492"/>
      <c r="S107" s="492"/>
      <c r="T107" s="492"/>
      <c r="U107" s="492"/>
      <c r="V107" s="492"/>
      <c r="W107" s="492"/>
      <c r="X107" s="492"/>
      <c r="Y107" s="492"/>
      <c r="Z107" s="492"/>
      <c r="AA107" s="492"/>
      <c r="AB107" s="32"/>
      <c r="AC107" s="32"/>
      <c r="AE107" s="56"/>
      <c r="AF107" s="56"/>
    </row>
    <row r="108" spans="2:35" ht="14.4" x14ac:dyDescent="0.3">
      <c r="B108" s="645"/>
      <c r="C108" s="56"/>
      <c r="D108" s="56"/>
      <c r="E108" s="56"/>
      <c r="F108" s="56"/>
      <c r="G108" s="56"/>
      <c r="H108" s="56"/>
      <c r="I108" s="56"/>
      <c r="J108" s="56"/>
      <c r="K108" s="56"/>
      <c r="L108" s="56"/>
      <c r="M108" s="56"/>
      <c r="N108" s="56"/>
      <c r="O108" s="56"/>
      <c r="P108" s="56"/>
      <c r="Q108" s="56"/>
      <c r="R108" s="56"/>
      <c r="S108" s="56"/>
      <c r="T108" s="56"/>
      <c r="W108" s="492"/>
      <c r="X108" s="492"/>
      <c r="Y108" s="492"/>
      <c r="Z108" s="492"/>
      <c r="AA108" s="492"/>
      <c r="AB108" s="32"/>
      <c r="AC108" s="32"/>
    </row>
    <row r="109" spans="2:35" ht="14.4" x14ac:dyDescent="0.3">
      <c r="D109" s="492"/>
      <c r="E109" s="492"/>
      <c r="F109" s="492"/>
      <c r="G109" s="492"/>
      <c r="H109" s="492"/>
      <c r="I109" s="492"/>
      <c r="J109" s="492"/>
      <c r="K109" s="492"/>
      <c r="L109" s="492"/>
      <c r="M109" s="492"/>
      <c r="N109" s="492"/>
      <c r="O109" s="492"/>
      <c r="P109" s="492"/>
      <c r="Q109" s="492"/>
      <c r="R109" s="492"/>
      <c r="S109" s="492"/>
      <c r="T109" s="492"/>
      <c r="U109" s="492"/>
      <c r="V109" s="492"/>
      <c r="W109" s="492"/>
      <c r="X109" s="492"/>
      <c r="Y109" s="161"/>
      <c r="Z109" s="161"/>
      <c r="AA109" s="161"/>
      <c r="AB109" s="32"/>
      <c r="AC109" s="32"/>
    </row>
    <row r="110" spans="2:35" ht="14.4" x14ac:dyDescent="0.3">
      <c r="C110" s="56"/>
      <c r="D110" s="441"/>
      <c r="E110" s="441"/>
      <c r="F110" s="441"/>
      <c r="G110" s="441"/>
      <c r="H110" s="441"/>
      <c r="I110" s="441"/>
      <c r="J110" s="441"/>
      <c r="K110" s="441"/>
      <c r="L110" s="441"/>
      <c r="M110" s="441"/>
      <c r="N110" s="441"/>
      <c r="O110" s="441"/>
      <c r="P110" s="441"/>
      <c r="Q110" s="441"/>
      <c r="R110" s="441"/>
      <c r="S110" s="441"/>
      <c r="T110" s="441"/>
      <c r="U110" s="441"/>
      <c r="V110" s="441"/>
      <c r="W110" s="441"/>
      <c r="X110" s="441"/>
      <c r="Y110" s="441"/>
      <c r="Z110" s="441"/>
      <c r="AA110" s="161"/>
      <c r="AB110" s="32"/>
      <c r="AC110" s="32"/>
    </row>
    <row r="111" spans="2:35" ht="14.4" x14ac:dyDescent="0.3">
      <c r="C111" s="56"/>
      <c r="D111" s="464"/>
      <c r="E111" s="56"/>
      <c r="F111" s="56"/>
      <c r="G111" s="56"/>
      <c r="H111" s="56"/>
      <c r="I111" s="56"/>
      <c r="J111" s="56"/>
      <c r="K111" s="56"/>
      <c r="L111" s="56"/>
      <c r="M111" s="56"/>
      <c r="N111" s="56"/>
      <c r="O111" s="464"/>
      <c r="P111" s="464"/>
      <c r="Q111" s="464"/>
      <c r="R111" s="464"/>
      <c r="S111" s="464"/>
      <c r="T111" s="464"/>
      <c r="U111" s="464"/>
      <c r="V111" s="464"/>
      <c r="W111" s="464"/>
      <c r="X111" s="464"/>
      <c r="Y111" s="161"/>
      <c r="Z111" s="161"/>
      <c r="AB111" s="647"/>
      <c r="AC111" s="32"/>
    </row>
    <row r="112" spans="2:35" ht="14.4" x14ac:dyDescent="0.3">
      <c r="C112" s="46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32"/>
      <c r="AC112" s="32"/>
    </row>
    <row r="113" spans="2:29" ht="14.4" x14ac:dyDescent="0.3">
      <c r="D113" s="161"/>
      <c r="V113" s="161"/>
      <c r="Y113" s="161"/>
      <c r="Z113" s="161"/>
      <c r="AA113" s="161"/>
      <c r="AB113" s="32"/>
      <c r="AC113" s="32"/>
    </row>
    <row r="114" spans="2:29" ht="14.4" x14ac:dyDescent="0.3">
      <c r="C114" s="56"/>
      <c r="D114" s="56"/>
      <c r="E114" s="56"/>
      <c r="F114" s="56"/>
      <c r="G114" s="56"/>
      <c r="H114" s="56"/>
      <c r="I114" s="56"/>
      <c r="J114" s="56"/>
      <c r="K114" s="56"/>
      <c r="L114" s="56"/>
      <c r="M114" s="56"/>
      <c r="N114" s="56"/>
      <c r="O114" s="56"/>
      <c r="P114" s="56"/>
      <c r="Q114" s="56"/>
      <c r="R114" s="56"/>
      <c r="S114" s="56"/>
      <c r="T114" s="56"/>
      <c r="U114" s="56"/>
      <c r="V114" s="56"/>
      <c r="W114" s="491"/>
      <c r="AB114" s="32"/>
      <c r="AC114" s="32"/>
    </row>
    <row r="115" spans="2:29" ht="14.4" x14ac:dyDescent="0.3">
      <c r="C115" s="56"/>
      <c r="D115" s="56"/>
      <c r="E115" s="56"/>
      <c r="F115" s="56"/>
      <c r="G115" s="56"/>
      <c r="H115" s="56"/>
      <c r="I115" s="56"/>
      <c r="J115" s="56"/>
      <c r="K115" s="56"/>
      <c r="L115" s="56"/>
      <c r="M115" s="56"/>
      <c r="N115" s="56"/>
      <c r="O115" s="56"/>
      <c r="P115" s="56"/>
      <c r="Q115" s="56"/>
      <c r="R115" s="56"/>
      <c r="S115" s="56"/>
      <c r="T115" s="56"/>
      <c r="U115" s="56"/>
      <c r="V115" s="161"/>
      <c r="W115" s="161"/>
      <c r="X115" s="383"/>
      <c r="Y115" s="383"/>
      <c r="Z115" s="383"/>
      <c r="AA115" s="383"/>
      <c r="AB115" s="32"/>
      <c r="AC115" s="32"/>
    </row>
    <row r="116" spans="2:29" ht="14.4" x14ac:dyDescent="0.3">
      <c r="B116" s="39"/>
      <c r="X116" s="383"/>
      <c r="Y116" s="383"/>
      <c r="Z116" s="383"/>
      <c r="AA116" s="383"/>
      <c r="AB116" s="32"/>
      <c r="AC116" s="32"/>
    </row>
    <row r="117" spans="2:29" ht="14.4" x14ac:dyDescent="0.3">
      <c r="B117" s="39"/>
      <c r="D117" s="493"/>
      <c r="L117" s="161"/>
      <c r="M117" s="161"/>
      <c r="AB117" s="32"/>
      <c r="AC117" s="32"/>
    </row>
    <row r="118" spans="2:29" x14ac:dyDescent="0.3">
      <c r="B118" s="39"/>
      <c r="Q118" s="383"/>
    </row>
    <row r="119" spans="2:29" x14ac:dyDescent="0.3">
      <c r="B119" s="51"/>
    </row>
    <row r="121" spans="2:29" x14ac:dyDescent="0.3">
      <c r="L121" s="161"/>
    </row>
    <row r="128" spans="2:29" x14ac:dyDescent="0.3">
      <c r="L128" s="161"/>
    </row>
    <row r="129" spans="12:13" x14ac:dyDescent="0.3">
      <c r="L129" s="161"/>
    </row>
    <row r="130" spans="12:13" x14ac:dyDescent="0.3">
      <c r="L130" s="161"/>
    </row>
    <row r="131" spans="12:13" x14ac:dyDescent="0.3">
      <c r="L131" s="161"/>
    </row>
    <row r="133" spans="12:13" x14ac:dyDescent="0.3">
      <c r="M133" s="161"/>
    </row>
  </sheetData>
  <sheetProtection algorithmName="SHA-512" hashValue="NEIWd0RfvIBK07bRxCFanOKnPViGbhRhgkjy7/qGTDHmYrsPvKJeYbHWpc3FeEH/88ap7zJboXij2IxPtetUVw==" saltValue="gPv+OfSSAg+cy4HFyqcR3Q==" spinCount="100000" sheet="1" objects="1" scenarios="1"/>
  <mergeCells count="6">
    <mergeCell ref="AD38:AI47"/>
    <mergeCell ref="B11:B12"/>
    <mergeCell ref="C81:AA81"/>
    <mergeCell ref="C11:H11"/>
    <mergeCell ref="I11:AA11"/>
    <mergeCell ref="AD69:AI73"/>
  </mergeCells>
  <phoneticPr fontId="95" type="noConversion"/>
  <pageMargins left="0.25" right="0.25" top="0.75" bottom="0.75" header="0.3" footer="0.3"/>
  <pageSetup paperSize="8" scale="48" orientation="landscape" r:id="rId1"/>
  <ignoredErrors>
    <ignoredError sqref="Q31:Y31" formulaRange="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tabColor theme="4" tint="0.79998168889431442"/>
    <pageSetUpPr fitToPage="1"/>
  </sheetPr>
  <dimension ref="A1:W83"/>
  <sheetViews>
    <sheetView topLeftCell="T23" zoomScale="90" zoomScaleNormal="90" workbookViewId="0">
      <selection activeCell="C10" sqref="C10:W45"/>
    </sheetView>
  </sheetViews>
  <sheetFormatPr defaultRowHeight="13.2" x14ac:dyDescent="0.25"/>
  <cols>
    <col min="1" max="1" width="8.88671875" style="29" customWidth="1"/>
    <col min="2" max="2" width="23.21875" style="29" customWidth="1"/>
    <col min="3" max="3" width="14.77734375" style="29" customWidth="1"/>
    <col min="4" max="4" width="16.5546875" style="29" customWidth="1"/>
    <col min="5" max="7" width="14.77734375" style="29" customWidth="1"/>
    <col min="8" max="8" width="16" style="29" bestFit="1" customWidth="1"/>
    <col min="9" max="10" width="15.5546875" style="29" customWidth="1"/>
    <col min="11" max="11" width="15.77734375" style="29" bestFit="1" customWidth="1"/>
    <col min="12" max="13" width="14.77734375" style="29" customWidth="1"/>
    <col min="14" max="14" width="16" style="29" customWidth="1"/>
    <col min="15" max="15" width="21.21875" style="29" customWidth="1"/>
    <col min="16" max="18" width="14.77734375" style="29" customWidth="1"/>
    <col min="19" max="19" width="16.5546875" style="29" customWidth="1"/>
    <col min="20" max="20" width="20" style="29" customWidth="1"/>
    <col min="21" max="21" width="15.5546875" style="29" customWidth="1"/>
    <col min="22" max="22" width="16.88671875" style="29" customWidth="1"/>
    <col min="23" max="23" width="18.77734375" style="29" customWidth="1"/>
    <col min="24" max="257" width="9" style="29"/>
    <col min="258" max="258" width="2" style="29" customWidth="1"/>
    <col min="259" max="259" width="23.21875" style="29" customWidth="1"/>
    <col min="260" max="278" width="14.77734375" style="29" customWidth="1"/>
    <col min="279" max="513" width="9" style="29"/>
    <col min="514" max="514" width="2" style="29" customWidth="1"/>
    <col min="515" max="515" width="23.21875" style="29" customWidth="1"/>
    <col min="516" max="534" width="14.77734375" style="29" customWidth="1"/>
    <col min="535" max="769" width="9" style="29"/>
    <col min="770" max="770" width="2" style="29" customWidth="1"/>
    <col min="771" max="771" width="23.21875" style="29" customWidth="1"/>
    <col min="772" max="790" width="14.77734375" style="29" customWidth="1"/>
    <col min="791" max="1025" width="9" style="29"/>
    <col min="1026" max="1026" width="2" style="29" customWidth="1"/>
    <col min="1027" max="1027" width="23.21875" style="29" customWidth="1"/>
    <col min="1028" max="1046" width="14.77734375" style="29" customWidth="1"/>
    <col min="1047" max="1281" width="9" style="29"/>
    <col min="1282" max="1282" width="2" style="29" customWidth="1"/>
    <col min="1283" max="1283" width="23.21875" style="29" customWidth="1"/>
    <col min="1284" max="1302" width="14.77734375" style="29" customWidth="1"/>
    <col min="1303" max="1537" width="9" style="29"/>
    <col min="1538" max="1538" width="2" style="29" customWidth="1"/>
    <col min="1539" max="1539" width="23.21875" style="29" customWidth="1"/>
    <col min="1540" max="1558" width="14.77734375" style="29" customWidth="1"/>
    <col min="1559" max="1793" width="9" style="29"/>
    <col min="1794" max="1794" width="2" style="29" customWidth="1"/>
    <col min="1795" max="1795" width="23.21875" style="29" customWidth="1"/>
    <col min="1796" max="1814" width="14.77734375" style="29" customWidth="1"/>
    <col min="1815" max="2049" width="9" style="29"/>
    <col min="2050" max="2050" width="2" style="29" customWidth="1"/>
    <col min="2051" max="2051" width="23.21875" style="29" customWidth="1"/>
    <col min="2052" max="2070" width="14.77734375" style="29" customWidth="1"/>
    <col min="2071" max="2305" width="9" style="29"/>
    <col min="2306" max="2306" width="2" style="29" customWidth="1"/>
    <col min="2307" max="2307" width="23.21875" style="29" customWidth="1"/>
    <col min="2308" max="2326" width="14.77734375" style="29" customWidth="1"/>
    <col min="2327" max="2561" width="9" style="29"/>
    <col min="2562" max="2562" width="2" style="29" customWidth="1"/>
    <col min="2563" max="2563" width="23.21875" style="29" customWidth="1"/>
    <col min="2564" max="2582" width="14.77734375" style="29" customWidth="1"/>
    <col min="2583" max="2817" width="9" style="29"/>
    <col min="2818" max="2818" width="2" style="29" customWidth="1"/>
    <col min="2819" max="2819" width="23.21875" style="29" customWidth="1"/>
    <col min="2820" max="2838" width="14.77734375" style="29" customWidth="1"/>
    <col min="2839" max="3073" width="9" style="29"/>
    <col min="3074" max="3074" width="2" style="29" customWidth="1"/>
    <col min="3075" max="3075" width="23.21875" style="29" customWidth="1"/>
    <col min="3076" max="3094" width="14.77734375" style="29" customWidth="1"/>
    <col min="3095" max="3329" width="9" style="29"/>
    <col min="3330" max="3330" width="2" style="29" customWidth="1"/>
    <col min="3331" max="3331" width="23.21875" style="29" customWidth="1"/>
    <col min="3332" max="3350" width="14.77734375" style="29" customWidth="1"/>
    <col min="3351" max="3585" width="9" style="29"/>
    <col min="3586" max="3586" width="2" style="29" customWidth="1"/>
    <col min="3587" max="3587" width="23.21875" style="29" customWidth="1"/>
    <col min="3588" max="3606" width="14.77734375" style="29" customWidth="1"/>
    <col min="3607" max="3841" width="9" style="29"/>
    <col min="3842" max="3842" width="2" style="29" customWidth="1"/>
    <col min="3843" max="3843" width="23.21875" style="29" customWidth="1"/>
    <col min="3844" max="3862" width="14.77734375" style="29" customWidth="1"/>
    <col min="3863" max="4097" width="9" style="29"/>
    <col min="4098" max="4098" width="2" style="29" customWidth="1"/>
    <col min="4099" max="4099" width="23.21875" style="29" customWidth="1"/>
    <col min="4100" max="4118" width="14.77734375" style="29" customWidth="1"/>
    <col min="4119" max="4353" width="9" style="29"/>
    <col min="4354" max="4354" width="2" style="29" customWidth="1"/>
    <col min="4355" max="4355" width="23.21875" style="29" customWidth="1"/>
    <col min="4356" max="4374" width="14.77734375" style="29" customWidth="1"/>
    <col min="4375" max="4609" width="9" style="29"/>
    <col min="4610" max="4610" width="2" style="29" customWidth="1"/>
    <col min="4611" max="4611" width="23.21875" style="29" customWidth="1"/>
    <col min="4612" max="4630" width="14.77734375" style="29" customWidth="1"/>
    <col min="4631" max="4865" width="9" style="29"/>
    <col min="4866" max="4866" width="2" style="29" customWidth="1"/>
    <col min="4867" max="4867" width="23.21875" style="29" customWidth="1"/>
    <col min="4868" max="4886" width="14.77734375" style="29" customWidth="1"/>
    <col min="4887" max="5121" width="9" style="29"/>
    <col min="5122" max="5122" width="2" style="29" customWidth="1"/>
    <col min="5123" max="5123" width="23.21875" style="29" customWidth="1"/>
    <col min="5124" max="5142" width="14.77734375" style="29" customWidth="1"/>
    <col min="5143" max="5377" width="9" style="29"/>
    <col min="5378" max="5378" width="2" style="29" customWidth="1"/>
    <col min="5379" max="5379" width="23.21875" style="29" customWidth="1"/>
    <col min="5380" max="5398" width="14.77734375" style="29" customWidth="1"/>
    <col min="5399" max="5633" width="9" style="29"/>
    <col min="5634" max="5634" width="2" style="29" customWidth="1"/>
    <col min="5635" max="5635" width="23.21875" style="29" customWidth="1"/>
    <col min="5636" max="5654" width="14.77734375" style="29" customWidth="1"/>
    <col min="5655" max="5889" width="9" style="29"/>
    <col min="5890" max="5890" width="2" style="29" customWidth="1"/>
    <col min="5891" max="5891" width="23.21875" style="29" customWidth="1"/>
    <col min="5892" max="5910" width="14.77734375" style="29" customWidth="1"/>
    <col min="5911" max="6145" width="9" style="29"/>
    <col min="6146" max="6146" width="2" style="29" customWidth="1"/>
    <col min="6147" max="6147" width="23.21875" style="29" customWidth="1"/>
    <col min="6148" max="6166" width="14.77734375" style="29" customWidth="1"/>
    <col min="6167" max="6401" width="9" style="29"/>
    <col min="6402" max="6402" width="2" style="29" customWidth="1"/>
    <col min="6403" max="6403" width="23.21875" style="29" customWidth="1"/>
    <col min="6404" max="6422" width="14.77734375" style="29" customWidth="1"/>
    <col min="6423" max="6657" width="9" style="29"/>
    <col min="6658" max="6658" width="2" style="29" customWidth="1"/>
    <col min="6659" max="6659" width="23.21875" style="29" customWidth="1"/>
    <col min="6660" max="6678" width="14.77734375" style="29" customWidth="1"/>
    <col min="6679" max="6913" width="9" style="29"/>
    <col min="6914" max="6914" width="2" style="29" customWidth="1"/>
    <col min="6915" max="6915" width="23.21875" style="29" customWidth="1"/>
    <col min="6916" max="6934" width="14.77734375" style="29" customWidth="1"/>
    <col min="6935" max="7169" width="9" style="29"/>
    <col min="7170" max="7170" width="2" style="29" customWidth="1"/>
    <col min="7171" max="7171" width="23.21875" style="29" customWidth="1"/>
    <col min="7172" max="7190" width="14.77734375" style="29" customWidth="1"/>
    <col min="7191" max="7425" width="9" style="29"/>
    <col min="7426" max="7426" width="2" style="29" customWidth="1"/>
    <col min="7427" max="7427" width="23.21875" style="29" customWidth="1"/>
    <col min="7428" max="7446" width="14.77734375" style="29" customWidth="1"/>
    <col min="7447" max="7681" width="9" style="29"/>
    <col min="7682" max="7682" width="2" style="29" customWidth="1"/>
    <col min="7683" max="7683" width="23.21875" style="29" customWidth="1"/>
    <col min="7684" max="7702" width="14.77734375" style="29" customWidth="1"/>
    <col min="7703" max="7937" width="9" style="29"/>
    <col min="7938" max="7938" width="2" style="29" customWidth="1"/>
    <col min="7939" max="7939" width="23.21875" style="29" customWidth="1"/>
    <col min="7940" max="7958" width="14.77734375" style="29" customWidth="1"/>
    <col min="7959" max="8193" width="9" style="29"/>
    <col min="8194" max="8194" width="2" style="29" customWidth="1"/>
    <col min="8195" max="8195" width="23.21875" style="29" customWidth="1"/>
    <col min="8196" max="8214" width="14.77734375" style="29" customWidth="1"/>
    <col min="8215" max="8449" width="9" style="29"/>
    <col min="8450" max="8450" width="2" style="29" customWidth="1"/>
    <col min="8451" max="8451" width="23.21875" style="29" customWidth="1"/>
    <col min="8452" max="8470" width="14.77734375" style="29" customWidth="1"/>
    <col min="8471" max="8705" width="9" style="29"/>
    <col min="8706" max="8706" width="2" style="29" customWidth="1"/>
    <col min="8707" max="8707" width="23.21875" style="29" customWidth="1"/>
    <col min="8708" max="8726" width="14.77734375" style="29" customWidth="1"/>
    <col min="8727" max="8961" width="9" style="29"/>
    <col min="8962" max="8962" width="2" style="29" customWidth="1"/>
    <col min="8963" max="8963" width="23.21875" style="29" customWidth="1"/>
    <col min="8964" max="8982" width="14.77734375" style="29" customWidth="1"/>
    <col min="8983" max="9217" width="9" style="29"/>
    <col min="9218" max="9218" width="2" style="29" customWidth="1"/>
    <col min="9219" max="9219" width="23.21875" style="29" customWidth="1"/>
    <col min="9220" max="9238" width="14.77734375" style="29" customWidth="1"/>
    <col min="9239" max="9473" width="9" style="29"/>
    <col min="9474" max="9474" width="2" style="29" customWidth="1"/>
    <col min="9475" max="9475" width="23.21875" style="29" customWidth="1"/>
    <col min="9476" max="9494" width="14.77734375" style="29" customWidth="1"/>
    <col min="9495" max="9729" width="9" style="29"/>
    <col min="9730" max="9730" width="2" style="29" customWidth="1"/>
    <col min="9731" max="9731" width="23.21875" style="29" customWidth="1"/>
    <col min="9732" max="9750" width="14.77734375" style="29" customWidth="1"/>
    <col min="9751" max="9985" width="9" style="29"/>
    <col min="9986" max="9986" width="2" style="29" customWidth="1"/>
    <col min="9987" max="9987" width="23.21875" style="29" customWidth="1"/>
    <col min="9988" max="10006" width="14.77734375" style="29" customWidth="1"/>
    <col min="10007" max="10241" width="9" style="29"/>
    <col min="10242" max="10242" width="2" style="29" customWidth="1"/>
    <col min="10243" max="10243" width="23.21875" style="29" customWidth="1"/>
    <col min="10244" max="10262" width="14.77734375" style="29" customWidth="1"/>
    <col min="10263" max="10497" width="9" style="29"/>
    <col min="10498" max="10498" width="2" style="29" customWidth="1"/>
    <col min="10499" max="10499" width="23.21875" style="29" customWidth="1"/>
    <col min="10500" max="10518" width="14.77734375" style="29" customWidth="1"/>
    <col min="10519" max="10753" width="9" style="29"/>
    <col min="10754" max="10754" width="2" style="29" customWidth="1"/>
    <col min="10755" max="10755" width="23.21875" style="29" customWidth="1"/>
    <col min="10756" max="10774" width="14.77734375" style="29" customWidth="1"/>
    <col min="10775" max="11009" width="9" style="29"/>
    <col min="11010" max="11010" width="2" style="29" customWidth="1"/>
    <col min="11011" max="11011" width="23.21875" style="29" customWidth="1"/>
    <col min="11012" max="11030" width="14.77734375" style="29" customWidth="1"/>
    <col min="11031" max="11265" width="9" style="29"/>
    <col min="11266" max="11266" width="2" style="29" customWidth="1"/>
    <col min="11267" max="11267" width="23.21875" style="29" customWidth="1"/>
    <col min="11268" max="11286" width="14.77734375" style="29" customWidth="1"/>
    <col min="11287" max="11521" width="9" style="29"/>
    <col min="11522" max="11522" width="2" style="29" customWidth="1"/>
    <col min="11523" max="11523" width="23.21875" style="29" customWidth="1"/>
    <col min="11524" max="11542" width="14.77734375" style="29" customWidth="1"/>
    <col min="11543" max="11777" width="9" style="29"/>
    <col min="11778" max="11778" width="2" style="29" customWidth="1"/>
    <col min="11779" max="11779" width="23.21875" style="29" customWidth="1"/>
    <col min="11780" max="11798" width="14.77734375" style="29" customWidth="1"/>
    <col min="11799" max="12033" width="9" style="29"/>
    <col min="12034" max="12034" width="2" style="29" customWidth="1"/>
    <col min="12035" max="12035" width="23.21875" style="29" customWidth="1"/>
    <col min="12036" max="12054" width="14.77734375" style="29" customWidth="1"/>
    <col min="12055" max="12289" width="9" style="29"/>
    <col min="12290" max="12290" width="2" style="29" customWidth="1"/>
    <col min="12291" max="12291" width="23.21875" style="29" customWidth="1"/>
    <col min="12292" max="12310" width="14.77734375" style="29" customWidth="1"/>
    <col min="12311" max="12545" width="9" style="29"/>
    <col min="12546" max="12546" width="2" style="29" customWidth="1"/>
    <col min="12547" max="12547" width="23.21875" style="29" customWidth="1"/>
    <col min="12548" max="12566" width="14.77734375" style="29" customWidth="1"/>
    <col min="12567" max="12801" width="9" style="29"/>
    <col min="12802" max="12802" width="2" style="29" customWidth="1"/>
    <col min="12803" max="12803" width="23.21875" style="29" customWidth="1"/>
    <col min="12804" max="12822" width="14.77734375" style="29" customWidth="1"/>
    <col min="12823" max="13057" width="9" style="29"/>
    <col min="13058" max="13058" width="2" style="29" customWidth="1"/>
    <col min="13059" max="13059" width="23.21875" style="29" customWidth="1"/>
    <col min="13060" max="13078" width="14.77734375" style="29" customWidth="1"/>
    <col min="13079" max="13313" width="9" style="29"/>
    <col min="13314" max="13314" width="2" style="29" customWidth="1"/>
    <col min="13315" max="13315" width="23.21875" style="29" customWidth="1"/>
    <col min="13316" max="13334" width="14.77734375" style="29" customWidth="1"/>
    <col min="13335" max="13569" width="9" style="29"/>
    <col min="13570" max="13570" width="2" style="29" customWidth="1"/>
    <col min="13571" max="13571" width="23.21875" style="29" customWidth="1"/>
    <col min="13572" max="13590" width="14.77734375" style="29" customWidth="1"/>
    <col min="13591" max="13825" width="9" style="29"/>
    <col min="13826" max="13826" width="2" style="29" customWidth="1"/>
    <col min="13827" max="13827" width="23.21875" style="29" customWidth="1"/>
    <col min="13828" max="13846" width="14.77734375" style="29" customWidth="1"/>
    <col min="13847" max="14081" width="9" style="29"/>
    <col min="14082" max="14082" width="2" style="29" customWidth="1"/>
    <col min="14083" max="14083" width="23.21875" style="29" customWidth="1"/>
    <col min="14084" max="14102" width="14.77734375" style="29" customWidth="1"/>
    <col min="14103" max="14337" width="9" style="29"/>
    <col min="14338" max="14338" width="2" style="29" customWidth="1"/>
    <col min="14339" max="14339" width="23.21875" style="29" customWidth="1"/>
    <col min="14340" max="14358" width="14.77734375" style="29" customWidth="1"/>
    <col min="14359" max="14593" width="9" style="29"/>
    <col min="14594" max="14594" width="2" style="29" customWidth="1"/>
    <col min="14595" max="14595" width="23.21875" style="29" customWidth="1"/>
    <col min="14596" max="14614" width="14.77734375" style="29" customWidth="1"/>
    <col min="14615" max="14849" width="9" style="29"/>
    <col min="14850" max="14850" width="2" style="29" customWidth="1"/>
    <col min="14851" max="14851" width="23.21875" style="29" customWidth="1"/>
    <col min="14852" max="14870" width="14.77734375" style="29" customWidth="1"/>
    <col min="14871" max="15105" width="9" style="29"/>
    <col min="15106" max="15106" width="2" style="29" customWidth="1"/>
    <col min="15107" max="15107" width="23.21875" style="29" customWidth="1"/>
    <col min="15108" max="15126" width="14.77734375" style="29" customWidth="1"/>
    <col min="15127" max="15361" width="9" style="29"/>
    <col min="15362" max="15362" width="2" style="29" customWidth="1"/>
    <col min="15363" max="15363" width="23.21875" style="29" customWidth="1"/>
    <col min="15364" max="15382" width="14.77734375" style="29" customWidth="1"/>
    <col min="15383" max="15617" width="9" style="29"/>
    <col min="15618" max="15618" width="2" style="29" customWidth="1"/>
    <col min="15619" max="15619" width="23.21875" style="29" customWidth="1"/>
    <col min="15620" max="15638" width="14.77734375" style="29" customWidth="1"/>
    <col min="15639" max="15873" width="9" style="29"/>
    <col min="15874" max="15874" width="2" style="29" customWidth="1"/>
    <col min="15875" max="15875" width="23.21875" style="29" customWidth="1"/>
    <col min="15876" max="15894" width="14.77734375" style="29" customWidth="1"/>
    <col min="15895" max="16129" width="9" style="29"/>
    <col min="16130" max="16130" width="2" style="29" customWidth="1"/>
    <col min="16131" max="16131" width="23.21875" style="29" customWidth="1"/>
    <col min="16132" max="16150" width="14.77734375" style="29" customWidth="1"/>
    <col min="16151" max="16384" width="9" style="29"/>
  </cols>
  <sheetData>
    <row r="1" spans="1:23" ht="21" x14ac:dyDescent="0.4">
      <c r="A1" s="259" t="s">
        <v>87</v>
      </c>
    </row>
    <row r="2" spans="1:23" ht="21" x14ac:dyDescent="0.25">
      <c r="A2" s="377">
        <v>2023</v>
      </c>
    </row>
    <row r="3" spans="1:23" x14ac:dyDescent="0.25">
      <c r="C3" s="102"/>
    </row>
    <row r="4" spans="1:23" ht="17.399999999999999" x14ac:dyDescent="0.3">
      <c r="B4" s="101" t="s">
        <v>88</v>
      </c>
      <c r="H4" s="102"/>
    </row>
    <row r="6" spans="1:23" ht="13.8" x14ac:dyDescent="0.3">
      <c r="B6" s="803" t="s">
        <v>89</v>
      </c>
      <c r="C6" s="804" t="s">
        <v>90</v>
      </c>
      <c r="D6" s="805"/>
      <c r="E6" s="805"/>
      <c r="F6" s="805"/>
      <c r="G6" s="805"/>
      <c r="H6" s="805"/>
      <c r="I6" s="805"/>
      <c r="J6" s="805"/>
      <c r="K6" s="805"/>
      <c r="L6" s="805"/>
      <c r="M6" s="805"/>
      <c r="N6" s="805"/>
      <c r="O6" s="805"/>
      <c r="P6" s="805"/>
      <c r="Q6" s="805"/>
      <c r="R6" s="805"/>
      <c r="S6" s="805"/>
      <c r="T6" s="805"/>
      <c r="U6" s="805"/>
      <c r="V6" s="805"/>
      <c r="W6" s="1243" t="s">
        <v>91</v>
      </c>
    </row>
    <row r="7" spans="1:23" ht="13.8" x14ac:dyDescent="0.3">
      <c r="B7" s="806"/>
      <c r="C7" s="1245" t="s">
        <v>92</v>
      </c>
      <c r="D7" s="1246"/>
      <c r="E7" s="1246"/>
      <c r="F7" s="1246"/>
      <c r="G7" s="1246"/>
      <c r="H7" s="1247"/>
      <c r="I7" s="1245" t="s">
        <v>93</v>
      </c>
      <c r="J7" s="1246"/>
      <c r="K7" s="1246"/>
      <c r="L7" s="1246"/>
      <c r="M7" s="1246"/>
      <c r="N7" s="1246"/>
      <c r="O7" s="1247"/>
      <c r="P7" s="1245" t="s">
        <v>94</v>
      </c>
      <c r="Q7" s="1246"/>
      <c r="R7" s="1246"/>
      <c r="S7" s="1246"/>
      <c r="T7" s="1246"/>
      <c r="U7" s="1246"/>
      <c r="V7" s="1247"/>
      <c r="W7" s="1244"/>
    </row>
    <row r="8" spans="1:23" s="103" customFormat="1" ht="43.5" customHeight="1" x14ac:dyDescent="0.3">
      <c r="B8" s="807"/>
      <c r="C8" s="808" t="s">
        <v>30</v>
      </c>
      <c r="D8" s="809" t="s">
        <v>29</v>
      </c>
      <c r="E8" s="809" t="s">
        <v>32</v>
      </c>
      <c r="F8" s="809" t="s">
        <v>33</v>
      </c>
      <c r="G8" s="809" t="s">
        <v>95</v>
      </c>
      <c r="H8" s="808" t="s">
        <v>96</v>
      </c>
      <c r="I8" s="808" t="s">
        <v>30</v>
      </c>
      <c r="J8" s="808" t="s">
        <v>97</v>
      </c>
      <c r="K8" s="808" t="s">
        <v>29</v>
      </c>
      <c r="L8" s="809" t="s">
        <v>32</v>
      </c>
      <c r="M8" s="809" t="s">
        <v>33</v>
      </c>
      <c r="N8" s="810" t="s">
        <v>95</v>
      </c>
      <c r="O8" s="808" t="s">
        <v>96</v>
      </c>
      <c r="P8" s="808" t="s">
        <v>50</v>
      </c>
      <c r="Q8" s="808" t="s">
        <v>51</v>
      </c>
      <c r="R8" s="808" t="s">
        <v>98</v>
      </c>
      <c r="S8" s="808" t="s">
        <v>99</v>
      </c>
      <c r="T8" s="808" t="s">
        <v>100</v>
      </c>
      <c r="U8" s="808" t="s">
        <v>101</v>
      </c>
      <c r="V8" s="808" t="s">
        <v>96</v>
      </c>
      <c r="W8" s="1244"/>
    </row>
    <row r="9" spans="1:23" ht="13.8" x14ac:dyDescent="0.3">
      <c r="B9" s="811" t="s">
        <v>102</v>
      </c>
      <c r="C9" s="812">
        <v>2023</v>
      </c>
      <c r="D9" s="812">
        <v>2023</v>
      </c>
      <c r="E9" s="812">
        <v>2023</v>
      </c>
      <c r="F9" s="812">
        <v>2023</v>
      </c>
      <c r="G9" s="812">
        <v>2023</v>
      </c>
      <c r="H9" s="812"/>
      <c r="I9" s="812">
        <v>2023</v>
      </c>
      <c r="J9" s="812">
        <v>2023</v>
      </c>
      <c r="K9" s="812">
        <v>2023</v>
      </c>
      <c r="L9" s="812">
        <v>2023</v>
      </c>
      <c r="M9" s="812">
        <v>2023</v>
      </c>
      <c r="N9" s="812">
        <v>2023</v>
      </c>
      <c r="O9" s="812"/>
      <c r="P9" s="812">
        <v>2023</v>
      </c>
      <c r="Q9" s="812">
        <v>2023</v>
      </c>
      <c r="R9" s="812">
        <v>2023</v>
      </c>
      <c r="S9" s="812">
        <v>2023</v>
      </c>
      <c r="T9" s="812">
        <v>2023</v>
      </c>
      <c r="U9" s="812">
        <v>2023</v>
      </c>
      <c r="V9" s="813"/>
      <c r="W9" s="812"/>
    </row>
    <row r="10" spans="1:23" ht="13.8" x14ac:dyDescent="0.3">
      <c r="B10" s="814" t="s">
        <v>103</v>
      </c>
      <c r="C10" s="815">
        <f>'I. Energy - Stationary'!F9</f>
        <v>243158673.0610007</v>
      </c>
      <c r="D10" s="61">
        <f>'I. Energy - Stationary'!H9</f>
        <v>651400249.75527298</v>
      </c>
      <c r="E10" s="61">
        <f>'I. Energy - Stationary'!J52</f>
        <v>11276408.352701666</v>
      </c>
      <c r="F10" s="61">
        <f>'I. Energy - Stationary'!K52</f>
        <v>2550489.1072210916</v>
      </c>
      <c r="G10" s="61">
        <f>'I. Energy - Stationary'!L52</f>
        <v>29952705.51904298</v>
      </c>
      <c r="H10" s="816">
        <f t="shared" ref="H10:H42" si="0">SUM(C10:G10)</f>
        <v>938338525.79523945</v>
      </c>
      <c r="I10" s="64">
        <f>'I. Energy - Stationary'!G9</f>
        <v>322023592.67499995</v>
      </c>
      <c r="J10" s="61">
        <f>I10-S10-U10</f>
        <v>261645474.22100547</v>
      </c>
      <c r="K10" s="61">
        <f>'I. Energy - Stationary'!I9</f>
        <v>227695806.78680789</v>
      </c>
      <c r="L10" s="61">
        <f>'I. Energy - Stationary'!M52</f>
        <v>2902193.7231079</v>
      </c>
      <c r="M10" s="61">
        <f>'I. Energy - Stationary'!N52</f>
        <v>171610846.090545</v>
      </c>
      <c r="N10" s="61">
        <f>'I. Energy - Stationary'!O52</f>
        <v>9346576.1710001063</v>
      </c>
      <c r="O10" s="816">
        <f>SUM(J10:N10)</f>
        <v>673200896.99246633</v>
      </c>
      <c r="P10" s="61">
        <f>'II. Transport '!L9</f>
        <v>0</v>
      </c>
      <c r="Q10" s="61">
        <f>'II. Transport '!M9</f>
        <v>3896822.6611414813</v>
      </c>
      <c r="R10" s="61">
        <f>'II. Transport '!J9</f>
        <v>10281526.851315835</v>
      </c>
      <c r="S10" s="61">
        <f>'II. Transport '!K9</f>
        <v>48222050.035868868</v>
      </c>
      <c r="T10" s="61">
        <f>'II. Transport '!S267</f>
        <v>555470993.19560003</v>
      </c>
      <c r="U10" s="61">
        <f>'II. Transport '!AB267</f>
        <v>12156068.418125592</v>
      </c>
      <c r="V10" s="816">
        <f>SUM(P10:U10)</f>
        <v>630027461.1620518</v>
      </c>
      <c r="W10" s="817">
        <f>H10+O10+V10</f>
        <v>2241566883.9497576</v>
      </c>
    </row>
    <row r="11" spans="1:23" ht="13.8" x14ac:dyDescent="0.3">
      <c r="B11" s="814" t="s">
        <v>104</v>
      </c>
      <c r="C11" s="815">
        <f>'I. Energy - Stationary'!F10</f>
        <v>586301767.55000925</v>
      </c>
      <c r="D11" s="61">
        <f>'I. Energy - Stationary'!H10</f>
        <v>1837556413.69719</v>
      </c>
      <c r="E11" s="61">
        <f>'I. Energy - Stationary'!J53</f>
        <v>8631530.1613706239</v>
      </c>
      <c r="F11" s="61">
        <f>'I. Energy - Stationary'!K53</f>
        <v>8375487.8641760927</v>
      </c>
      <c r="G11" s="61">
        <f>'I. Energy - Stationary'!L53</f>
        <v>38851916.380611569</v>
      </c>
      <c r="H11" s="816">
        <f t="shared" si="0"/>
        <v>2479717115.6533575</v>
      </c>
      <c r="I11" s="64">
        <f>'I. Energy - Stationary'!G10</f>
        <v>456129018.3291952</v>
      </c>
      <c r="J11" s="61">
        <f t="shared" ref="J11:J43" si="1">I11-S11-U11</f>
        <v>325875924.25011635</v>
      </c>
      <c r="K11" s="61">
        <f>'I. Energy - Stationary'!I10</f>
        <v>480477565.75420791</v>
      </c>
      <c r="L11" s="61">
        <f>'I. Energy - Stationary'!M53</f>
        <v>6346528.5237974562</v>
      </c>
      <c r="M11" s="61">
        <f>'I. Energy - Stationary'!N53</f>
        <v>331392950.37053585</v>
      </c>
      <c r="N11" s="61">
        <f>'I. Energy - Stationary'!O53</f>
        <v>16434916.660136843</v>
      </c>
      <c r="O11" s="816">
        <f t="shared" ref="O11:O42" si="2">SUM(J11:N11)</f>
        <v>1160527885.5587945</v>
      </c>
      <c r="P11" s="61">
        <f>'II. Transport '!L10</f>
        <v>473086.03001758811</v>
      </c>
      <c r="Q11" s="61">
        <f>'II. Transport '!M10</f>
        <v>0</v>
      </c>
      <c r="R11" s="61">
        <f>'II. Transport '!J10</f>
        <v>39301737.303441517</v>
      </c>
      <c r="S11" s="61">
        <f>'II. Transport '!K10</f>
        <v>102282220.9832702</v>
      </c>
      <c r="T11" s="61">
        <f>'II. Transport '!S268</f>
        <v>1311145190.8534999</v>
      </c>
      <c r="U11" s="61">
        <f>'II. Transport '!AB268</f>
        <v>27970873.09580864</v>
      </c>
      <c r="V11" s="816">
        <f>SUM(P11:U11)</f>
        <v>1481173108.2660379</v>
      </c>
      <c r="W11" s="817">
        <f t="shared" ref="W11:W43" si="3">H11+O11+V11</f>
        <v>5121418109.4781895</v>
      </c>
    </row>
    <row r="12" spans="1:23" ht="13.8" x14ac:dyDescent="0.3">
      <c r="B12" s="814" t="s">
        <v>105</v>
      </c>
      <c r="C12" s="815">
        <f>'I. Energy - Stationary'!F11</f>
        <v>336363051.74500149</v>
      </c>
      <c r="D12" s="61">
        <f>'I. Energy - Stationary'!H11</f>
        <v>1011298218.1246719</v>
      </c>
      <c r="E12" s="61">
        <f>'I. Energy - Stationary'!J54</f>
        <v>10381304.602368213</v>
      </c>
      <c r="F12" s="61">
        <f>'I. Energy - Stationary'!K54</f>
        <v>5904200.2268335884</v>
      </c>
      <c r="G12" s="61">
        <f>'I. Energy - Stationary'!L54</f>
        <v>37702535.276610158</v>
      </c>
      <c r="H12" s="816">
        <f t="shared" si="0"/>
        <v>1401649309.9754853</v>
      </c>
      <c r="I12" s="64">
        <f>'I. Energy - Stationary'!G11</f>
        <v>397225152.11799991</v>
      </c>
      <c r="J12" s="61">
        <f t="shared" si="1"/>
        <v>344373649.41062659</v>
      </c>
      <c r="K12" s="61">
        <f>'I. Energy - Stationary'!I11</f>
        <v>663320523.01533413</v>
      </c>
      <c r="L12" s="61">
        <f>'I. Energy - Stationary'!M54</f>
        <v>6091027.6736835977</v>
      </c>
      <c r="M12" s="61">
        <f>'I. Energy - Stationary'!N54</f>
        <v>108322321.36558956</v>
      </c>
      <c r="N12" s="61">
        <f>'I. Energy - Stationary'!O54</f>
        <v>38686911.974255346</v>
      </c>
      <c r="O12" s="816">
        <f t="shared" si="2"/>
        <v>1160794433.4394894</v>
      </c>
      <c r="P12" s="61">
        <f>'II. Transport '!L11</f>
        <v>23379055.690543462</v>
      </c>
      <c r="Q12" s="61">
        <f>'II. Transport '!M11</f>
        <v>1769215.5977708308</v>
      </c>
      <c r="R12" s="61">
        <f>'II. Transport '!J11</f>
        <v>4707938.6200634744</v>
      </c>
      <c r="S12" s="61">
        <f>'II. Transport '!K11</f>
        <v>36884418.986871436</v>
      </c>
      <c r="T12" s="61">
        <f>'II. Transport '!S269</f>
        <v>758757204.6178</v>
      </c>
      <c r="U12" s="61">
        <f>'II. Transport '!AB269</f>
        <v>15967083.720501898</v>
      </c>
      <c r="V12" s="816">
        <f t="shared" ref="V12:V43" si="4">SUM(P12:U12)</f>
        <v>841464917.23355114</v>
      </c>
      <c r="W12" s="817">
        <f>H12+O12+V12</f>
        <v>3403908660.6485257</v>
      </c>
    </row>
    <row r="13" spans="1:23" ht="13.8" x14ac:dyDescent="0.3">
      <c r="B13" s="814" t="s">
        <v>106</v>
      </c>
      <c r="C13" s="815">
        <f>'I. Energy - Stationary'!F12</f>
        <v>402794658.68009591</v>
      </c>
      <c r="D13" s="61">
        <f>'I. Energy - Stationary'!H12</f>
        <v>1299926282.3911829</v>
      </c>
      <c r="E13" s="61">
        <f>'I. Energy - Stationary'!J55</f>
        <v>8982314.3448757827</v>
      </c>
      <c r="F13" s="61">
        <f>'I. Energy - Stationary'!K55</f>
        <v>4883385.1214423422</v>
      </c>
      <c r="G13" s="61">
        <f>'I. Energy - Stationary'!L55</f>
        <v>28815927.881081719</v>
      </c>
      <c r="H13" s="816">
        <f t="shared" si="0"/>
        <v>1745402568.4186788</v>
      </c>
      <c r="I13" s="64">
        <f>'I. Energy - Stationary'!G12</f>
        <v>717664264.5250001</v>
      </c>
      <c r="J13" s="61">
        <f t="shared" si="1"/>
        <v>586980827.9190644</v>
      </c>
      <c r="K13" s="61">
        <f>'I. Energy - Stationary'!I12</f>
        <v>548522353.07861865</v>
      </c>
      <c r="L13" s="61">
        <f>'I. Energy - Stationary'!M55</f>
        <v>7539603.824938383</v>
      </c>
      <c r="M13" s="61">
        <f>'I. Energy - Stationary'!N55</f>
        <v>181696784.16121671</v>
      </c>
      <c r="N13" s="61">
        <f>'I. Energy - Stationary'!O55</f>
        <v>26035879.653662555</v>
      </c>
      <c r="O13" s="816">
        <f t="shared" si="2"/>
        <v>1350775448.6375005</v>
      </c>
      <c r="P13" s="61">
        <f>'II. Transport '!L12</f>
        <v>795739.37369420077</v>
      </c>
      <c r="Q13" s="61">
        <f>'II. Transport '!M12</f>
        <v>0</v>
      </c>
      <c r="R13" s="61">
        <f>'II. Transport '!J12</f>
        <v>47170370.70313333</v>
      </c>
      <c r="S13" s="61">
        <f>'II. Transport '!K12</f>
        <v>111941804.48988284</v>
      </c>
      <c r="T13" s="61">
        <f>'II. Transport '!S270</f>
        <v>842511109.33349991</v>
      </c>
      <c r="U13" s="61">
        <f>'II. Transport '!AB270</f>
        <v>18741632.116052814</v>
      </c>
      <c r="V13" s="816">
        <f t="shared" si="4"/>
        <v>1021160656.0162631</v>
      </c>
      <c r="W13" s="817">
        <f t="shared" si="3"/>
        <v>4117338673.0724421</v>
      </c>
    </row>
    <row r="14" spans="1:23" ht="13.8" x14ac:dyDescent="0.3">
      <c r="B14" s="814" t="s">
        <v>107</v>
      </c>
      <c r="C14" s="815">
        <f>'I. Energy - Stationary'!F13</f>
        <v>492714513.32200164</v>
      </c>
      <c r="D14" s="61">
        <f>'I. Energy - Stationary'!H13</f>
        <v>1679765970.6638019</v>
      </c>
      <c r="E14" s="61">
        <f>'I. Energy - Stationary'!J56</f>
        <v>8546604.0409093443</v>
      </c>
      <c r="F14" s="61">
        <f>'I. Energy - Stationary'!K56</f>
        <v>12924181.642941443</v>
      </c>
      <c r="G14" s="61">
        <f>'I. Energy - Stationary'!L56</f>
        <v>44204590.569304056</v>
      </c>
      <c r="H14" s="816">
        <f t="shared" si="0"/>
        <v>2238155860.2389584</v>
      </c>
      <c r="I14" s="64">
        <f>'I. Energy - Stationary'!G13</f>
        <v>358084974.86900002</v>
      </c>
      <c r="J14" s="61">
        <f t="shared" si="1"/>
        <v>260183786.88616091</v>
      </c>
      <c r="K14" s="61">
        <f>'I. Energy - Stationary'!I13</f>
        <v>293666226.59579349</v>
      </c>
      <c r="L14" s="61">
        <f>'I. Energy - Stationary'!M56</f>
        <v>3368202.1121087577</v>
      </c>
      <c r="M14" s="61">
        <f>'I. Energy - Stationary'!N56</f>
        <v>124594164.96366827</v>
      </c>
      <c r="N14" s="61">
        <f>'I. Energy - Stationary'!O56</f>
        <v>9288537.6810710412</v>
      </c>
      <c r="O14" s="816">
        <f t="shared" si="2"/>
        <v>691100918.23880231</v>
      </c>
      <c r="P14" s="61">
        <f>'II. Transport '!L13</f>
        <v>22968811.30303362</v>
      </c>
      <c r="Q14" s="61">
        <f>'II. Transport '!M13</f>
        <v>0</v>
      </c>
      <c r="R14" s="61">
        <f>'II. Transport '!J13</f>
        <v>5761664.9311558595</v>
      </c>
      <c r="S14" s="61">
        <f>'II. Transport '!K13</f>
        <v>75626035.796284154</v>
      </c>
      <c r="T14" s="61">
        <f>'II. Transport '!S271</f>
        <v>1060822529.2698001</v>
      </c>
      <c r="U14" s="61">
        <f>'II. Transport '!AB271</f>
        <v>22275152.18655498</v>
      </c>
      <c r="V14" s="816">
        <f t="shared" si="4"/>
        <v>1187454193.4868286</v>
      </c>
      <c r="W14" s="817">
        <f t="shared" si="3"/>
        <v>4116710971.9645891</v>
      </c>
    </row>
    <row r="15" spans="1:23" ht="13.8" x14ac:dyDescent="0.3">
      <c r="B15" s="814" t="s">
        <v>108</v>
      </c>
      <c r="C15" s="815">
        <f>'I. Energy - Stationary'!F14</f>
        <v>317787547.64599729</v>
      </c>
      <c r="D15" s="61">
        <f>'I. Energy - Stationary'!H14</f>
        <v>799371663.63720572</v>
      </c>
      <c r="E15" s="61">
        <f>'I. Energy - Stationary'!J57</f>
        <v>2143086.1999058016</v>
      </c>
      <c r="F15" s="61">
        <f>'I. Energy - Stationary'!K57</f>
        <v>8142909.7509792652</v>
      </c>
      <c r="G15" s="61">
        <f>'I. Energy - Stationary'!L57</f>
        <v>6070778.0850158278</v>
      </c>
      <c r="H15" s="816">
        <f t="shared" si="0"/>
        <v>1133515985.319104</v>
      </c>
      <c r="I15" s="64">
        <f>'I. Energy - Stationary'!G14</f>
        <v>1151352653.675</v>
      </c>
      <c r="J15" s="61">
        <f t="shared" si="1"/>
        <v>1014374039.3523374</v>
      </c>
      <c r="K15" s="61">
        <f>'I. Energy - Stationary'!I14</f>
        <v>1292359215.3665249</v>
      </c>
      <c r="L15" s="61">
        <f>'I. Energy - Stationary'!M57</f>
        <v>6448478.1492264783</v>
      </c>
      <c r="M15" s="61">
        <f>'I. Energy - Stationary'!N57</f>
        <v>626674153.4208287</v>
      </c>
      <c r="N15" s="61">
        <f>'I. Energy - Stationary'!O57</f>
        <v>11383265.324499279</v>
      </c>
      <c r="O15" s="816">
        <f t="shared" si="2"/>
        <v>2951239151.6134171</v>
      </c>
      <c r="P15" s="61">
        <f>'II. Transport '!L14</f>
        <v>0</v>
      </c>
      <c r="Q15" s="61">
        <f>'II. Transport '!M14</f>
        <v>0</v>
      </c>
      <c r="R15" s="61">
        <f>'II. Transport '!J14</f>
        <v>47016888.300577782</v>
      </c>
      <c r="S15" s="61">
        <f>'II. Transport '!K14</f>
        <v>122186543.16332789</v>
      </c>
      <c r="T15" s="61">
        <f>'II. Transport '!S272</f>
        <v>475257417.98290008</v>
      </c>
      <c r="U15" s="61">
        <f>'II. Transport '!AB272</f>
        <v>14792071.159334682</v>
      </c>
      <c r="V15" s="816">
        <f t="shared" si="4"/>
        <v>659252920.60614038</v>
      </c>
      <c r="W15" s="817">
        <f t="shared" si="3"/>
        <v>4744008057.538661</v>
      </c>
    </row>
    <row r="16" spans="1:23" ht="13.8" x14ac:dyDescent="0.3">
      <c r="B16" s="814" t="s">
        <v>109</v>
      </c>
      <c r="C16" s="815">
        <f>'I. Energy - Stationary'!F15</f>
        <v>25579185.71800001</v>
      </c>
      <c r="D16" s="61">
        <f>'I. Energy - Stationary'!H15</f>
        <v>24092856.42555324</v>
      </c>
      <c r="E16" s="61">
        <f>'I. Energy - Stationary'!J58</f>
        <v>35426.035968557109</v>
      </c>
      <c r="F16" s="61">
        <f>'I. Energy - Stationary'!K58</f>
        <v>293106.02440378052</v>
      </c>
      <c r="G16" s="61">
        <f>'I. Energy - Stationary'!L58</f>
        <v>81249.442650305617</v>
      </c>
      <c r="H16" s="816">
        <f t="shared" si="0"/>
        <v>50081823.64657589</v>
      </c>
      <c r="I16" s="64">
        <f>'I. Energy - Stationary'!G15</f>
        <v>1573440692.059</v>
      </c>
      <c r="J16" s="61">
        <f t="shared" si="1"/>
        <v>1526834411.9279423</v>
      </c>
      <c r="K16" s="61">
        <f>'I. Energy - Stationary'!I15</f>
        <v>654907798.28624368</v>
      </c>
      <c r="L16" s="61">
        <f>'I. Energy - Stationary'!M58</f>
        <v>3872922.0181863448</v>
      </c>
      <c r="M16" s="61">
        <f>'I. Energy - Stationary'!N58</f>
        <v>153229154.91806304</v>
      </c>
      <c r="N16" s="61">
        <f>'I. Energy - Stationary'!O58</f>
        <v>6390979.7191848941</v>
      </c>
      <c r="O16" s="816">
        <f t="shared" si="2"/>
        <v>2345235266.8696203</v>
      </c>
      <c r="P16" s="61">
        <f>'II. Transport '!L15</f>
        <v>829062.8892082395</v>
      </c>
      <c r="Q16" s="61">
        <f>'II. Transport '!M15</f>
        <v>16385690.191191146</v>
      </c>
      <c r="R16" s="61">
        <f>'II. Transport '!J15</f>
        <v>32808.019754453133</v>
      </c>
      <c r="S16" s="61">
        <f>'II. Transport '!K15</f>
        <v>39995269.272129118</v>
      </c>
      <c r="T16" s="61">
        <f>'II. Transport '!S273</f>
        <v>154204643.35090002</v>
      </c>
      <c r="U16" s="61">
        <f>'II. Transport '!AB273</f>
        <v>6611010.8589287773</v>
      </c>
      <c r="V16" s="816">
        <f t="shared" si="4"/>
        <v>218058484.58211175</v>
      </c>
      <c r="W16" s="817">
        <f t="shared" si="3"/>
        <v>2613375575.0983081</v>
      </c>
    </row>
    <row r="17" spans="2:23" ht="13.8" x14ac:dyDescent="0.3">
      <c r="B17" s="814" t="s">
        <v>110</v>
      </c>
      <c r="C17" s="815">
        <f>'I. Energy - Stationary'!F16</f>
        <v>540050139.70999944</v>
      </c>
      <c r="D17" s="61">
        <f>'I. Energy - Stationary'!H16</f>
        <v>1727173797.3810301</v>
      </c>
      <c r="E17" s="61">
        <f>'I. Energy - Stationary'!J59</f>
        <v>14809139.351474699</v>
      </c>
      <c r="F17" s="61">
        <f>'I. Energy - Stationary'!K59</f>
        <v>8580262.018533539</v>
      </c>
      <c r="G17" s="61">
        <f>'I. Energy - Stationary'!L59</f>
        <v>52376009.9189981</v>
      </c>
      <c r="H17" s="816">
        <f t="shared" si="0"/>
        <v>2342989348.3800364</v>
      </c>
      <c r="I17" s="64">
        <f>'I. Energy - Stationary'!G16</f>
        <v>565409792.62199998</v>
      </c>
      <c r="J17" s="61">
        <f t="shared" si="1"/>
        <v>437571824.98030812</v>
      </c>
      <c r="K17" s="61">
        <f>'I. Energy - Stationary'!I16</f>
        <v>431716905.58326042</v>
      </c>
      <c r="L17" s="61">
        <f>'I. Energy - Stationary'!M59</f>
        <v>3302529.4703759663</v>
      </c>
      <c r="M17" s="61">
        <f>'I. Energy - Stationary'!N59</f>
        <v>134836649.26707041</v>
      </c>
      <c r="N17" s="61">
        <f>'I. Energy - Stationary'!O59</f>
        <v>9842243.043706663</v>
      </c>
      <c r="O17" s="816">
        <f t="shared" si="2"/>
        <v>1017270152.3447217</v>
      </c>
      <c r="P17" s="61">
        <f>'II. Transport '!L16</f>
        <v>1065531.9737249385</v>
      </c>
      <c r="Q17" s="61">
        <f>'II. Transport '!M16</f>
        <v>0</v>
      </c>
      <c r="R17" s="61">
        <f>'II. Transport '!J16</f>
        <v>15009412.279349983</v>
      </c>
      <c r="S17" s="61">
        <f>'II. Transport '!K16</f>
        <v>105504650.51570472</v>
      </c>
      <c r="T17" s="61">
        <f>'II. Transport '!S274</f>
        <v>1050364442.6124001</v>
      </c>
      <c r="U17" s="61">
        <f>'II. Transport '!AB274</f>
        <v>22333317.125987113</v>
      </c>
      <c r="V17" s="816">
        <f t="shared" si="4"/>
        <v>1194277354.5071669</v>
      </c>
      <c r="W17" s="817">
        <f t="shared" si="3"/>
        <v>4554536855.231925</v>
      </c>
    </row>
    <row r="18" spans="2:23" ht="13.8" x14ac:dyDescent="0.3">
      <c r="B18" s="814" t="s">
        <v>111</v>
      </c>
      <c r="C18" s="815">
        <f>'I. Energy - Stationary'!F17</f>
        <v>453660782.38000739</v>
      </c>
      <c r="D18" s="61">
        <f>'I. Energy - Stationary'!H17</f>
        <v>1401572485.727293</v>
      </c>
      <c r="E18" s="61">
        <f>'I. Energy - Stationary'!J60</f>
        <v>10315833.553768577</v>
      </c>
      <c r="F18" s="61">
        <f>'I. Energy - Stationary'!K60</f>
        <v>6122798.2476232387</v>
      </c>
      <c r="G18" s="61">
        <f>'I. Energy - Stationary'!L60</f>
        <v>34518326.081984475</v>
      </c>
      <c r="H18" s="816">
        <f t="shared" si="0"/>
        <v>1906190225.9906766</v>
      </c>
      <c r="I18" s="64">
        <f>'I. Energy - Stationary'!G17</f>
        <v>908953528.22600067</v>
      </c>
      <c r="J18" s="61">
        <f t="shared" si="1"/>
        <v>780032256.04912901</v>
      </c>
      <c r="K18" s="61">
        <f>'I. Energy - Stationary'!I17</f>
        <v>619999968.73061502</v>
      </c>
      <c r="L18" s="61">
        <f>'I. Energy - Stationary'!M60</f>
        <v>9882170.6662679743</v>
      </c>
      <c r="M18" s="61">
        <f>'I. Energy - Stationary'!N60</f>
        <v>274828880.97592741</v>
      </c>
      <c r="N18" s="61">
        <f>'I. Energy - Stationary'!O60</f>
        <v>23203776.49338245</v>
      </c>
      <c r="O18" s="816">
        <f t="shared" si="2"/>
        <v>1707947052.9153218</v>
      </c>
      <c r="P18" s="61">
        <f>'II. Transport '!L17</f>
        <v>0</v>
      </c>
      <c r="Q18" s="61">
        <f>'II. Transport '!M17</f>
        <v>0</v>
      </c>
      <c r="R18" s="61">
        <f>'II. Transport '!J17</f>
        <v>17166640.41723153</v>
      </c>
      <c r="S18" s="61">
        <f>'II. Transport '!K17</f>
        <v>105377397.24895324</v>
      </c>
      <c r="T18" s="61">
        <f>'II. Transport '!S275</f>
        <v>1078547653.1752</v>
      </c>
      <c r="U18" s="61">
        <f>'II. Transport '!AB275</f>
        <v>23543874.927918408</v>
      </c>
      <c r="V18" s="816">
        <f t="shared" si="4"/>
        <v>1224635565.7693031</v>
      </c>
      <c r="W18" s="817">
        <f t="shared" si="3"/>
        <v>4838772844.6753016</v>
      </c>
    </row>
    <row r="19" spans="2:23" ht="13.8" x14ac:dyDescent="0.3">
      <c r="B19" s="814" t="s">
        <v>112</v>
      </c>
      <c r="C19" s="815">
        <f>'I. Energy - Stationary'!F18</f>
        <v>437394689.49600267</v>
      </c>
      <c r="D19" s="61">
        <f>'I. Energy - Stationary'!H18</f>
        <v>1318932002.554898</v>
      </c>
      <c r="E19" s="61">
        <f>'I. Energy - Stationary'!J61</f>
        <v>12362139.979692778</v>
      </c>
      <c r="F19" s="61">
        <f>'I. Energy - Stationary'!K61</f>
        <v>5975865.6276059765</v>
      </c>
      <c r="G19" s="61">
        <f>'I. Energy - Stationary'!L61</f>
        <v>38553028.519235715</v>
      </c>
      <c r="H19" s="816">
        <f t="shared" si="0"/>
        <v>1813217726.1774349</v>
      </c>
      <c r="I19" s="64">
        <f>'I. Energy - Stationary'!G18</f>
        <v>479181770.94099981</v>
      </c>
      <c r="J19" s="61">
        <f t="shared" si="1"/>
        <v>422179775.38808042</v>
      </c>
      <c r="K19" s="61">
        <f>'I. Energy - Stationary'!I18</f>
        <v>469410203.37339556</v>
      </c>
      <c r="L19" s="61">
        <f>'I. Energy - Stationary'!M61</f>
        <v>13955225.342895443</v>
      </c>
      <c r="M19" s="61">
        <f>'I. Energy - Stationary'!N61</f>
        <v>151864054.39970133</v>
      </c>
      <c r="N19" s="61">
        <f>'I. Energy - Stationary'!O61</f>
        <v>14804747.78664514</v>
      </c>
      <c r="O19" s="816">
        <f t="shared" si="2"/>
        <v>1072214006.290718</v>
      </c>
      <c r="P19" s="61">
        <f>'II. Transport '!L18</f>
        <v>814055.86702375824</v>
      </c>
      <c r="Q19" s="61">
        <f>'II. Transport '!M18</f>
        <v>0</v>
      </c>
      <c r="R19" s="61">
        <f>'II. Transport '!J18</f>
        <v>4795865.5568538122</v>
      </c>
      <c r="S19" s="61">
        <f>'II. Transport '!K18</f>
        <v>30339833.594333746</v>
      </c>
      <c r="T19" s="61">
        <f>'II. Transport '!S276</f>
        <v>1525676981.0664999</v>
      </c>
      <c r="U19" s="61">
        <f>'II. Transport '!AB276</f>
        <v>26662161.958585612</v>
      </c>
      <c r="V19" s="816">
        <f t="shared" si="4"/>
        <v>1588288898.0432968</v>
      </c>
      <c r="W19" s="817">
        <f t="shared" si="3"/>
        <v>4473720630.5114498</v>
      </c>
    </row>
    <row r="20" spans="2:23" ht="13.8" x14ac:dyDescent="0.3">
      <c r="B20" s="814" t="s">
        <v>113</v>
      </c>
      <c r="C20" s="815">
        <f>'I. Energy - Stationary'!F19</f>
        <v>351993125.12300414</v>
      </c>
      <c r="D20" s="61">
        <f>'I. Energy - Stationary'!H19</f>
        <v>952799207.2998687</v>
      </c>
      <c r="E20" s="61">
        <f>'I. Energy - Stationary'!J62</f>
        <v>9748368.1021548733</v>
      </c>
      <c r="F20" s="61">
        <f>'I. Energy - Stationary'!K62</f>
        <v>4544905.7857881114</v>
      </c>
      <c r="G20" s="61">
        <f>'I. Energy - Stationary'!L62</f>
        <v>31075547.609417103</v>
      </c>
      <c r="H20" s="816">
        <f t="shared" si="0"/>
        <v>1350161153.920233</v>
      </c>
      <c r="I20" s="64">
        <f>'I. Energy - Stationary'!G19</f>
        <v>431206389.7470001</v>
      </c>
      <c r="J20" s="61">
        <f t="shared" si="1"/>
        <v>356628938.71655226</v>
      </c>
      <c r="K20" s="61">
        <f>'I. Energy - Stationary'!I19</f>
        <v>497251427.92118365</v>
      </c>
      <c r="L20" s="61">
        <f>'I. Energy - Stationary'!M62</f>
        <v>4277268.4813324837</v>
      </c>
      <c r="M20" s="61">
        <f>'I. Energy - Stationary'!N62</f>
        <v>322176426.08919072</v>
      </c>
      <c r="N20" s="61">
        <f>'I. Energy - Stationary'!O62</f>
        <v>15699830.593197996</v>
      </c>
      <c r="O20" s="816">
        <f t="shared" si="2"/>
        <v>1196033891.8014572</v>
      </c>
      <c r="P20" s="61">
        <f>'II. Transport '!L19</f>
        <v>12504502.524964329</v>
      </c>
      <c r="Q20" s="61">
        <f>'II. Transport '!M19</f>
        <v>7651974.6097357571</v>
      </c>
      <c r="R20" s="61">
        <f>'II. Transport '!J19</f>
        <v>3043080.4872729611</v>
      </c>
      <c r="S20" s="61">
        <f>'II. Transport '!K19</f>
        <v>51284412.403830521</v>
      </c>
      <c r="T20" s="61">
        <f>'II. Transport '!S277</f>
        <v>967870588.17449999</v>
      </c>
      <c r="U20" s="61">
        <f>'II. Transport '!AB277</f>
        <v>23293038.626617327</v>
      </c>
      <c r="V20" s="816">
        <f t="shared" si="4"/>
        <v>1065647596.8269209</v>
      </c>
      <c r="W20" s="817">
        <f t="shared" si="3"/>
        <v>3611842642.5486112</v>
      </c>
    </row>
    <row r="21" spans="2:23" ht="13.8" x14ac:dyDescent="0.3">
      <c r="B21" s="814" t="s">
        <v>114</v>
      </c>
      <c r="C21" s="815">
        <f>'I. Energy - Stationary'!F20</f>
        <v>327781771.15699959</v>
      </c>
      <c r="D21" s="61">
        <f>'I. Energy - Stationary'!H20</f>
        <v>815239899.68554246</v>
      </c>
      <c r="E21" s="61">
        <f>'I. Energy - Stationary'!J63</f>
        <v>3513485.2006031168</v>
      </c>
      <c r="F21" s="61">
        <f>'I. Energy - Stationary'!K63</f>
        <v>2663991.6470680251</v>
      </c>
      <c r="G21" s="61">
        <f>'I. Energy - Stationary'!L63</f>
        <v>8483352.9505774342</v>
      </c>
      <c r="H21" s="816">
        <f t="shared" si="0"/>
        <v>1157682500.6407907</v>
      </c>
      <c r="I21" s="64">
        <f>'I. Energy - Stationary'!G20</f>
        <v>523555518.83000046</v>
      </c>
      <c r="J21" s="61">
        <f t="shared" si="1"/>
        <v>478164863.84000933</v>
      </c>
      <c r="K21" s="61">
        <f>'I. Energy - Stationary'!I20</f>
        <v>354303440.47446656</v>
      </c>
      <c r="L21" s="61">
        <f>'I. Energy - Stationary'!M63</f>
        <v>3551756.2267511724</v>
      </c>
      <c r="M21" s="61">
        <f>'I. Energy - Stationary'!N63</f>
        <v>219974830.29161415</v>
      </c>
      <c r="N21" s="61">
        <f>'I. Energy - Stationary'!O63</f>
        <v>6769782.9957738025</v>
      </c>
      <c r="O21" s="816">
        <f t="shared" si="2"/>
        <v>1062764673.8286151</v>
      </c>
      <c r="P21" s="61">
        <f>'II. Transport '!L20</f>
        <v>0</v>
      </c>
      <c r="Q21" s="61">
        <f>'II. Transport '!M20</f>
        <v>0</v>
      </c>
      <c r="R21" s="61">
        <f>'II. Transport '!J20</f>
        <v>6565691.6246515838</v>
      </c>
      <c r="S21" s="61">
        <f>'II. Transport '!K20</f>
        <v>33177633.402004872</v>
      </c>
      <c r="T21" s="61">
        <f>'II. Transport '!S278</f>
        <v>455639549.54210007</v>
      </c>
      <c r="U21" s="61">
        <f>'II. Transport '!AB278</f>
        <v>12213021.587986223</v>
      </c>
      <c r="V21" s="816">
        <f t="shared" si="4"/>
        <v>507595896.15674275</v>
      </c>
      <c r="W21" s="817">
        <f t="shared" si="3"/>
        <v>2728043070.6261482</v>
      </c>
    </row>
    <row r="22" spans="2:23" ht="13.8" x14ac:dyDescent="0.3">
      <c r="B22" s="814" t="s">
        <v>115</v>
      </c>
      <c r="C22" s="815">
        <f>'I. Energy - Stationary'!F21</f>
        <v>266684055.97400272</v>
      </c>
      <c r="D22" s="61">
        <f>'I. Energy - Stationary'!H21</f>
        <v>732644314.37773526</v>
      </c>
      <c r="E22" s="61">
        <f>'I. Energy - Stationary'!J64</f>
        <v>2965972.5880913828</v>
      </c>
      <c r="F22" s="61">
        <f>'I. Energy - Stationary'!K64</f>
        <v>3217150.251648562</v>
      </c>
      <c r="G22" s="61">
        <f>'I. Energy - Stationary'!L64</f>
        <v>7860019.1171377264</v>
      </c>
      <c r="H22" s="816">
        <f t="shared" si="0"/>
        <v>1013371512.3086156</v>
      </c>
      <c r="I22" s="64">
        <f>'I. Energy - Stationary'!G21</f>
        <v>611578418.20900035</v>
      </c>
      <c r="J22" s="61">
        <f t="shared" si="1"/>
        <v>549023816.40487027</v>
      </c>
      <c r="K22" s="61">
        <f>'I. Energy - Stationary'!I21</f>
        <v>517368752.2942878</v>
      </c>
      <c r="L22" s="61">
        <f>'I. Energy - Stationary'!M64</f>
        <v>2201604.6050668326</v>
      </c>
      <c r="M22" s="61">
        <f>'I. Energy - Stationary'!N64</f>
        <v>247417744.90362403</v>
      </c>
      <c r="N22" s="61">
        <f>'I. Energy - Stationary'!O64</f>
        <v>5722763.3992822636</v>
      </c>
      <c r="O22" s="816">
        <f t="shared" si="2"/>
        <v>1321734681.607131</v>
      </c>
      <c r="P22" s="61">
        <f>'II. Transport '!L21</f>
        <v>32006672.132496022</v>
      </c>
      <c r="Q22" s="61">
        <f>'II. Transport '!M21</f>
        <v>10288.806305145867</v>
      </c>
      <c r="R22" s="61">
        <f>'II. Transport '!J21</f>
        <v>6565458.1628905861</v>
      </c>
      <c r="S22" s="61">
        <f>'II. Transport '!K21</f>
        <v>50468008.174770646</v>
      </c>
      <c r="T22" s="61">
        <f>'II. Transport '!S279</f>
        <v>438250264.3957001</v>
      </c>
      <c r="U22" s="61">
        <f>'II. Transport '!AB279</f>
        <v>12086593.629359432</v>
      </c>
      <c r="V22" s="816">
        <f t="shared" si="4"/>
        <v>539387285.30152202</v>
      </c>
      <c r="W22" s="817">
        <f t="shared" si="3"/>
        <v>2874493479.2172689</v>
      </c>
    </row>
    <row r="23" spans="2:23" ht="13.8" x14ac:dyDescent="0.3">
      <c r="B23" s="814" t="s">
        <v>116</v>
      </c>
      <c r="C23" s="815">
        <f>'I. Energy - Stationary'!F22</f>
        <v>333085013.60399598</v>
      </c>
      <c r="D23" s="61">
        <f>'I. Energy - Stationary'!H22</f>
        <v>1047647928.2967529</v>
      </c>
      <c r="E23" s="61">
        <f>'I. Energy - Stationary'!J65</f>
        <v>7305272.644010732</v>
      </c>
      <c r="F23" s="61">
        <f>'I. Energy - Stationary'!K65</f>
        <v>2899477.6843598746</v>
      </c>
      <c r="G23" s="61">
        <f>'I. Energy - Stationary'!L65</f>
        <v>20036430.967859868</v>
      </c>
      <c r="H23" s="816">
        <f t="shared" si="0"/>
        <v>1410974123.1969795</v>
      </c>
      <c r="I23" s="64">
        <f>'I. Energy - Stationary'!G22</f>
        <v>398366027.9969998</v>
      </c>
      <c r="J23" s="61">
        <f t="shared" si="1"/>
        <v>319963351.28512901</v>
      </c>
      <c r="K23" s="61">
        <f>'I. Energy - Stationary'!I22</f>
        <v>337955039.72109324</v>
      </c>
      <c r="L23" s="61">
        <f>'I. Energy - Stationary'!M65</f>
        <v>3593198.1574319107</v>
      </c>
      <c r="M23" s="61">
        <f>'I. Energy - Stationary'!N65</f>
        <v>238134945.27653888</v>
      </c>
      <c r="N23" s="61">
        <f>'I. Energy - Stationary'!O65</f>
        <v>10595246.60022654</v>
      </c>
      <c r="O23" s="816">
        <f t="shared" si="2"/>
        <v>910241781.04041958</v>
      </c>
      <c r="P23" s="61">
        <f>'II. Transport '!L22</f>
        <v>0</v>
      </c>
      <c r="Q23" s="61">
        <f>'II. Transport '!M22</f>
        <v>0</v>
      </c>
      <c r="R23" s="61">
        <f>'II. Transport '!J22</f>
        <v>7824758.2825533655</v>
      </c>
      <c r="S23" s="61">
        <f>'II. Transport '!K22</f>
        <v>66876728.470926657</v>
      </c>
      <c r="T23" s="61">
        <f>'II. Transport '!S280</f>
        <v>472189816.90189999</v>
      </c>
      <c r="U23" s="61">
        <f>'II. Transport '!AB280</f>
        <v>11525948.240944138</v>
      </c>
      <c r="V23" s="816">
        <f t="shared" si="4"/>
        <v>558417251.89632416</v>
      </c>
      <c r="W23" s="817">
        <f t="shared" si="3"/>
        <v>2879633156.1337233</v>
      </c>
    </row>
    <row r="24" spans="2:23" ht="13.8" x14ac:dyDescent="0.3">
      <c r="B24" s="814" t="s">
        <v>117</v>
      </c>
      <c r="C24" s="815">
        <f>'I. Energy - Stationary'!F23</f>
        <v>323263638.0170005</v>
      </c>
      <c r="D24" s="61">
        <f>'I. Energy - Stationary'!H23</f>
        <v>1206593808.5435989</v>
      </c>
      <c r="E24" s="61">
        <f>'I. Energy - Stationary'!J66</f>
        <v>7049520.1349931378</v>
      </c>
      <c r="F24" s="61">
        <f>'I. Energy - Stationary'!K66</f>
        <v>5316908.3047814295</v>
      </c>
      <c r="G24" s="61">
        <f>'I. Energy - Stationary'!L66</f>
        <v>28777736.088698838</v>
      </c>
      <c r="H24" s="816">
        <f t="shared" si="0"/>
        <v>1571001611.0890727</v>
      </c>
      <c r="I24" s="64">
        <f>'I. Energy - Stationary'!G23</f>
        <v>191347987.03800002</v>
      </c>
      <c r="J24" s="61">
        <f t="shared" si="1"/>
        <v>127549254.55117196</v>
      </c>
      <c r="K24" s="61">
        <f>'I. Energy - Stationary'!I23</f>
        <v>213396859.48989859</v>
      </c>
      <c r="L24" s="61">
        <f>'I. Energy - Stationary'!M66</f>
        <v>2429556.8803990795</v>
      </c>
      <c r="M24" s="61">
        <f>'I. Energy - Stationary'!N66</f>
        <v>56966998.915257908</v>
      </c>
      <c r="N24" s="61">
        <f>'I. Energy - Stationary'!O66</f>
        <v>5202930.3062018147</v>
      </c>
      <c r="O24" s="816">
        <f t="shared" si="2"/>
        <v>405545600.14292943</v>
      </c>
      <c r="P24" s="61">
        <f>'II. Transport '!L23</f>
        <v>784297.46203339007</v>
      </c>
      <c r="Q24" s="61">
        <f>'II. Transport '!M23</f>
        <v>0</v>
      </c>
      <c r="R24" s="61">
        <f>'II. Transport '!J23</f>
        <v>16769037.579140779</v>
      </c>
      <c r="S24" s="61">
        <f>'II. Transport '!K23</f>
        <v>53392863.253143013</v>
      </c>
      <c r="T24" s="61">
        <f>'II. Transport '!S281</f>
        <v>496608199.94560003</v>
      </c>
      <c r="U24" s="61">
        <f>'II. Transport '!AB281</f>
        <v>10405869.233685048</v>
      </c>
      <c r="V24" s="816">
        <f t="shared" si="4"/>
        <v>577960267.47360229</v>
      </c>
      <c r="W24" s="817">
        <f t="shared" si="3"/>
        <v>2554507478.7056046</v>
      </c>
    </row>
    <row r="25" spans="2:23" ht="13.8" x14ac:dyDescent="0.3">
      <c r="B25" s="814" t="s">
        <v>118</v>
      </c>
      <c r="C25" s="815">
        <f>'I. Energy - Stationary'!F24</f>
        <v>361223906.03400034</v>
      </c>
      <c r="D25" s="61">
        <f>'I. Energy - Stationary'!H24</f>
        <v>1112099123.661701</v>
      </c>
      <c r="E25" s="61">
        <f>'I. Energy - Stationary'!J67</f>
        <v>9419822.0498311743</v>
      </c>
      <c r="F25" s="61">
        <f>'I. Energy - Stationary'!K67</f>
        <v>7277049.4841862516</v>
      </c>
      <c r="G25" s="61">
        <f>'I. Energy - Stationary'!L67</f>
        <v>37060465.252307907</v>
      </c>
      <c r="H25" s="816">
        <f t="shared" si="0"/>
        <v>1527080366.4820266</v>
      </c>
      <c r="I25" s="64">
        <f>'I. Energy - Stationary'!G24</f>
        <v>352058960.12300009</v>
      </c>
      <c r="J25" s="61">
        <f t="shared" si="1"/>
        <v>259208389.26192501</v>
      </c>
      <c r="K25" s="61">
        <f>'I. Energy - Stationary'!I24</f>
        <v>194856155.38580522</v>
      </c>
      <c r="L25" s="61">
        <f>'I. Energy - Stationary'!M67</f>
        <v>7603846.9905648939</v>
      </c>
      <c r="M25" s="61">
        <f>'I. Energy - Stationary'!N67</f>
        <v>122118977.19169049</v>
      </c>
      <c r="N25" s="61">
        <f>'I. Energy - Stationary'!O67</f>
        <v>24095217.919307422</v>
      </c>
      <c r="O25" s="816">
        <f t="shared" si="2"/>
        <v>607882586.74929309</v>
      </c>
      <c r="P25" s="61">
        <f>'II. Transport '!L24</f>
        <v>3238251.6643649247</v>
      </c>
      <c r="Q25" s="61">
        <f>'II. Transport '!M24</f>
        <v>837253.31567814271</v>
      </c>
      <c r="R25" s="61">
        <f>'II. Transport '!J24</f>
        <v>7902403.5946494881</v>
      </c>
      <c r="S25" s="61">
        <f>'II. Transport '!K24</f>
        <v>66172251.9748694</v>
      </c>
      <c r="T25" s="61">
        <f>'II. Transport '!S282</f>
        <v>1581863591.1937001</v>
      </c>
      <c r="U25" s="61">
        <f>'II. Transport '!AB282</f>
        <v>26678318.886205655</v>
      </c>
      <c r="V25" s="816">
        <f t="shared" si="4"/>
        <v>1686692070.6294677</v>
      </c>
      <c r="W25" s="817">
        <f t="shared" si="3"/>
        <v>3821655023.8607874</v>
      </c>
    </row>
    <row r="26" spans="2:23" ht="13.8" x14ac:dyDescent="0.3">
      <c r="B26" s="814" t="s">
        <v>119</v>
      </c>
      <c r="C26" s="815">
        <f>'I. Energy - Stationary'!F25</f>
        <v>399743444.76119709</v>
      </c>
      <c r="D26" s="61">
        <f>'I. Energy - Stationary'!H25</f>
        <v>1223668249.8293459</v>
      </c>
      <c r="E26" s="61">
        <f>'I. Energy - Stationary'!J68</f>
        <v>9668293.2216181122</v>
      </c>
      <c r="F26" s="61">
        <f>'I. Energy - Stationary'!K68</f>
        <v>8939420.1540212519</v>
      </c>
      <c r="G26" s="61">
        <f>'I. Energy - Stationary'!L68</f>
        <v>43761882.993049607</v>
      </c>
      <c r="H26" s="816">
        <f t="shared" si="0"/>
        <v>1685781290.9592321</v>
      </c>
      <c r="I26" s="64">
        <f>'I. Energy - Stationary'!G25</f>
        <v>1328106239.757</v>
      </c>
      <c r="J26" s="61">
        <f t="shared" si="1"/>
        <v>1188857397.3298903</v>
      </c>
      <c r="K26" s="61">
        <f>'I. Energy - Stationary'!I25</f>
        <v>621712442.94042921</v>
      </c>
      <c r="L26" s="61">
        <f>'I. Energy - Stationary'!M68</f>
        <v>12650539.398832003</v>
      </c>
      <c r="M26" s="61">
        <f>'I. Energy - Stationary'!N68</f>
        <v>495661123.47115856</v>
      </c>
      <c r="N26" s="61">
        <f>'I. Energy - Stationary'!O68</f>
        <v>17493351.228561357</v>
      </c>
      <c r="O26" s="816">
        <f t="shared" si="2"/>
        <v>2336374854.3688717</v>
      </c>
      <c r="P26" s="61">
        <f>'II. Transport '!L25</f>
        <v>2613773451.0524402</v>
      </c>
      <c r="Q26" s="61">
        <f>'II. Transport '!M25</f>
        <v>0</v>
      </c>
      <c r="R26" s="61">
        <f>'II. Transport '!J25</f>
        <v>23389332.173859321</v>
      </c>
      <c r="S26" s="61">
        <f>'II. Transport '!K25</f>
        <v>100329631.25277326</v>
      </c>
      <c r="T26" s="61">
        <f>'II. Transport '!S283</f>
        <v>1701435261.7026999</v>
      </c>
      <c r="U26" s="61">
        <f>'II. Transport '!AB283</f>
        <v>38919211.174336441</v>
      </c>
      <c r="V26" s="816">
        <f t="shared" si="4"/>
        <v>4477846887.3561087</v>
      </c>
      <c r="W26" s="817">
        <f t="shared" si="3"/>
        <v>8500003032.6842127</v>
      </c>
    </row>
    <row r="27" spans="2:23" ht="13.8" x14ac:dyDescent="0.3">
      <c r="B27" s="814" t="s">
        <v>120</v>
      </c>
      <c r="C27" s="815">
        <f>'I. Energy - Stationary'!F26</f>
        <v>364283918.93300021</v>
      </c>
      <c r="D27" s="61">
        <f>'I. Energy - Stationary'!H26</f>
        <v>992464306.570158</v>
      </c>
      <c r="E27" s="61">
        <f>'I. Energy - Stationary'!J69</f>
        <v>9763651.2735090479</v>
      </c>
      <c r="F27" s="61">
        <f>'I. Energy - Stationary'!K69</f>
        <v>6683000.9765105546</v>
      </c>
      <c r="G27" s="61">
        <f>'I. Energy - Stationary'!L69</f>
        <v>33923994.638686158</v>
      </c>
      <c r="H27" s="816">
        <f t="shared" si="0"/>
        <v>1407118872.3918638</v>
      </c>
      <c r="I27" s="64">
        <f>'I. Energy - Stationary'!G26</f>
        <v>802957629.30300069</v>
      </c>
      <c r="J27" s="61">
        <f>I27-S27-U27</f>
        <v>735730848.89179003</v>
      </c>
      <c r="K27" s="61">
        <f>'I. Energy - Stationary'!I26</f>
        <v>499479289.38660669</v>
      </c>
      <c r="L27" s="61">
        <f>'I. Energy - Stationary'!M69</f>
        <v>7251852.8078544708</v>
      </c>
      <c r="M27" s="61">
        <f>'I. Energy - Stationary'!N69</f>
        <v>127242642.9780333</v>
      </c>
      <c r="N27" s="61">
        <f>'I. Energy - Stationary'!O69</f>
        <v>5783085.5002977112</v>
      </c>
      <c r="O27" s="816">
        <f t="shared" si="2"/>
        <v>1375487719.5645821</v>
      </c>
      <c r="P27" s="61">
        <f>'II. Transport '!L26</f>
        <v>416589676.62392712</v>
      </c>
      <c r="Q27" s="61">
        <f>'II. Transport '!M26</f>
        <v>0</v>
      </c>
      <c r="R27" s="61">
        <f>'II. Transport '!J26</f>
        <v>2169081.3447533324</v>
      </c>
      <c r="S27" s="61">
        <f>'II. Transport '!K26</f>
        <v>36460354.913945094</v>
      </c>
      <c r="T27" s="61">
        <f>'II. Transport '!S284</f>
        <v>1221522932.9084001</v>
      </c>
      <c r="U27" s="61">
        <f>'II. Transport '!AB284</f>
        <v>30766425.4972656</v>
      </c>
      <c r="V27" s="816">
        <f>SUM(P27:U27)</f>
        <v>1707508471.2882912</v>
      </c>
      <c r="W27" s="817">
        <f t="shared" si="3"/>
        <v>4490115063.2447367</v>
      </c>
    </row>
    <row r="28" spans="2:23" ht="13.8" x14ac:dyDescent="0.3">
      <c r="B28" s="814" t="s">
        <v>121</v>
      </c>
      <c r="C28" s="815">
        <f>'I. Energy - Stationary'!F27</f>
        <v>287049904.43800008</v>
      </c>
      <c r="D28" s="61">
        <f>'I. Energy - Stationary'!H27</f>
        <v>743130129.69502473</v>
      </c>
      <c r="E28" s="61">
        <f>'I. Energy - Stationary'!J70</f>
        <v>2510327.5728609092</v>
      </c>
      <c r="F28" s="61">
        <f>'I. Energy - Stationary'!K70</f>
        <v>2767572.4736134005</v>
      </c>
      <c r="G28" s="61">
        <f>'I. Energy - Stationary'!L70</f>
        <v>6065030.5389065873</v>
      </c>
      <c r="H28" s="816">
        <f t="shared" si="0"/>
        <v>1041522964.7184057</v>
      </c>
      <c r="I28" s="64">
        <f>'I. Energy - Stationary'!G27</f>
        <v>674786689.98100066</v>
      </c>
      <c r="J28" s="61">
        <f>I28-S28-U28</f>
        <v>588033781.05138779</v>
      </c>
      <c r="K28" s="61">
        <f>'I. Energy - Stationary'!I27</f>
        <v>572754129.11321926</v>
      </c>
      <c r="L28" s="61">
        <f>'I. Energy - Stationary'!M70</f>
        <v>3795145.1237784014</v>
      </c>
      <c r="M28" s="61">
        <f>'I. Energy - Stationary'!N70</f>
        <v>255792618.86161476</v>
      </c>
      <c r="N28" s="61">
        <f>'I. Energy - Stationary'!O70</f>
        <v>7839734.7563852472</v>
      </c>
      <c r="O28" s="816">
        <f t="shared" si="2"/>
        <v>1428215408.9063854</v>
      </c>
      <c r="P28" s="61">
        <f>'II. Transport '!L27</f>
        <v>0</v>
      </c>
      <c r="Q28" s="61">
        <f>'II. Transport '!M27</f>
        <v>0</v>
      </c>
      <c r="R28" s="61">
        <f>'II. Transport '!J27</f>
        <v>9048318.0720035136</v>
      </c>
      <c r="S28" s="61">
        <f>'II. Transport '!K27</f>
        <v>74582703.199819848</v>
      </c>
      <c r="T28" s="61">
        <f>'II. Transport '!S285</f>
        <v>381897462.37240005</v>
      </c>
      <c r="U28" s="61">
        <f>'II. Transport '!AB285</f>
        <v>12170205.729793124</v>
      </c>
      <c r="V28" s="816">
        <f>SUM(P28:U28)</f>
        <v>477698689.37401652</v>
      </c>
      <c r="W28" s="817">
        <f t="shared" si="3"/>
        <v>2947437062.9988079</v>
      </c>
    </row>
    <row r="29" spans="2:23" ht="13.8" x14ac:dyDescent="0.3">
      <c r="B29" s="814" t="s">
        <v>122</v>
      </c>
      <c r="C29" s="815">
        <f>'I. Energy - Stationary'!F28</f>
        <v>321529345.74100161</v>
      </c>
      <c r="D29" s="61">
        <f>'I. Energy - Stationary'!H28</f>
        <v>750630628.98613203</v>
      </c>
      <c r="E29" s="61">
        <f>'I. Energy - Stationary'!J71</f>
        <v>1781000.2442365955</v>
      </c>
      <c r="F29" s="61">
        <f>'I. Energy - Stationary'!K71</f>
        <v>6928548.7139633186</v>
      </c>
      <c r="G29" s="61">
        <f>'I. Energy - Stationary'!L71</f>
        <v>4311730.1461603353</v>
      </c>
      <c r="H29" s="816">
        <f t="shared" si="0"/>
        <v>1085181253.8314939</v>
      </c>
      <c r="I29" s="64">
        <f>'I. Energy - Stationary'!G28</f>
        <v>900138868.69899976</v>
      </c>
      <c r="J29" s="61">
        <f t="shared" si="1"/>
        <v>840949282.33222878</v>
      </c>
      <c r="K29" s="61">
        <f>'I. Energy - Stationary'!I28</f>
        <v>761852044.59327626</v>
      </c>
      <c r="L29" s="61">
        <f>'I. Energy - Stationary'!M71</f>
        <v>1033949.9702425083</v>
      </c>
      <c r="M29" s="61">
        <f>'I. Energy - Stationary'!N71</f>
        <v>243913618.08354929</v>
      </c>
      <c r="N29" s="61">
        <f>'I. Energy - Stationary'!O71</f>
        <v>1468017.3808646547</v>
      </c>
      <c r="O29" s="816">
        <f t="shared" si="2"/>
        <v>1849216912.3601615</v>
      </c>
      <c r="P29" s="61">
        <f>'II. Transport '!L28</f>
        <v>0</v>
      </c>
      <c r="Q29" s="61">
        <f>'II. Transport '!M28</f>
        <v>25318.41273281107</v>
      </c>
      <c r="R29" s="61">
        <f>'II. Transport '!J28</f>
        <v>1150739.5305327249</v>
      </c>
      <c r="S29" s="61">
        <f>'II. Transport '!K28</f>
        <v>44226655.697854362</v>
      </c>
      <c r="T29" s="61">
        <f>'II. Transport '!S286</f>
        <v>496955258.05410004</v>
      </c>
      <c r="U29" s="61">
        <f>'II. Transport '!AB286</f>
        <v>14962930.668916581</v>
      </c>
      <c r="V29" s="816">
        <f t="shared" si="4"/>
        <v>557320902.36413658</v>
      </c>
      <c r="W29" s="817">
        <f t="shared" si="3"/>
        <v>3491719068.5557919</v>
      </c>
    </row>
    <row r="30" spans="2:23" ht="13.8" x14ac:dyDescent="0.3">
      <c r="B30" s="814" t="s">
        <v>123</v>
      </c>
      <c r="C30" s="815">
        <f>'I. Energy - Stationary'!F29</f>
        <v>238723239.1799989</v>
      </c>
      <c r="D30" s="61">
        <f>'I. Energy - Stationary'!H29</f>
        <v>739311132.41558456</v>
      </c>
      <c r="E30" s="61">
        <f>'I. Energy - Stationary'!J72</f>
        <v>4810758.0134092188</v>
      </c>
      <c r="F30" s="61">
        <f>'I. Energy - Stationary'!K72</f>
        <v>3292873.8476659702</v>
      </c>
      <c r="G30" s="61">
        <f>'I. Energy - Stationary'!L72</f>
        <v>18660481.511390679</v>
      </c>
      <c r="H30" s="816">
        <f t="shared" si="0"/>
        <v>1004798484.9680494</v>
      </c>
      <c r="I30" s="64">
        <f>'I. Energy - Stationary'!G29</f>
        <v>285057536.94380462</v>
      </c>
      <c r="J30" s="61">
        <f>I30-S30-U30</f>
        <v>248499564.88597456</v>
      </c>
      <c r="K30" s="61">
        <f>'I. Energy - Stationary'!I29</f>
        <v>213489526.4722034</v>
      </c>
      <c r="L30" s="61">
        <f>'I. Energy - Stationary'!M72</f>
        <v>1082300.6694502237</v>
      </c>
      <c r="M30" s="61">
        <f>'I. Energy - Stationary'!N72</f>
        <v>99512170.251803741</v>
      </c>
      <c r="N30" s="61">
        <f>'I. Energy - Stationary'!O72</f>
        <v>2670645.0451433803</v>
      </c>
      <c r="O30" s="816">
        <f t="shared" si="2"/>
        <v>565254207.3245753</v>
      </c>
      <c r="P30" s="61">
        <f>'II. Transport '!L29</f>
        <v>0</v>
      </c>
      <c r="Q30" s="61">
        <f>'II. Transport '!M29</f>
        <v>0</v>
      </c>
      <c r="R30" s="61">
        <f>'II. Transport '!J29</f>
        <v>2124034.6900884071</v>
      </c>
      <c r="S30" s="61">
        <f>'II. Transport '!K29</f>
        <v>21945646.718268305</v>
      </c>
      <c r="T30" s="61">
        <f>'II. Transport '!S287</f>
        <v>653801657.04089999</v>
      </c>
      <c r="U30" s="61">
        <f>'II. Transport '!AB287</f>
        <v>14612325.339561768</v>
      </c>
      <c r="V30" s="816">
        <f>SUM(P30:U30)</f>
        <v>692483663.78881848</v>
      </c>
      <c r="W30" s="817">
        <f t="shared" si="3"/>
        <v>2262536356.0814433</v>
      </c>
    </row>
    <row r="31" spans="2:23" ht="13.8" x14ac:dyDescent="0.3">
      <c r="B31" s="814" t="s">
        <v>124</v>
      </c>
      <c r="C31" s="815">
        <f>'I. Energy - Stationary'!F30</f>
        <v>404050649.31200397</v>
      </c>
      <c r="D31" s="61">
        <f>'I. Energy - Stationary'!H30</f>
        <v>1140446035.2754512</v>
      </c>
      <c r="E31" s="61">
        <f>'I. Energy - Stationary'!J73</f>
        <v>5867679.8795199785</v>
      </c>
      <c r="F31" s="61">
        <f>'I. Energy - Stationary'!K73</f>
        <v>5488494.8547299942</v>
      </c>
      <c r="G31" s="61">
        <f>'I. Energy - Stationary'!L73</f>
        <v>17966924.542160973</v>
      </c>
      <c r="H31" s="816">
        <f t="shared" si="0"/>
        <v>1573819783.8638661</v>
      </c>
      <c r="I31" s="64">
        <f>'I. Energy - Stationary'!G30</f>
        <v>555068611.32309794</v>
      </c>
      <c r="J31" s="61">
        <f>I31-S31-U31</f>
        <v>431533900.48156565</v>
      </c>
      <c r="K31" s="61">
        <f>'I. Energy - Stationary'!I30</f>
        <v>770150385.13599813</v>
      </c>
      <c r="L31" s="61">
        <f>'I. Energy - Stationary'!M73</f>
        <v>3186510.4257583003</v>
      </c>
      <c r="M31" s="61">
        <f>'I. Energy - Stationary'!N73</f>
        <v>229020276.40748292</v>
      </c>
      <c r="N31" s="61">
        <f>'I. Energy - Stationary'!O73</f>
        <v>9228331.1840043031</v>
      </c>
      <c r="O31" s="816">
        <f t="shared" si="2"/>
        <v>1443119403.6348093</v>
      </c>
      <c r="P31" s="61">
        <f>'II. Transport '!L30</f>
        <v>0</v>
      </c>
      <c r="Q31" s="61">
        <f>'II. Transport '!M30</f>
        <v>52358.439522161701</v>
      </c>
      <c r="R31" s="61">
        <f>'II. Transport '!J30</f>
        <v>4946919.1645962857</v>
      </c>
      <c r="S31" s="61">
        <f>'II. Transport '!K30</f>
        <v>102828396.32688296</v>
      </c>
      <c r="T31" s="61">
        <f>'II. Transport '!S288</f>
        <v>730657438.81580007</v>
      </c>
      <c r="U31" s="61">
        <f>'II. Transport '!AB288</f>
        <v>20706314.51464935</v>
      </c>
      <c r="V31" s="816">
        <f>SUM(P31:U31)</f>
        <v>859191427.26145089</v>
      </c>
      <c r="W31" s="817">
        <f t="shared" si="3"/>
        <v>3876130614.7601261</v>
      </c>
    </row>
    <row r="32" spans="2:23" ht="13.8" x14ac:dyDescent="0.3">
      <c r="B32" s="814" t="s">
        <v>125</v>
      </c>
      <c r="C32" s="815">
        <f>'I. Energy - Stationary'!F31</f>
        <v>383076745.0630005</v>
      </c>
      <c r="D32" s="61">
        <f>'I. Energy - Stationary'!H31</f>
        <v>1105303359.4757409</v>
      </c>
      <c r="E32" s="61">
        <f>'I. Energy - Stationary'!J74</f>
        <v>9675293.7514163274</v>
      </c>
      <c r="F32" s="61">
        <f>'I. Energy - Stationary'!K74</f>
        <v>4010367.6051026131</v>
      </c>
      <c r="G32" s="61">
        <f>'I. Energy - Stationary'!L74</f>
        <v>29877066.229225852</v>
      </c>
      <c r="H32" s="816">
        <f t="shared" si="0"/>
        <v>1531942832.1244862</v>
      </c>
      <c r="I32" s="64">
        <f>'I. Energy - Stationary'!G31</f>
        <v>268144943.604</v>
      </c>
      <c r="J32" s="61">
        <f t="shared" si="1"/>
        <v>154150758.23324606</v>
      </c>
      <c r="K32" s="61">
        <f>'I. Energy - Stationary'!I31</f>
        <v>345444018.37888759</v>
      </c>
      <c r="L32" s="61">
        <f>'I. Energy - Stationary'!M74</f>
        <v>2064362.8404749809</v>
      </c>
      <c r="M32" s="61">
        <f>'I. Energy - Stationary'!N74</f>
        <v>113815222.90822625</v>
      </c>
      <c r="N32" s="61">
        <f>'I. Energy - Stationary'!O74</f>
        <v>5364311.8360303286</v>
      </c>
      <c r="O32" s="816">
        <f t="shared" si="2"/>
        <v>620838674.1968652</v>
      </c>
      <c r="P32" s="61">
        <f>'II. Transport '!L31</f>
        <v>0</v>
      </c>
      <c r="Q32" s="61">
        <f>'II. Transport '!M31</f>
        <v>1747767.6165309041</v>
      </c>
      <c r="R32" s="61">
        <f>'II. Transport '!J31</f>
        <v>8468868.8793931771</v>
      </c>
      <c r="S32" s="61">
        <f>'II. Transport '!K31</f>
        <v>97982266.176106453</v>
      </c>
      <c r="T32" s="61">
        <f>'II. Transport '!S289</f>
        <v>685688762.85270011</v>
      </c>
      <c r="U32" s="61">
        <f>'II. Transport '!AB289</f>
        <v>16011919.194647502</v>
      </c>
      <c r="V32" s="816">
        <f t="shared" si="4"/>
        <v>809899584.71937823</v>
      </c>
      <c r="W32" s="817">
        <f t="shared" si="3"/>
        <v>2962681091.0407295</v>
      </c>
    </row>
    <row r="33" spans="2:23" ht="13.8" x14ac:dyDescent="0.3">
      <c r="B33" s="814" t="s">
        <v>126</v>
      </c>
      <c r="C33" s="815">
        <f>'I. Energy - Stationary'!F32</f>
        <v>288868426.8749975</v>
      </c>
      <c r="D33" s="61">
        <f>'I. Energy - Stationary'!H32</f>
        <v>901970475.94609499</v>
      </c>
      <c r="E33" s="61">
        <f>'I. Energy - Stationary'!J75</f>
        <v>7923517.0935716489</v>
      </c>
      <c r="F33" s="61">
        <f>'I. Energy - Stationary'!K75</f>
        <v>4281482.5976287108</v>
      </c>
      <c r="G33" s="61">
        <f>'I. Energy - Stationary'!L75</f>
        <v>26934769.059747919</v>
      </c>
      <c r="H33" s="816">
        <f t="shared" si="0"/>
        <v>1229978671.5720408</v>
      </c>
      <c r="I33" s="64">
        <f>'I. Energy - Stationary'!G32</f>
        <v>433710316.0480001</v>
      </c>
      <c r="J33" s="61">
        <f t="shared" si="1"/>
        <v>371888624.85277677</v>
      </c>
      <c r="K33" s="61">
        <f>'I. Energy - Stationary'!I32</f>
        <v>279116381.4887954</v>
      </c>
      <c r="L33" s="61">
        <f>'I. Energy - Stationary'!M75</f>
        <v>1523490.4985599001</v>
      </c>
      <c r="M33" s="61">
        <f>'I. Energy - Stationary'!N75</f>
        <v>82346152.135525346</v>
      </c>
      <c r="N33" s="61">
        <f>'I. Energy - Stationary'!O75</f>
        <v>5580059.7155204304</v>
      </c>
      <c r="O33" s="816">
        <f t="shared" si="2"/>
        <v>740454708.69117785</v>
      </c>
      <c r="P33" s="61">
        <f>'II. Transport '!L32</f>
        <v>0</v>
      </c>
      <c r="Q33" s="61">
        <f>'II. Transport '!M32</f>
        <v>0</v>
      </c>
      <c r="R33" s="61">
        <f>'II. Transport '!J32</f>
        <v>2808529.8684300422</v>
      </c>
      <c r="S33" s="61">
        <f>'II. Transport '!K32</f>
        <v>50347849.045853809</v>
      </c>
      <c r="T33" s="61">
        <f>'II. Transport '!S290</f>
        <v>560827388.41419995</v>
      </c>
      <c r="U33" s="61">
        <f>'II. Transport '!AB290</f>
        <v>11473842.149369517</v>
      </c>
      <c r="V33" s="816">
        <f t="shared" si="4"/>
        <v>625457609.4778533</v>
      </c>
      <c r="W33" s="817">
        <f t="shared" si="3"/>
        <v>2595890989.7410717</v>
      </c>
    </row>
    <row r="34" spans="2:23" ht="13.8" x14ac:dyDescent="0.3">
      <c r="B34" s="814" t="s">
        <v>127</v>
      </c>
      <c r="C34" s="815">
        <f>'I. Energy - Stationary'!F33</f>
        <v>373066621.62005788</v>
      </c>
      <c r="D34" s="61">
        <f>'I. Energy - Stationary'!H33</f>
        <v>926281756.86484456</v>
      </c>
      <c r="E34" s="61">
        <f>'I. Energy - Stationary'!J76</f>
        <v>13528487.044155691</v>
      </c>
      <c r="F34" s="61">
        <f>'I. Energy - Stationary'!K76</f>
        <v>1821938.748333764</v>
      </c>
      <c r="G34" s="61">
        <f>'I. Energy - Stationary'!L76</f>
        <v>30762266.484423321</v>
      </c>
      <c r="H34" s="816">
        <f t="shared" si="0"/>
        <v>1345461070.7618151</v>
      </c>
      <c r="I34" s="64">
        <f>'I. Energy - Stationary'!G33</f>
        <v>962836964.58999979</v>
      </c>
      <c r="J34" s="61">
        <f t="shared" si="1"/>
        <v>821814086.84784818</v>
      </c>
      <c r="K34" s="61">
        <f>'I. Energy - Stationary'!I33</f>
        <v>983212202.79863143</v>
      </c>
      <c r="L34" s="61">
        <f>'I. Energy - Stationary'!M76</f>
        <v>5475448.0966745773</v>
      </c>
      <c r="M34" s="61">
        <f>'I. Energy - Stationary'!N76</f>
        <v>400165753.61498791</v>
      </c>
      <c r="N34" s="61">
        <f>'I. Energy - Stationary'!O76</f>
        <v>185929411.94075307</v>
      </c>
      <c r="O34" s="816">
        <f t="shared" si="2"/>
        <v>2396596903.2988954</v>
      </c>
      <c r="P34" s="61">
        <f>'II. Transport '!L33</f>
        <v>60519862.339071818</v>
      </c>
      <c r="Q34" s="61">
        <f>'II. Transport '!M33</f>
        <v>6278626.8933379091</v>
      </c>
      <c r="R34" s="61">
        <f>'II. Transport '!J33</f>
        <v>8414465.1477778275</v>
      </c>
      <c r="S34" s="61">
        <f>'II. Transport '!K33</f>
        <v>121696768.76944402</v>
      </c>
      <c r="T34" s="61">
        <f>'II. Transport '!S291</f>
        <v>735145505.18529999</v>
      </c>
      <c r="U34" s="61">
        <f>'II. Transport '!AB291</f>
        <v>19326108.972707663</v>
      </c>
      <c r="V34" s="816">
        <f t="shared" si="4"/>
        <v>951381337.30763924</v>
      </c>
      <c r="W34" s="817">
        <f t="shared" si="3"/>
        <v>4693439311.36835</v>
      </c>
    </row>
    <row r="35" spans="2:23" ht="13.8" x14ac:dyDescent="0.3">
      <c r="B35" s="814" t="s">
        <v>128</v>
      </c>
      <c r="C35" s="815">
        <f>'I. Energy - Stationary'!F34</f>
        <v>370299869.18377769</v>
      </c>
      <c r="D35" s="61">
        <f>'I. Energy - Stationary'!H34</f>
        <v>1225135270.4236519</v>
      </c>
      <c r="E35" s="61">
        <f>'I. Energy - Stationary'!J77</f>
        <v>11500941.753429724</v>
      </c>
      <c r="F35" s="61">
        <f>'I. Energy - Stationary'!K77</f>
        <v>4567661.0480534146</v>
      </c>
      <c r="G35" s="61">
        <f>'I. Energy - Stationary'!L77</f>
        <v>34351446.224419773</v>
      </c>
      <c r="H35" s="816">
        <f t="shared" si="0"/>
        <v>1645855188.6333325</v>
      </c>
      <c r="I35" s="64">
        <f>'I. Energy - Stationary'!G34</f>
        <v>225865681.9920001</v>
      </c>
      <c r="J35" s="61">
        <f t="shared" si="1"/>
        <v>156444446.94163591</v>
      </c>
      <c r="K35" s="61">
        <f>'I. Energy - Stationary'!I34</f>
        <v>214667703.48492429</v>
      </c>
      <c r="L35" s="61">
        <f>'I. Energy - Stationary'!M77</f>
        <v>5128226.0100160632</v>
      </c>
      <c r="M35" s="61">
        <f>'I. Energy - Stationary'!N77</f>
        <v>160643643.13592228</v>
      </c>
      <c r="N35" s="61">
        <f>'I. Energy - Stationary'!O77</f>
        <v>18068222.829870705</v>
      </c>
      <c r="O35" s="816">
        <f t="shared" si="2"/>
        <v>554952242.40236926</v>
      </c>
      <c r="P35" s="61">
        <f>'II. Transport '!L34</f>
        <v>1396506.0377285772</v>
      </c>
      <c r="Q35" s="61">
        <f>'II. Transport '!M34</f>
        <v>0</v>
      </c>
      <c r="R35" s="61">
        <f>'II. Transport '!J34</f>
        <v>2589792.8177529722</v>
      </c>
      <c r="S35" s="61">
        <f>'II. Transport '!K34</f>
        <v>50482892.340537436</v>
      </c>
      <c r="T35" s="61">
        <f>'II. Transport '!S292</f>
        <v>823629478.08260012</v>
      </c>
      <c r="U35" s="61">
        <f>'II. Transport '!AB292</f>
        <v>18938342.709826764</v>
      </c>
      <c r="V35" s="816">
        <f t="shared" si="4"/>
        <v>897037011.98844576</v>
      </c>
      <c r="W35" s="817">
        <f t="shared" si="3"/>
        <v>3097844443.0241475</v>
      </c>
    </row>
    <row r="36" spans="2:23" ht="13.8" x14ac:dyDescent="0.3">
      <c r="B36" s="814" t="s">
        <v>129</v>
      </c>
      <c r="C36" s="815">
        <f>'I. Energy - Stationary'!F35</f>
        <v>300392179.03999996</v>
      </c>
      <c r="D36" s="61">
        <f>'I. Energy - Stationary'!H35</f>
        <v>978894280.13808846</v>
      </c>
      <c r="E36" s="61">
        <f>'I. Energy - Stationary'!J78</f>
        <v>4925495.3286592374</v>
      </c>
      <c r="F36" s="61">
        <f>'I. Energy - Stationary'!K78</f>
        <v>6100898.9055361785</v>
      </c>
      <c r="G36" s="61">
        <f>'I. Energy - Stationary'!L78</f>
        <v>22941481.774472538</v>
      </c>
      <c r="H36" s="816">
        <f t="shared" si="0"/>
        <v>1313254335.1867564</v>
      </c>
      <c r="I36" s="64">
        <f>'I. Energy - Stationary'!G35</f>
        <v>280582898.88600016</v>
      </c>
      <c r="J36" s="61">
        <f t="shared" si="1"/>
        <v>242159187.57772821</v>
      </c>
      <c r="K36" s="61">
        <f>'I. Energy - Stationary'!I35</f>
        <v>265176286.85767567</v>
      </c>
      <c r="L36" s="61">
        <f>'I. Energy - Stationary'!M78</f>
        <v>5154492.5421109721</v>
      </c>
      <c r="M36" s="61">
        <f>'I. Energy - Stationary'!N78</f>
        <v>60680414.649643593</v>
      </c>
      <c r="N36" s="61">
        <f>'I. Energy - Stationary'!O78</f>
        <v>19612791.834947988</v>
      </c>
      <c r="O36" s="816">
        <f>SUM(J36:N36)</f>
        <v>592783173.46210635</v>
      </c>
      <c r="P36" s="61">
        <f>'II. Transport '!L35</f>
        <v>148913770.41513532</v>
      </c>
      <c r="Q36" s="61">
        <f>'II. Transport '!M35</f>
        <v>0</v>
      </c>
      <c r="R36" s="61">
        <f>'II. Transport '!J35</f>
        <v>1486617.43221818</v>
      </c>
      <c r="S36" s="61">
        <f>'II. Transport '!K35</f>
        <v>23938217.85052748</v>
      </c>
      <c r="T36" s="61">
        <f>'II. Transport '!S293</f>
        <v>628860899.72920012</v>
      </c>
      <c r="U36" s="61">
        <f>'II. Transport '!AB293</f>
        <v>14485493.457744475</v>
      </c>
      <c r="V36" s="816">
        <f t="shared" si="4"/>
        <v>817684998.88482559</v>
      </c>
      <c r="W36" s="817">
        <f t="shared" si="3"/>
        <v>2723722507.5336885</v>
      </c>
    </row>
    <row r="37" spans="2:23" ht="13.8" x14ac:dyDescent="0.3">
      <c r="B37" s="814" t="s">
        <v>130</v>
      </c>
      <c r="C37" s="815">
        <f>'I. Energy - Stationary'!F36</f>
        <v>415165844.04299802</v>
      </c>
      <c r="D37" s="61">
        <f>'I. Energy - Stationary'!H36</f>
        <v>866283661.45322013</v>
      </c>
      <c r="E37" s="61">
        <f>'I. Energy - Stationary'!J79</f>
        <v>4921001.0064363852</v>
      </c>
      <c r="F37" s="61">
        <f>'I. Energy - Stationary'!K79</f>
        <v>7367278.664534362</v>
      </c>
      <c r="G37" s="61">
        <f>'I. Energy - Stationary'!L79</f>
        <v>14988749.707767794</v>
      </c>
      <c r="H37" s="816">
        <f t="shared" si="0"/>
        <v>1308726534.8749566</v>
      </c>
      <c r="I37" s="64">
        <f>'I. Energy - Stationary'!G36</f>
        <v>818873714.15500081</v>
      </c>
      <c r="J37" s="61">
        <f t="shared" si="1"/>
        <v>696199028.62909663</v>
      </c>
      <c r="K37" s="61">
        <f>'I. Energy - Stationary'!I36</f>
        <v>829809975.33319509</v>
      </c>
      <c r="L37" s="61">
        <f>'I. Energy - Stationary'!M79</f>
        <v>4074928.8825114821</v>
      </c>
      <c r="M37" s="61">
        <f>'I. Energy - Stationary'!N79</f>
        <v>414860588.3188017</v>
      </c>
      <c r="N37" s="61">
        <f>'I. Energy - Stationary'!O79</f>
        <v>11048585.171356492</v>
      </c>
      <c r="O37" s="816">
        <f t="shared" si="2"/>
        <v>1955993106.3349612</v>
      </c>
      <c r="P37" s="61">
        <f>'II. Transport '!L36</f>
        <v>5066433.8989448184</v>
      </c>
      <c r="Q37" s="61">
        <f>'II. Transport '!M36</f>
        <v>13839172.861442367</v>
      </c>
      <c r="R37" s="61">
        <f>'II. Transport '!J36</f>
        <v>3908748.8867141698</v>
      </c>
      <c r="S37" s="61">
        <f>'II. Transport '!K36</f>
        <v>101796299.73210149</v>
      </c>
      <c r="T37" s="61">
        <f>'II. Transport '!S294</f>
        <v>704004880.56760001</v>
      </c>
      <c r="U37" s="61">
        <f>'II. Transport '!AB294</f>
        <v>20878385.793802746</v>
      </c>
      <c r="V37" s="816">
        <f t="shared" si="4"/>
        <v>849493921.74060559</v>
      </c>
      <c r="W37" s="817">
        <f t="shared" si="3"/>
        <v>4114213562.9505234</v>
      </c>
    </row>
    <row r="38" spans="2:23" ht="13.8" x14ac:dyDescent="0.3">
      <c r="B38" s="814" t="s">
        <v>131</v>
      </c>
      <c r="C38" s="815">
        <f>'I. Energy - Stationary'!F37</f>
        <v>287692084.73699832</v>
      </c>
      <c r="D38" s="61">
        <f>'I. Energy - Stationary'!H37</f>
        <v>861381822.2690407</v>
      </c>
      <c r="E38" s="61">
        <f>'I. Energy - Stationary'!J80</f>
        <v>6312964.2097978126</v>
      </c>
      <c r="F38" s="61">
        <f>'I. Energy - Stationary'!K80</f>
        <v>5009678.479804459</v>
      </c>
      <c r="G38" s="61">
        <f>'I. Energy - Stationary'!L80</f>
        <v>25820548.795822207</v>
      </c>
      <c r="H38" s="816">
        <f t="shared" si="0"/>
        <v>1186217098.4914637</v>
      </c>
      <c r="I38" s="64">
        <f>'I. Energy - Stationary'!G37</f>
        <v>330205638.6929999</v>
      </c>
      <c r="J38" s="61">
        <f t="shared" si="1"/>
        <v>301663513.78777647</v>
      </c>
      <c r="K38" s="61">
        <f>'I. Energy - Stationary'!I37</f>
        <v>252785561.53018841</v>
      </c>
      <c r="L38" s="61">
        <f>'I. Energy - Stationary'!M80</f>
        <v>10716943.626749145</v>
      </c>
      <c r="M38" s="61">
        <f>'I. Energy - Stationary'!N80</f>
        <v>63564233.517272145</v>
      </c>
      <c r="N38" s="61">
        <f>'I. Energy - Stationary'!O80</f>
        <v>38774018.583457798</v>
      </c>
      <c r="O38" s="816">
        <f t="shared" si="2"/>
        <v>667504271.04544401</v>
      </c>
      <c r="P38" s="61">
        <f>'II. Transport '!L37</f>
        <v>248302.83362998589</v>
      </c>
      <c r="Q38" s="61">
        <f>'II. Transport '!M37</f>
        <v>0</v>
      </c>
      <c r="R38" s="61">
        <f>'II. Transport '!J37</f>
        <v>520259.43424015265</v>
      </c>
      <c r="S38" s="61">
        <f>'II. Transport '!K37</f>
        <v>16306483.618569128</v>
      </c>
      <c r="T38" s="61">
        <f>'II. Transport '!S295</f>
        <v>562788404.81580007</v>
      </c>
      <c r="U38" s="61">
        <f>'II. Transport '!AB295</f>
        <v>12235641.286654277</v>
      </c>
      <c r="V38" s="816">
        <f t="shared" si="4"/>
        <v>592099091.98889363</v>
      </c>
      <c r="W38" s="817">
        <f t="shared" si="3"/>
        <v>2445820461.5258012</v>
      </c>
    </row>
    <row r="39" spans="2:23" ht="13.8" x14ac:dyDescent="0.3">
      <c r="B39" s="814" t="s">
        <v>132</v>
      </c>
      <c r="C39" s="815">
        <f>'I. Energy - Stationary'!F38</f>
        <v>422928342.80100644</v>
      </c>
      <c r="D39" s="61">
        <f>'I. Energy - Stationary'!H38</f>
        <v>595836553.4634403</v>
      </c>
      <c r="E39" s="61">
        <f>'I. Energy - Stationary'!J81</f>
        <v>3004127.3607228021</v>
      </c>
      <c r="F39" s="61">
        <f>'I. Energy - Stationary'!K81</f>
        <v>3979336.0966110574</v>
      </c>
      <c r="G39" s="61">
        <f>'I. Energy - Stationary'!L81</f>
        <v>7753142.3694149824</v>
      </c>
      <c r="H39" s="816">
        <f t="shared" si="0"/>
        <v>1033501502.0911955</v>
      </c>
      <c r="I39" s="64">
        <f>'I. Energy - Stationary'!G38</f>
        <v>1914032563.9879999</v>
      </c>
      <c r="J39" s="61">
        <f t="shared" si="1"/>
        <v>1785313509.2848406</v>
      </c>
      <c r="K39" s="61">
        <f>'I. Energy - Stationary'!I38</f>
        <v>812046059.84540462</v>
      </c>
      <c r="L39" s="61">
        <f>'I. Energy - Stationary'!M81</f>
        <v>3770642.2434191033</v>
      </c>
      <c r="M39" s="61">
        <f>'I. Energy - Stationary'!N81</f>
        <v>431385876.45014143</v>
      </c>
      <c r="N39" s="61">
        <f>'I. Energy - Stationary'!O81</f>
        <v>7808638.4152789209</v>
      </c>
      <c r="O39" s="816">
        <f t="shared" si="2"/>
        <v>3040324726.2390847</v>
      </c>
      <c r="P39" s="61">
        <f>'II. Transport '!L38</f>
        <v>36797603.003102779</v>
      </c>
      <c r="Q39" s="61">
        <f>'II. Transport '!M38</f>
        <v>26883928.143279321</v>
      </c>
      <c r="R39" s="61">
        <f>'II. Transport '!J38</f>
        <v>271749.30779459031</v>
      </c>
      <c r="S39" s="61">
        <f>'II. Transport '!K38</f>
        <v>106969810.51063666</v>
      </c>
      <c r="T39" s="61">
        <f>'II. Transport '!S296</f>
        <v>755552746.62960005</v>
      </c>
      <c r="U39" s="61">
        <f>'II. Transport '!AB296</f>
        <v>21749244.192522764</v>
      </c>
      <c r="V39" s="816">
        <f t="shared" si="4"/>
        <v>948225081.78693616</v>
      </c>
      <c r="W39" s="817">
        <f t="shared" si="3"/>
        <v>5022051310.1172161</v>
      </c>
    </row>
    <row r="40" spans="2:23" ht="13.8" x14ac:dyDescent="0.3">
      <c r="B40" s="814" t="s">
        <v>133</v>
      </c>
      <c r="C40" s="815">
        <f>'I. Energy - Stationary'!F39</f>
        <v>317919207.17499816</v>
      </c>
      <c r="D40" s="61">
        <f>'I. Energy - Stationary'!H39</f>
        <v>986882410.17023408</v>
      </c>
      <c r="E40" s="61">
        <f>'I. Energy - Stationary'!J82</f>
        <v>11133554.249339655</v>
      </c>
      <c r="F40" s="61">
        <f>'I. Energy - Stationary'!K82</f>
        <v>2816746.9629734252</v>
      </c>
      <c r="G40" s="61">
        <f>'I. Energy - Stationary'!L82</f>
        <v>28996112.905289017</v>
      </c>
      <c r="H40" s="816">
        <f t="shared" si="0"/>
        <v>1347748031.4628341</v>
      </c>
      <c r="I40" s="64">
        <f>'I. Energy - Stationary'!G39</f>
        <v>296796124.21099979</v>
      </c>
      <c r="J40" s="61">
        <f t="shared" si="1"/>
        <v>255772310.0579856</v>
      </c>
      <c r="K40" s="61">
        <f>'I. Energy - Stationary'!I39</f>
        <v>275117282.62143999</v>
      </c>
      <c r="L40" s="61">
        <f>'I. Energy - Stationary'!M82</f>
        <v>3945105.1637483188</v>
      </c>
      <c r="M40" s="61">
        <f>'I. Energy - Stationary'!N82</f>
        <v>214343999.49618855</v>
      </c>
      <c r="N40" s="61">
        <f>'I. Energy - Stationary'!O82</f>
        <v>11334351.956637027</v>
      </c>
      <c r="O40" s="816">
        <f t="shared" si="2"/>
        <v>760513049.29599953</v>
      </c>
      <c r="P40" s="61">
        <f>'II. Transport '!L39</f>
        <v>1112463.455400358</v>
      </c>
      <c r="Q40" s="61">
        <f>'II. Transport '!M39</f>
        <v>0</v>
      </c>
      <c r="R40" s="61">
        <f>'II. Transport '!J39</f>
        <v>4679293.8115034383</v>
      </c>
      <c r="S40" s="61">
        <f>'II. Transport '!K39</f>
        <v>25955055.608186342</v>
      </c>
      <c r="T40" s="61">
        <f>'II. Transport '!S297</f>
        <v>631142248.63189995</v>
      </c>
      <c r="U40" s="61">
        <f>'II. Transport '!AB297</f>
        <v>15068758.544827826</v>
      </c>
      <c r="V40" s="816">
        <f t="shared" si="4"/>
        <v>677957820.05181789</v>
      </c>
      <c r="W40" s="817">
        <f t="shared" si="3"/>
        <v>2786218900.8106518</v>
      </c>
    </row>
    <row r="41" spans="2:23" ht="13.8" x14ac:dyDescent="0.3">
      <c r="B41" s="814" t="s">
        <v>134</v>
      </c>
      <c r="C41" s="815">
        <f>'I. Energy - Stationary'!F40</f>
        <v>472903515.78900284</v>
      </c>
      <c r="D41" s="61">
        <f>'I. Energy - Stationary'!H40</f>
        <v>1263201930.7032831</v>
      </c>
      <c r="E41" s="61">
        <f>'I. Energy - Stationary'!J83</f>
        <v>5718724.1918214075</v>
      </c>
      <c r="F41" s="61">
        <f>'I. Energy - Stationary'!K83</f>
        <v>5113416.1215107962</v>
      </c>
      <c r="G41" s="61">
        <f>'I. Energy - Stationary'!L83</f>
        <v>17978911.006658036</v>
      </c>
      <c r="H41" s="816">
        <f t="shared" si="0"/>
        <v>1764916497.8122761</v>
      </c>
      <c r="I41" s="64">
        <f>'I. Energy - Stationary'!G40</f>
        <v>478210740.63200098</v>
      </c>
      <c r="J41" s="61">
        <f t="shared" si="1"/>
        <v>355815159.92616731</v>
      </c>
      <c r="K41" s="61">
        <f>'I. Energy - Stationary'!I40</f>
        <v>633659865.20575571</v>
      </c>
      <c r="L41" s="61">
        <f>'I. Energy - Stationary'!M83</f>
        <v>2314425.6776624899</v>
      </c>
      <c r="M41" s="61">
        <f>'I. Energy - Stationary'!N83</f>
        <v>174656677.48618662</v>
      </c>
      <c r="N41" s="61">
        <f>'I. Energy - Stationary'!O83</f>
        <v>7626838.167291237</v>
      </c>
      <c r="O41" s="816">
        <f t="shared" si="2"/>
        <v>1174072966.4630632</v>
      </c>
      <c r="P41" s="61">
        <f>'II. Transport '!L40</f>
        <v>17910103.089828264</v>
      </c>
      <c r="Q41" s="61">
        <f>'II. Transport '!M40</f>
        <v>6239.1590447836534</v>
      </c>
      <c r="R41" s="61">
        <f>'II. Transport '!J40</f>
        <v>8424906.1537050493</v>
      </c>
      <c r="S41" s="61">
        <f>'II. Transport '!K40</f>
        <v>107256539.5258587</v>
      </c>
      <c r="T41" s="61">
        <f>'II. Transport '!S298</f>
        <v>649470307.88340008</v>
      </c>
      <c r="U41" s="61">
        <f>'II. Transport '!AB298</f>
        <v>15139041.179974984</v>
      </c>
      <c r="V41" s="816">
        <f t="shared" si="4"/>
        <v>798207136.99181187</v>
      </c>
      <c r="W41" s="817">
        <f t="shared" si="3"/>
        <v>3737196601.2671509</v>
      </c>
    </row>
    <row r="42" spans="2:23" ht="13.8" x14ac:dyDescent="0.3">
      <c r="B42" s="814" t="s">
        <v>135</v>
      </c>
      <c r="C42" s="815">
        <f>'I. Energy - Stationary'!F41</f>
        <v>452598930.26300049</v>
      </c>
      <c r="D42" s="61">
        <f>'I. Energy - Stationary'!H41</f>
        <v>820044194.29254627</v>
      </c>
      <c r="E42" s="61">
        <f>'I. Energy - Stationary'!J84</f>
        <v>2559806.2844220172</v>
      </c>
      <c r="F42" s="61">
        <f>'I. Energy - Stationary'!K84</f>
        <v>10118474.092005618</v>
      </c>
      <c r="G42" s="61">
        <f>'I. Energy - Stationary'!L84</f>
        <v>6132693.5236587701</v>
      </c>
      <c r="H42" s="816">
        <f t="shared" si="0"/>
        <v>1291454098.4556332</v>
      </c>
      <c r="I42" s="64">
        <f>'I. Energy - Stationary'!G41</f>
        <v>2748745155.9859991</v>
      </c>
      <c r="J42" s="61">
        <f t="shared" si="1"/>
        <v>2572434606.1788492</v>
      </c>
      <c r="K42" s="61">
        <f>'I. Energy - Stationary'!I41</f>
        <v>2091507311.9336381</v>
      </c>
      <c r="L42" s="61">
        <f>'I. Energy - Stationary'!M84</f>
        <v>7235374.1800627178</v>
      </c>
      <c r="M42" s="61">
        <f>'I. Energy - Stationary'!N84</f>
        <v>943023439.00323474</v>
      </c>
      <c r="N42" s="61">
        <f>'I. Energy - Stationary'!O84</f>
        <v>10129110.676877771</v>
      </c>
      <c r="O42" s="816">
        <f t="shared" si="2"/>
        <v>5624329841.9726629</v>
      </c>
      <c r="P42" s="61">
        <f>'II. Transport '!L41</f>
        <v>0</v>
      </c>
      <c r="Q42" s="61">
        <f>'II. Transport '!M41</f>
        <v>11015048.416313777</v>
      </c>
      <c r="R42" s="61">
        <f>'II. Transport '!J41</f>
        <v>5413523.1241788482</v>
      </c>
      <c r="S42" s="61">
        <f>'II. Transport '!K41</f>
        <v>145508982.99231058</v>
      </c>
      <c r="T42" s="61">
        <f>'II. Transport '!S299</f>
        <v>757556016.52920008</v>
      </c>
      <c r="U42" s="61">
        <f>'II. Transport '!AB299</f>
        <v>30801566.814839177</v>
      </c>
      <c r="V42" s="816">
        <f t="shared" si="4"/>
        <v>950295137.87684238</v>
      </c>
      <c r="W42" s="817">
        <f t="shared" si="3"/>
        <v>7866079078.3051386</v>
      </c>
    </row>
    <row r="43" spans="2:23" ht="13.8" x14ac:dyDescent="0.3">
      <c r="B43" s="814" t="s">
        <v>136</v>
      </c>
      <c r="C43" s="818"/>
      <c r="D43" s="62"/>
      <c r="E43" s="62"/>
      <c r="F43" s="62"/>
      <c r="G43" s="62"/>
      <c r="H43" s="819"/>
      <c r="I43" s="62"/>
      <c r="J43" s="61">
        <f t="shared" si="1"/>
        <v>0</v>
      </c>
      <c r="K43" s="61">
        <f>'I. Energy - Stationary'!I42</f>
        <v>53232658</v>
      </c>
      <c r="L43" s="62"/>
      <c r="M43" s="62"/>
      <c r="N43" s="62"/>
      <c r="O43" s="816">
        <f>SUM(J43:N43)</f>
        <v>53232658</v>
      </c>
      <c r="P43" s="63"/>
      <c r="Q43" s="62"/>
      <c r="R43" s="62"/>
      <c r="S43" s="62"/>
      <c r="T43" s="62"/>
      <c r="U43" s="62"/>
      <c r="V43" s="816">
        <f t="shared" si="4"/>
        <v>0</v>
      </c>
      <c r="W43" s="817">
        <f t="shared" si="3"/>
        <v>53232658</v>
      </c>
    </row>
    <row r="44" spans="2:23" ht="13.8" x14ac:dyDescent="0.3">
      <c r="B44" s="820" t="s">
        <v>137</v>
      </c>
      <c r="C44" s="821">
        <f t="shared" ref="C44:I44" si="5">SUM(C10:C42)</f>
        <v>11900128788.172157</v>
      </c>
      <c r="D44" s="822">
        <f t="shared" si="5"/>
        <v>33738980420.195183</v>
      </c>
      <c r="E44" s="822">
        <f t="shared" si="5"/>
        <v>243091849.82164696</v>
      </c>
      <c r="F44" s="822">
        <f t="shared" si="5"/>
        <v>178959359.13219148</v>
      </c>
      <c r="G44" s="822">
        <f>SUM(G10:G42)</f>
        <v>815647852.11178863</v>
      </c>
      <c r="H44" s="821">
        <f t="shared" si="5"/>
        <v>46876808269.432968</v>
      </c>
      <c r="I44" s="821">
        <f t="shared" si="5"/>
        <v>22741699060.775097</v>
      </c>
      <c r="J44" s="822">
        <f>SUM(J10:J43)</f>
        <v>19797850591.735218</v>
      </c>
      <c r="K44" s="822">
        <f>SUM(K10:K43)</f>
        <v>18272421366.977806</v>
      </c>
      <c r="L44" s="822">
        <f>SUM(L10:L42)</f>
        <v>167769851.00404042</v>
      </c>
      <c r="M44" s="822">
        <f>SUM(M10:M42)</f>
        <v>7976468333.3708372</v>
      </c>
      <c r="N44" s="822">
        <f>SUM(N10:N42)</f>
        <v>599263112.54481268</v>
      </c>
      <c r="O44" s="823">
        <f>SUM(O10:O43)</f>
        <v>46813773255.632706</v>
      </c>
      <c r="P44" s="822">
        <f t="shared" ref="P44:U44" si="6">SUM(P10:P42)</f>
        <v>3401187239.6603146</v>
      </c>
      <c r="Q44" s="822">
        <f t="shared" si="6"/>
        <v>90399705.124026537</v>
      </c>
      <c r="R44" s="822">
        <f t="shared" si="6"/>
        <v>329730462.5535782</v>
      </c>
      <c r="S44" s="822">
        <f t="shared" si="6"/>
        <v>2328346676.0458474</v>
      </c>
      <c r="T44" s="822">
        <f t="shared" si="6"/>
        <v>25906116825.8274</v>
      </c>
      <c r="U44" s="822">
        <f t="shared" si="6"/>
        <v>615501792.99403691</v>
      </c>
      <c r="V44" s="823">
        <f>SUM(V10:V43)</f>
        <v>32671282702.205208</v>
      </c>
      <c r="W44" s="823">
        <f>H44+O44+V44</f>
        <v>126361864227.27087</v>
      </c>
    </row>
    <row r="45" spans="2:23" ht="13.8" x14ac:dyDescent="0.3">
      <c r="B45" s="824" t="s">
        <v>138</v>
      </c>
      <c r="C45" s="821">
        <f t="shared" ref="C45:H45" si="7">C44/1000000</f>
        <v>11900.128788172156</v>
      </c>
      <c r="D45" s="825">
        <f t="shared" si="7"/>
        <v>33738.980420195185</v>
      </c>
      <c r="E45" s="825">
        <f t="shared" si="7"/>
        <v>243.09184982164695</v>
      </c>
      <c r="F45" s="825">
        <f t="shared" si="7"/>
        <v>178.95935913219148</v>
      </c>
      <c r="G45" s="826">
        <f t="shared" si="7"/>
        <v>815.64785211178867</v>
      </c>
      <c r="H45" s="825">
        <f t="shared" si="7"/>
        <v>46876.808269432971</v>
      </c>
      <c r="I45" s="821">
        <f t="shared" ref="I45:N45" si="8">I44/1000000</f>
        <v>22741.699060775096</v>
      </c>
      <c r="J45" s="825">
        <f t="shared" si="8"/>
        <v>19797.850591735219</v>
      </c>
      <c r="K45" s="825">
        <f t="shared" si="8"/>
        <v>18272.421366977807</v>
      </c>
      <c r="L45" s="825">
        <f t="shared" si="8"/>
        <v>167.76985100404042</v>
      </c>
      <c r="M45" s="825">
        <f t="shared" si="8"/>
        <v>7976.4683333708372</v>
      </c>
      <c r="N45" s="825">
        <f t="shared" si="8"/>
        <v>599.26311254481266</v>
      </c>
      <c r="O45" s="821">
        <f>SUM(J45:N45)</f>
        <v>46813.773255632717</v>
      </c>
      <c r="P45" s="821">
        <f t="shared" ref="P45:V45" si="9">P44/1000000</f>
        <v>3401.1872396603144</v>
      </c>
      <c r="Q45" s="825">
        <f t="shared" si="9"/>
        <v>90.399705124026539</v>
      </c>
      <c r="R45" s="825">
        <f t="shared" si="9"/>
        <v>329.73046255357821</v>
      </c>
      <c r="S45" s="825">
        <f>S44/1000000</f>
        <v>2328.3466760458473</v>
      </c>
      <c r="T45" s="825">
        <f>T44/1000000</f>
        <v>25906.116825827401</v>
      </c>
      <c r="U45" s="827">
        <f>U44/1000000</f>
        <v>615.50179299403692</v>
      </c>
      <c r="V45" s="821">
        <f t="shared" si="9"/>
        <v>32671.282702205208</v>
      </c>
      <c r="W45" s="823">
        <f>H45+O45+V45</f>
        <v>126361.8642272709</v>
      </c>
    </row>
    <row r="46" spans="2:23" x14ac:dyDescent="0.25">
      <c r="C46" s="104"/>
      <c r="D46" s="104"/>
      <c r="E46" s="104"/>
      <c r="F46" s="104"/>
      <c r="G46" s="104"/>
    </row>
    <row r="47" spans="2:23" x14ac:dyDescent="0.25">
      <c r="B47" s="293" t="s">
        <v>139</v>
      </c>
      <c r="H47" s="104"/>
    </row>
    <row r="48" spans="2:23" x14ac:dyDescent="0.25">
      <c r="H48" s="104"/>
    </row>
    <row r="49" spans="8:15" x14ac:dyDescent="0.25">
      <c r="H49" s="443"/>
    </row>
    <row r="51" spans="8:15" ht="13.8" x14ac:dyDescent="0.3">
      <c r="O51" s="106"/>
    </row>
    <row r="52" spans="8:15" ht="13.8" x14ac:dyDescent="0.3">
      <c r="O52" s="106"/>
    </row>
    <row r="53" spans="8:15" ht="13.8" x14ac:dyDescent="0.3">
      <c r="O53" s="106"/>
    </row>
    <row r="54" spans="8:15" ht="13.8" x14ac:dyDescent="0.3">
      <c r="O54" s="106"/>
    </row>
    <row r="55" spans="8:15" ht="13.8" x14ac:dyDescent="0.3">
      <c r="O55" s="106"/>
    </row>
    <row r="56" spans="8:15" ht="13.8" x14ac:dyDescent="0.3">
      <c r="O56" s="106"/>
    </row>
    <row r="57" spans="8:15" ht="13.8" x14ac:dyDescent="0.3">
      <c r="O57" s="106"/>
    </row>
    <row r="58" spans="8:15" ht="13.8" x14ac:dyDescent="0.3">
      <c r="O58" s="106"/>
    </row>
    <row r="59" spans="8:15" ht="13.8" x14ac:dyDescent="0.3">
      <c r="O59" s="106"/>
    </row>
    <row r="60" spans="8:15" ht="13.8" x14ac:dyDescent="0.3">
      <c r="O60" s="106"/>
    </row>
    <row r="61" spans="8:15" ht="13.8" x14ac:dyDescent="0.3">
      <c r="O61" s="106"/>
    </row>
    <row r="62" spans="8:15" ht="13.8" x14ac:dyDescent="0.3">
      <c r="O62" s="106"/>
    </row>
    <row r="63" spans="8:15" ht="13.8" x14ac:dyDescent="0.3">
      <c r="O63" s="106"/>
    </row>
    <row r="64" spans="8:15" ht="13.8" x14ac:dyDescent="0.3">
      <c r="O64" s="106"/>
    </row>
    <row r="65" spans="15:15" ht="13.8" x14ac:dyDescent="0.3">
      <c r="O65" s="106"/>
    </row>
    <row r="66" spans="15:15" ht="13.8" x14ac:dyDescent="0.3">
      <c r="O66" s="106"/>
    </row>
    <row r="67" spans="15:15" ht="13.8" x14ac:dyDescent="0.3">
      <c r="O67" s="106"/>
    </row>
    <row r="68" spans="15:15" ht="13.8" x14ac:dyDescent="0.3">
      <c r="O68" s="106"/>
    </row>
    <row r="69" spans="15:15" ht="13.8" x14ac:dyDescent="0.3">
      <c r="O69" s="106"/>
    </row>
    <row r="70" spans="15:15" ht="13.8" x14ac:dyDescent="0.3">
      <c r="O70" s="106"/>
    </row>
    <row r="71" spans="15:15" ht="13.8" x14ac:dyDescent="0.3">
      <c r="O71" s="106"/>
    </row>
    <row r="72" spans="15:15" ht="13.8" x14ac:dyDescent="0.3">
      <c r="O72" s="106"/>
    </row>
    <row r="73" spans="15:15" ht="13.8" x14ac:dyDescent="0.3">
      <c r="O73" s="106"/>
    </row>
    <row r="74" spans="15:15" ht="13.8" x14ac:dyDescent="0.3">
      <c r="O74" s="106"/>
    </row>
    <row r="75" spans="15:15" ht="13.8" x14ac:dyDescent="0.3">
      <c r="O75" s="106"/>
    </row>
    <row r="76" spans="15:15" ht="13.8" x14ac:dyDescent="0.3">
      <c r="O76" s="106"/>
    </row>
    <row r="77" spans="15:15" ht="13.8" x14ac:dyDescent="0.3">
      <c r="O77" s="106"/>
    </row>
    <row r="78" spans="15:15" ht="13.8" x14ac:dyDescent="0.3">
      <c r="O78" s="106"/>
    </row>
    <row r="79" spans="15:15" ht="13.8" x14ac:dyDescent="0.3">
      <c r="O79" s="106"/>
    </row>
    <row r="80" spans="15:15" ht="13.8" x14ac:dyDescent="0.3">
      <c r="O80" s="106"/>
    </row>
    <row r="81" spans="15:15" ht="13.8" x14ac:dyDescent="0.3">
      <c r="O81" s="106"/>
    </row>
    <row r="82" spans="15:15" ht="13.8" x14ac:dyDescent="0.3">
      <c r="O82" s="106"/>
    </row>
    <row r="83" spans="15:15" ht="13.8" x14ac:dyDescent="0.3">
      <c r="O83" s="106"/>
    </row>
  </sheetData>
  <sheetProtection algorithmName="SHA-512" hashValue="yzmFGLJEsnnvT/Q/ZJi/xHOxlda2eSUhfIqx8ST/mhT+iYmPmWzqLN9uuk0T/B4mu6lRbAEL547r6gz18B3cyA==" saltValue="dFlT3aIqpTR3XKiionCtbw==" spinCount="100000" sheet="1"/>
  <mergeCells count="4">
    <mergeCell ref="W6:W8"/>
    <mergeCell ref="I7:O7"/>
    <mergeCell ref="P7:V7"/>
    <mergeCell ref="C7:H7"/>
  </mergeCells>
  <conditionalFormatting sqref="V45">
    <cfRule type="cellIs" dxfId="1" priority="1" stopIfTrue="1" operator="notEqual">
      <formula>$V$44/1000000</formula>
    </cfRule>
  </conditionalFormatting>
  <pageMargins left="0.25" right="0.25" top="0.75" bottom="0.75" header="0.3" footer="0.3"/>
  <pageSetup paperSize="8" scale="5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6">
    <tabColor theme="4" tint="0.79998168889431442"/>
    <pageSetUpPr fitToPage="1"/>
  </sheetPr>
  <dimension ref="A1:AF89"/>
  <sheetViews>
    <sheetView topLeftCell="O28" zoomScale="90" zoomScaleNormal="90" workbookViewId="0">
      <selection activeCell="C10" sqref="C10:AE45"/>
    </sheetView>
  </sheetViews>
  <sheetFormatPr defaultRowHeight="14.4" x14ac:dyDescent="0.3"/>
  <cols>
    <col min="1" max="1" width="10.5546875" style="70" customWidth="1"/>
    <col min="2" max="2" width="23.21875" style="70" customWidth="1"/>
    <col min="3" max="12" width="10.77734375" style="70" customWidth="1"/>
    <col min="13" max="13" width="12" style="70" customWidth="1"/>
    <col min="14" max="14" width="10.77734375" style="70" customWidth="1"/>
    <col min="15" max="15" width="12.77734375" style="70" customWidth="1"/>
    <col min="16" max="16" width="12.21875" style="70" customWidth="1"/>
    <col min="17" max="17" width="13.88671875" style="70" bestFit="1" customWidth="1"/>
    <col min="18" max="25" width="10.77734375" style="70" customWidth="1"/>
    <col min="26" max="26" width="12.5546875" style="70" bestFit="1" customWidth="1"/>
    <col min="27" max="29" width="10.77734375" style="70" customWidth="1"/>
    <col min="30" max="30" width="11.21875" style="70" customWidth="1"/>
    <col min="31" max="31" width="16.77734375" style="70" customWidth="1"/>
    <col min="32" max="265" width="9" style="70"/>
    <col min="266" max="266" width="2" style="70" customWidth="1"/>
    <col min="267" max="267" width="23.21875" style="70" customWidth="1"/>
    <col min="268" max="279" width="10.77734375" style="70" customWidth="1"/>
    <col min="280" max="280" width="12.77734375" style="70" customWidth="1"/>
    <col min="281" max="281" width="12.21875" style="70" customWidth="1"/>
    <col min="282" max="286" width="10.77734375" style="70" customWidth="1"/>
    <col min="287" max="287" width="16.77734375" style="70" customWidth="1"/>
    <col min="288" max="521" width="9" style="70"/>
    <col min="522" max="522" width="2" style="70" customWidth="1"/>
    <col min="523" max="523" width="23.21875" style="70" customWidth="1"/>
    <col min="524" max="535" width="10.77734375" style="70" customWidth="1"/>
    <col min="536" max="536" width="12.77734375" style="70" customWidth="1"/>
    <col min="537" max="537" width="12.21875" style="70" customWidth="1"/>
    <col min="538" max="542" width="10.77734375" style="70" customWidth="1"/>
    <col min="543" max="543" width="16.77734375" style="70" customWidth="1"/>
    <col min="544" max="777" width="9" style="70"/>
    <col min="778" max="778" width="2" style="70" customWidth="1"/>
    <col min="779" max="779" width="23.21875" style="70" customWidth="1"/>
    <col min="780" max="791" width="10.77734375" style="70" customWidth="1"/>
    <col min="792" max="792" width="12.77734375" style="70" customWidth="1"/>
    <col min="793" max="793" width="12.21875" style="70" customWidth="1"/>
    <col min="794" max="798" width="10.77734375" style="70" customWidth="1"/>
    <col min="799" max="799" width="16.77734375" style="70" customWidth="1"/>
    <col min="800" max="1033" width="9" style="70"/>
    <col min="1034" max="1034" width="2" style="70" customWidth="1"/>
    <col min="1035" max="1035" width="23.21875" style="70" customWidth="1"/>
    <col min="1036" max="1047" width="10.77734375" style="70" customWidth="1"/>
    <col min="1048" max="1048" width="12.77734375" style="70" customWidth="1"/>
    <col min="1049" max="1049" width="12.21875" style="70" customWidth="1"/>
    <col min="1050" max="1054" width="10.77734375" style="70" customWidth="1"/>
    <col min="1055" max="1055" width="16.77734375" style="70" customWidth="1"/>
    <col min="1056" max="1289" width="9" style="70"/>
    <col min="1290" max="1290" width="2" style="70" customWidth="1"/>
    <col min="1291" max="1291" width="23.21875" style="70" customWidth="1"/>
    <col min="1292" max="1303" width="10.77734375" style="70" customWidth="1"/>
    <col min="1304" max="1304" width="12.77734375" style="70" customWidth="1"/>
    <col min="1305" max="1305" width="12.21875" style="70" customWidth="1"/>
    <col min="1306" max="1310" width="10.77734375" style="70" customWidth="1"/>
    <col min="1311" max="1311" width="16.77734375" style="70" customWidth="1"/>
    <col min="1312" max="1545" width="9" style="70"/>
    <col min="1546" max="1546" width="2" style="70" customWidth="1"/>
    <col min="1547" max="1547" width="23.21875" style="70" customWidth="1"/>
    <col min="1548" max="1559" width="10.77734375" style="70" customWidth="1"/>
    <col min="1560" max="1560" width="12.77734375" style="70" customWidth="1"/>
    <col min="1561" max="1561" width="12.21875" style="70" customWidth="1"/>
    <col min="1562" max="1566" width="10.77734375" style="70" customWidth="1"/>
    <col min="1567" max="1567" width="16.77734375" style="70" customWidth="1"/>
    <col min="1568" max="1801" width="9" style="70"/>
    <col min="1802" max="1802" width="2" style="70" customWidth="1"/>
    <col min="1803" max="1803" width="23.21875" style="70" customWidth="1"/>
    <col min="1804" max="1815" width="10.77734375" style="70" customWidth="1"/>
    <col min="1816" max="1816" width="12.77734375" style="70" customWidth="1"/>
    <col min="1817" max="1817" width="12.21875" style="70" customWidth="1"/>
    <col min="1818" max="1822" width="10.77734375" style="70" customWidth="1"/>
    <col min="1823" max="1823" width="16.77734375" style="70" customWidth="1"/>
    <col min="1824" max="2057" width="9" style="70"/>
    <col min="2058" max="2058" width="2" style="70" customWidth="1"/>
    <col min="2059" max="2059" width="23.21875" style="70" customWidth="1"/>
    <col min="2060" max="2071" width="10.77734375" style="70" customWidth="1"/>
    <col min="2072" max="2072" width="12.77734375" style="70" customWidth="1"/>
    <col min="2073" max="2073" width="12.21875" style="70" customWidth="1"/>
    <col min="2074" max="2078" width="10.77734375" style="70" customWidth="1"/>
    <col min="2079" max="2079" width="16.77734375" style="70" customWidth="1"/>
    <col min="2080" max="2313" width="9" style="70"/>
    <col min="2314" max="2314" width="2" style="70" customWidth="1"/>
    <col min="2315" max="2315" width="23.21875" style="70" customWidth="1"/>
    <col min="2316" max="2327" width="10.77734375" style="70" customWidth="1"/>
    <col min="2328" max="2328" width="12.77734375" style="70" customWidth="1"/>
    <col min="2329" max="2329" width="12.21875" style="70" customWidth="1"/>
    <col min="2330" max="2334" width="10.77734375" style="70" customWidth="1"/>
    <col min="2335" max="2335" width="16.77734375" style="70" customWidth="1"/>
    <col min="2336" max="2569" width="9" style="70"/>
    <col min="2570" max="2570" width="2" style="70" customWidth="1"/>
    <col min="2571" max="2571" width="23.21875" style="70" customWidth="1"/>
    <col min="2572" max="2583" width="10.77734375" style="70" customWidth="1"/>
    <col min="2584" max="2584" width="12.77734375" style="70" customWidth="1"/>
    <col min="2585" max="2585" width="12.21875" style="70" customWidth="1"/>
    <col min="2586" max="2590" width="10.77734375" style="70" customWidth="1"/>
    <col min="2591" max="2591" width="16.77734375" style="70" customWidth="1"/>
    <col min="2592" max="2825" width="9" style="70"/>
    <col min="2826" max="2826" width="2" style="70" customWidth="1"/>
    <col min="2827" max="2827" width="23.21875" style="70" customWidth="1"/>
    <col min="2828" max="2839" width="10.77734375" style="70" customWidth="1"/>
    <col min="2840" max="2840" width="12.77734375" style="70" customWidth="1"/>
    <col min="2841" max="2841" width="12.21875" style="70" customWidth="1"/>
    <col min="2842" max="2846" width="10.77734375" style="70" customWidth="1"/>
    <col min="2847" max="2847" width="16.77734375" style="70" customWidth="1"/>
    <col min="2848" max="3081" width="9" style="70"/>
    <col min="3082" max="3082" width="2" style="70" customWidth="1"/>
    <col min="3083" max="3083" width="23.21875" style="70" customWidth="1"/>
    <col min="3084" max="3095" width="10.77734375" style="70" customWidth="1"/>
    <col min="3096" max="3096" width="12.77734375" style="70" customWidth="1"/>
    <col min="3097" max="3097" width="12.21875" style="70" customWidth="1"/>
    <col min="3098" max="3102" width="10.77734375" style="70" customWidth="1"/>
    <col min="3103" max="3103" width="16.77734375" style="70" customWidth="1"/>
    <col min="3104" max="3337" width="9" style="70"/>
    <col min="3338" max="3338" width="2" style="70" customWidth="1"/>
    <col min="3339" max="3339" width="23.21875" style="70" customWidth="1"/>
    <col min="3340" max="3351" width="10.77734375" style="70" customWidth="1"/>
    <col min="3352" max="3352" width="12.77734375" style="70" customWidth="1"/>
    <col min="3353" max="3353" width="12.21875" style="70" customWidth="1"/>
    <col min="3354" max="3358" width="10.77734375" style="70" customWidth="1"/>
    <col min="3359" max="3359" width="16.77734375" style="70" customWidth="1"/>
    <col min="3360" max="3593" width="9" style="70"/>
    <col min="3594" max="3594" width="2" style="70" customWidth="1"/>
    <col min="3595" max="3595" width="23.21875" style="70" customWidth="1"/>
    <col min="3596" max="3607" width="10.77734375" style="70" customWidth="1"/>
    <col min="3608" max="3608" width="12.77734375" style="70" customWidth="1"/>
    <col min="3609" max="3609" width="12.21875" style="70" customWidth="1"/>
    <col min="3610" max="3614" width="10.77734375" style="70" customWidth="1"/>
    <col min="3615" max="3615" width="16.77734375" style="70" customWidth="1"/>
    <col min="3616" max="3849" width="9" style="70"/>
    <col min="3850" max="3850" width="2" style="70" customWidth="1"/>
    <col min="3851" max="3851" width="23.21875" style="70" customWidth="1"/>
    <col min="3852" max="3863" width="10.77734375" style="70" customWidth="1"/>
    <col min="3864" max="3864" width="12.77734375" style="70" customWidth="1"/>
    <col min="3865" max="3865" width="12.21875" style="70" customWidth="1"/>
    <col min="3866" max="3870" width="10.77734375" style="70" customWidth="1"/>
    <col min="3871" max="3871" width="16.77734375" style="70" customWidth="1"/>
    <col min="3872" max="4105" width="9" style="70"/>
    <col min="4106" max="4106" width="2" style="70" customWidth="1"/>
    <col min="4107" max="4107" width="23.21875" style="70" customWidth="1"/>
    <col min="4108" max="4119" width="10.77734375" style="70" customWidth="1"/>
    <col min="4120" max="4120" width="12.77734375" style="70" customWidth="1"/>
    <col min="4121" max="4121" width="12.21875" style="70" customWidth="1"/>
    <col min="4122" max="4126" width="10.77734375" style="70" customWidth="1"/>
    <col min="4127" max="4127" width="16.77734375" style="70" customWidth="1"/>
    <col min="4128" max="4361" width="9" style="70"/>
    <col min="4362" max="4362" width="2" style="70" customWidth="1"/>
    <col min="4363" max="4363" width="23.21875" style="70" customWidth="1"/>
    <col min="4364" max="4375" width="10.77734375" style="70" customWidth="1"/>
    <col min="4376" max="4376" width="12.77734375" style="70" customWidth="1"/>
    <col min="4377" max="4377" width="12.21875" style="70" customWidth="1"/>
    <col min="4378" max="4382" width="10.77734375" style="70" customWidth="1"/>
    <col min="4383" max="4383" width="16.77734375" style="70" customWidth="1"/>
    <col min="4384" max="4617" width="9" style="70"/>
    <col min="4618" max="4618" width="2" style="70" customWidth="1"/>
    <col min="4619" max="4619" width="23.21875" style="70" customWidth="1"/>
    <col min="4620" max="4631" width="10.77734375" style="70" customWidth="1"/>
    <col min="4632" max="4632" width="12.77734375" style="70" customWidth="1"/>
    <col min="4633" max="4633" width="12.21875" style="70" customWidth="1"/>
    <col min="4634" max="4638" width="10.77734375" style="70" customWidth="1"/>
    <col min="4639" max="4639" width="16.77734375" style="70" customWidth="1"/>
    <col min="4640" max="4873" width="9" style="70"/>
    <col min="4874" max="4874" width="2" style="70" customWidth="1"/>
    <col min="4875" max="4875" width="23.21875" style="70" customWidth="1"/>
    <col min="4876" max="4887" width="10.77734375" style="70" customWidth="1"/>
    <col min="4888" max="4888" width="12.77734375" style="70" customWidth="1"/>
    <col min="4889" max="4889" width="12.21875" style="70" customWidth="1"/>
    <col min="4890" max="4894" width="10.77734375" style="70" customWidth="1"/>
    <col min="4895" max="4895" width="16.77734375" style="70" customWidth="1"/>
    <col min="4896" max="5129" width="9" style="70"/>
    <col min="5130" max="5130" width="2" style="70" customWidth="1"/>
    <col min="5131" max="5131" width="23.21875" style="70" customWidth="1"/>
    <col min="5132" max="5143" width="10.77734375" style="70" customWidth="1"/>
    <col min="5144" max="5144" width="12.77734375" style="70" customWidth="1"/>
    <col min="5145" max="5145" width="12.21875" style="70" customWidth="1"/>
    <col min="5146" max="5150" width="10.77734375" style="70" customWidth="1"/>
    <col min="5151" max="5151" width="16.77734375" style="70" customWidth="1"/>
    <col min="5152" max="5385" width="9" style="70"/>
    <col min="5386" max="5386" width="2" style="70" customWidth="1"/>
    <col min="5387" max="5387" width="23.21875" style="70" customWidth="1"/>
    <col min="5388" max="5399" width="10.77734375" style="70" customWidth="1"/>
    <col min="5400" max="5400" width="12.77734375" style="70" customWidth="1"/>
    <col min="5401" max="5401" width="12.21875" style="70" customWidth="1"/>
    <col min="5402" max="5406" width="10.77734375" style="70" customWidth="1"/>
    <col min="5407" max="5407" width="16.77734375" style="70" customWidth="1"/>
    <col min="5408" max="5641" width="9" style="70"/>
    <col min="5642" max="5642" width="2" style="70" customWidth="1"/>
    <col min="5643" max="5643" width="23.21875" style="70" customWidth="1"/>
    <col min="5644" max="5655" width="10.77734375" style="70" customWidth="1"/>
    <col min="5656" max="5656" width="12.77734375" style="70" customWidth="1"/>
    <col min="5657" max="5657" width="12.21875" style="70" customWidth="1"/>
    <col min="5658" max="5662" width="10.77734375" style="70" customWidth="1"/>
    <col min="5663" max="5663" width="16.77734375" style="70" customWidth="1"/>
    <col min="5664" max="5897" width="9" style="70"/>
    <col min="5898" max="5898" width="2" style="70" customWidth="1"/>
    <col min="5899" max="5899" width="23.21875" style="70" customWidth="1"/>
    <col min="5900" max="5911" width="10.77734375" style="70" customWidth="1"/>
    <col min="5912" max="5912" width="12.77734375" style="70" customWidth="1"/>
    <col min="5913" max="5913" width="12.21875" style="70" customWidth="1"/>
    <col min="5914" max="5918" width="10.77734375" style="70" customWidth="1"/>
    <col min="5919" max="5919" width="16.77734375" style="70" customWidth="1"/>
    <col min="5920" max="6153" width="9" style="70"/>
    <col min="6154" max="6154" width="2" style="70" customWidth="1"/>
    <col min="6155" max="6155" width="23.21875" style="70" customWidth="1"/>
    <col min="6156" max="6167" width="10.77734375" style="70" customWidth="1"/>
    <col min="6168" max="6168" width="12.77734375" style="70" customWidth="1"/>
    <col min="6169" max="6169" width="12.21875" style="70" customWidth="1"/>
    <col min="6170" max="6174" width="10.77734375" style="70" customWidth="1"/>
    <col min="6175" max="6175" width="16.77734375" style="70" customWidth="1"/>
    <col min="6176" max="6409" width="9" style="70"/>
    <col min="6410" max="6410" width="2" style="70" customWidth="1"/>
    <col min="6411" max="6411" width="23.21875" style="70" customWidth="1"/>
    <col min="6412" max="6423" width="10.77734375" style="70" customWidth="1"/>
    <col min="6424" max="6424" width="12.77734375" style="70" customWidth="1"/>
    <col min="6425" max="6425" width="12.21875" style="70" customWidth="1"/>
    <col min="6426" max="6430" width="10.77734375" style="70" customWidth="1"/>
    <col min="6431" max="6431" width="16.77734375" style="70" customWidth="1"/>
    <col min="6432" max="6665" width="9" style="70"/>
    <col min="6666" max="6666" width="2" style="70" customWidth="1"/>
    <col min="6667" max="6667" width="23.21875" style="70" customWidth="1"/>
    <col min="6668" max="6679" width="10.77734375" style="70" customWidth="1"/>
    <col min="6680" max="6680" width="12.77734375" style="70" customWidth="1"/>
    <col min="6681" max="6681" width="12.21875" style="70" customWidth="1"/>
    <col min="6682" max="6686" width="10.77734375" style="70" customWidth="1"/>
    <col min="6687" max="6687" width="16.77734375" style="70" customWidth="1"/>
    <col min="6688" max="6921" width="9" style="70"/>
    <col min="6922" max="6922" width="2" style="70" customWidth="1"/>
    <col min="6923" max="6923" width="23.21875" style="70" customWidth="1"/>
    <col min="6924" max="6935" width="10.77734375" style="70" customWidth="1"/>
    <col min="6936" max="6936" width="12.77734375" style="70" customWidth="1"/>
    <col min="6937" max="6937" width="12.21875" style="70" customWidth="1"/>
    <col min="6938" max="6942" width="10.77734375" style="70" customWidth="1"/>
    <col min="6943" max="6943" width="16.77734375" style="70" customWidth="1"/>
    <col min="6944" max="7177" width="9" style="70"/>
    <col min="7178" max="7178" width="2" style="70" customWidth="1"/>
    <col min="7179" max="7179" width="23.21875" style="70" customWidth="1"/>
    <col min="7180" max="7191" width="10.77734375" style="70" customWidth="1"/>
    <col min="7192" max="7192" width="12.77734375" style="70" customWidth="1"/>
    <col min="7193" max="7193" width="12.21875" style="70" customWidth="1"/>
    <col min="7194" max="7198" width="10.77734375" style="70" customWidth="1"/>
    <col min="7199" max="7199" width="16.77734375" style="70" customWidth="1"/>
    <col min="7200" max="7433" width="9" style="70"/>
    <col min="7434" max="7434" width="2" style="70" customWidth="1"/>
    <col min="7435" max="7435" width="23.21875" style="70" customWidth="1"/>
    <col min="7436" max="7447" width="10.77734375" style="70" customWidth="1"/>
    <col min="7448" max="7448" width="12.77734375" style="70" customWidth="1"/>
    <col min="7449" max="7449" width="12.21875" style="70" customWidth="1"/>
    <col min="7450" max="7454" width="10.77734375" style="70" customWidth="1"/>
    <col min="7455" max="7455" width="16.77734375" style="70" customWidth="1"/>
    <col min="7456" max="7689" width="9" style="70"/>
    <col min="7690" max="7690" width="2" style="70" customWidth="1"/>
    <col min="7691" max="7691" width="23.21875" style="70" customWidth="1"/>
    <col min="7692" max="7703" width="10.77734375" style="70" customWidth="1"/>
    <col min="7704" max="7704" width="12.77734375" style="70" customWidth="1"/>
    <col min="7705" max="7705" width="12.21875" style="70" customWidth="1"/>
    <col min="7706" max="7710" width="10.77734375" style="70" customWidth="1"/>
    <col min="7711" max="7711" width="16.77734375" style="70" customWidth="1"/>
    <col min="7712" max="7945" width="9" style="70"/>
    <col min="7946" max="7946" width="2" style="70" customWidth="1"/>
    <col min="7947" max="7947" width="23.21875" style="70" customWidth="1"/>
    <col min="7948" max="7959" width="10.77734375" style="70" customWidth="1"/>
    <col min="7960" max="7960" width="12.77734375" style="70" customWidth="1"/>
    <col min="7961" max="7961" width="12.21875" style="70" customWidth="1"/>
    <col min="7962" max="7966" width="10.77734375" style="70" customWidth="1"/>
    <col min="7967" max="7967" width="16.77734375" style="70" customWidth="1"/>
    <col min="7968" max="8201" width="9" style="70"/>
    <col min="8202" max="8202" width="2" style="70" customWidth="1"/>
    <col min="8203" max="8203" width="23.21875" style="70" customWidth="1"/>
    <col min="8204" max="8215" width="10.77734375" style="70" customWidth="1"/>
    <col min="8216" max="8216" width="12.77734375" style="70" customWidth="1"/>
    <col min="8217" max="8217" width="12.21875" style="70" customWidth="1"/>
    <col min="8218" max="8222" width="10.77734375" style="70" customWidth="1"/>
    <col min="8223" max="8223" width="16.77734375" style="70" customWidth="1"/>
    <col min="8224" max="8457" width="9" style="70"/>
    <col min="8458" max="8458" width="2" style="70" customWidth="1"/>
    <col min="8459" max="8459" width="23.21875" style="70" customWidth="1"/>
    <col min="8460" max="8471" width="10.77734375" style="70" customWidth="1"/>
    <col min="8472" max="8472" width="12.77734375" style="70" customWidth="1"/>
    <col min="8473" max="8473" width="12.21875" style="70" customWidth="1"/>
    <col min="8474" max="8478" width="10.77734375" style="70" customWidth="1"/>
    <col min="8479" max="8479" width="16.77734375" style="70" customWidth="1"/>
    <col min="8480" max="8713" width="9" style="70"/>
    <col min="8714" max="8714" width="2" style="70" customWidth="1"/>
    <col min="8715" max="8715" width="23.21875" style="70" customWidth="1"/>
    <col min="8716" max="8727" width="10.77734375" style="70" customWidth="1"/>
    <col min="8728" max="8728" width="12.77734375" style="70" customWidth="1"/>
    <col min="8729" max="8729" width="12.21875" style="70" customWidth="1"/>
    <col min="8730" max="8734" width="10.77734375" style="70" customWidth="1"/>
    <col min="8735" max="8735" width="16.77734375" style="70" customWidth="1"/>
    <col min="8736" max="8969" width="9" style="70"/>
    <col min="8970" max="8970" width="2" style="70" customWidth="1"/>
    <col min="8971" max="8971" width="23.21875" style="70" customWidth="1"/>
    <col min="8972" max="8983" width="10.77734375" style="70" customWidth="1"/>
    <col min="8984" max="8984" width="12.77734375" style="70" customWidth="1"/>
    <col min="8985" max="8985" width="12.21875" style="70" customWidth="1"/>
    <col min="8986" max="8990" width="10.77734375" style="70" customWidth="1"/>
    <col min="8991" max="8991" width="16.77734375" style="70" customWidth="1"/>
    <col min="8992" max="9225" width="9" style="70"/>
    <col min="9226" max="9226" width="2" style="70" customWidth="1"/>
    <col min="9227" max="9227" width="23.21875" style="70" customWidth="1"/>
    <col min="9228" max="9239" width="10.77734375" style="70" customWidth="1"/>
    <col min="9240" max="9240" width="12.77734375" style="70" customWidth="1"/>
    <col min="9241" max="9241" width="12.21875" style="70" customWidth="1"/>
    <col min="9242" max="9246" width="10.77734375" style="70" customWidth="1"/>
    <col min="9247" max="9247" width="16.77734375" style="70" customWidth="1"/>
    <col min="9248" max="9481" width="9" style="70"/>
    <col min="9482" max="9482" width="2" style="70" customWidth="1"/>
    <col min="9483" max="9483" width="23.21875" style="70" customWidth="1"/>
    <col min="9484" max="9495" width="10.77734375" style="70" customWidth="1"/>
    <col min="9496" max="9496" width="12.77734375" style="70" customWidth="1"/>
    <col min="9497" max="9497" width="12.21875" style="70" customWidth="1"/>
    <col min="9498" max="9502" width="10.77734375" style="70" customWidth="1"/>
    <col min="9503" max="9503" width="16.77734375" style="70" customWidth="1"/>
    <col min="9504" max="9737" width="9" style="70"/>
    <col min="9738" max="9738" width="2" style="70" customWidth="1"/>
    <col min="9739" max="9739" width="23.21875" style="70" customWidth="1"/>
    <col min="9740" max="9751" width="10.77734375" style="70" customWidth="1"/>
    <col min="9752" max="9752" width="12.77734375" style="70" customWidth="1"/>
    <col min="9753" max="9753" width="12.21875" style="70" customWidth="1"/>
    <col min="9754" max="9758" width="10.77734375" style="70" customWidth="1"/>
    <col min="9759" max="9759" width="16.77734375" style="70" customWidth="1"/>
    <col min="9760" max="9993" width="9" style="70"/>
    <col min="9994" max="9994" width="2" style="70" customWidth="1"/>
    <col min="9995" max="9995" width="23.21875" style="70" customWidth="1"/>
    <col min="9996" max="10007" width="10.77734375" style="70" customWidth="1"/>
    <col min="10008" max="10008" width="12.77734375" style="70" customWidth="1"/>
    <col min="10009" max="10009" width="12.21875" style="70" customWidth="1"/>
    <col min="10010" max="10014" width="10.77734375" style="70" customWidth="1"/>
    <col min="10015" max="10015" width="16.77734375" style="70" customWidth="1"/>
    <col min="10016" max="10249" width="9" style="70"/>
    <col min="10250" max="10250" width="2" style="70" customWidth="1"/>
    <col min="10251" max="10251" width="23.21875" style="70" customWidth="1"/>
    <col min="10252" max="10263" width="10.77734375" style="70" customWidth="1"/>
    <col min="10264" max="10264" width="12.77734375" style="70" customWidth="1"/>
    <col min="10265" max="10265" width="12.21875" style="70" customWidth="1"/>
    <col min="10266" max="10270" width="10.77734375" style="70" customWidth="1"/>
    <col min="10271" max="10271" width="16.77734375" style="70" customWidth="1"/>
    <col min="10272" max="10505" width="9" style="70"/>
    <col min="10506" max="10506" width="2" style="70" customWidth="1"/>
    <col min="10507" max="10507" width="23.21875" style="70" customWidth="1"/>
    <col min="10508" max="10519" width="10.77734375" style="70" customWidth="1"/>
    <col min="10520" max="10520" width="12.77734375" style="70" customWidth="1"/>
    <col min="10521" max="10521" width="12.21875" style="70" customWidth="1"/>
    <col min="10522" max="10526" width="10.77734375" style="70" customWidth="1"/>
    <col min="10527" max="10527" width="16.77734375" style="70" customWidth="1"/>
    <col min="10528" max="10761" width="9" style="70"/>
    <col min="10762" max="10762" width="2" style="70" customWidth="1"/>
    <col min="10763" max="10763" width="23.21875" style="70" customWidth="1"/>
    <col min="10764" max="10775" width="10.77734375" style="70" customWidth="1"/>
    <col min="10776" max="10776" width="12.77734375" style="70" customWidth="1"/>
    <col min="10777" max="10777" width="12.21875" style="70" customWidth="1"/>
    <col min="10778" max="10782" width="10.77734375" style="70" customWidth="1"/>
    <col min="10783" max="10783" width="16.77734375" style="70" customWidth="1"/>
    <col min="10784" max="11017" width="9" style="70"/>
    <col min="11018" max="11018" width="2" style="70" customWidth="1"/>
    <col min="11019" max="11019" width="23.21875" style="70" customWidth="1"/>
    <col min="11020" max="11031" width="10.77734375" style="70" customWidth="1"/>
    <col min="11032" max="11032" width="12.77734375" style="70" customWidth="1"/>
    <col min="11033" max="11033" width="12.21875" style="70" customWidth="1"/>
    <col min="11034" max="11038" width="10.77734375" style="70" customWidth="1"/>
    <col min="11039" max="11039" width="16.77734375" style="70" customWidth="1"/>
    <col min="11040" max="11273" width="9" style="70"/>
    <col min="11274" max="11274" width="2" style="70" customWidth="1"/>
    <col min="11275" max="11275" width="23.21875" style="70" customWidth="1"/>
    <col min="11276" max="11287" width="10.77734375" style="70" customWidth="1"/>
    <col min="11288" max="11288" width="12.77734375" style="70" customWidth="1"/>
    <col min="11289" max="11289" width="12.21875" style="70" customWidth="1"/>
    <col min="11290" max="11294" width="10.77734375" style="70" customWidth="1"/>
    <col min="11295" max="11295" width="16.77734375" style="70" customWidth="1"/>
    <col min="11296" max="11529" width="9" style="70"/>
    <col min="11530" max="11530" width="2" style="70" customWidth="1"/>
    <col min="11531" max="11531" width="23.21875" style="70" customWidth="1"/>
    <col min="11532" max="11543" width="10.77734375" style="70" customWidth="1"/>
    <col min="11544" max="11544" width="12.77734375" style="70" customWidth="1"/>
    <col min="11545" max="11545" width="12.21875" style="70" customWidth="1"/>
    <col min="11546" max="11550" width="10.77734375" style="70" customWidth="1"/>
    <col min="11551" max="11551" width="16.77734375" style="70" customWidth="1"/>
    <col min="11552" max="11785" width="9" style="70"/>
    <col min="11786" max="11786" width="2" style="70" customWidth="1"/>
    <col min="11787" max="11787" width="23.21875" style="70" customWidth="1"/>
    <col min="11788" max="11799" width="10.77734375" style="70" customWidth="1"/>
    <col min="11800" max="11800" width="12.77734375" style="70" customWidth="1"/>
    <col min="11801" max="11801" width="12.21875" style="70" customWidth="1"/>
    <col min="11802" max="11806" width="10.77734375" style="70" customWidth="1"/>
    <col min="11807" max="11807" width="16.77734375" style="70" customWidth="1"/>
    <col min="11808" max="12041" width="9" style="70"/>
    <col min="12042" max="12042" width="2" style="70" customWidth="1"/>
    <col min="12043" max="12043" width="23.21875" style="70" customWidth="1"/>
    <col min="12044" max="12055" width="10.77734375" style="70" customWidth="1"/>
    <col min="12056" max="12056" width="12.77734375" style="70" customWidth="1"/>
    <col min="12057" max="12057" width="12.21875" style="70" customWidth="1"/>
    <col min="12058" max="12062" width="10.77734375" style="70" customWidth="1"/>
    <col min="12063" max="12063" width="16.77734375" style="70" customWidth="1"/>
    <col min="12064" max="12297" width="9" style="70"/>
    <col min="12298" max="12298" width="2" style="70" customWidth="1"/>
    <col min="12299" max="12299" width="23.21875" style="70" customWidth="1"/>
    <col min="12300" max="12311" width="10.77734375" style="70" customWidth="1"/>
    <col min="12312" max="12312" width="12.77734375" style="70" customWidth="1"/>
    <col min="12313" max="12313" width="12.21875" style="70" customWidth="1"/>
    <col min="12314" max="12318" width="10.77734375" style="70" customWidth="1"/>
    <col min="12319" max="12319" width="16.77734375" style="70" customWidth="1"/>
    <col min="12320" max="12553" width="9" style="70"/>
    <col min="12554" max="12554" width="2" style="70" customWidth="1"/>
    <col min="12555" max="12555" width="23.21875" style="70" customWidth="1"/>
    <col min="12556" max="12567" width="10.77734375" style="70" customWidth="1"/>
    <col min="12568" max="12568" width="12.77734375" style="70" customWidth="1"/>
    <col min="12569" max="12569" width="12.21875" style="70" customWidth="1"/>
    <col min="12570" max="12574" width="10.77734375" style="70" customWidth="1"/>
    <col min="12575" max="12575" width="16.77734375" style="70" customWidth="1"/>
    <col min="12576" max="12809" width="9" style="70"/>
    <col min="12810" max="12810" width="2" style="70" customWidth="1"/>
    <col min="12811" max="12811" width="23.21875" style="70" customWidth="1"/>
    <col min="12812" max="12823" width="10.77734375" style="70" customWidth="1"/>
    <col min="12824" max="12824" width="12.77734375" style="70" customWidth="1"/>
    <col min="12825" max="12825" width="12.21875" style="70" customWidth="1"/>
    <col min="12826" max="12830" width="10.77734375" style="70" customWidth="1"/>
    <col min="12831" max="12831" width="16.77734375" style="70" customWidth="1"/>
    <col min="12832" max="13065" width="9" style="70"/>
    <col min="13066" max="13066" width="2" style="70" customWidth="1"/>
    <col min="13067" max="13067" width="23.21875" style="70" customWidth="1"/>
    <col min="13068" max="13079" width="10.77734375" style="70" customWidth="1"/>
    <col min="13080" max="13080" width="12.77734375" style="70" customWidth="1"/>
    <col min="13081" max="13081" width="12.21875" style="70" customWidth="1"/>
    <col min="13082" max="13086" width="10.77734375" style="70" customWidth="1"/>
    <col min="13087" max="13087" width="16.77734375" style="70" customWidth="1"/>
    <col min="13088" max="13321" width="9" style="70"/>
    <col min="13322" max="13322" width="2" style="70" customWidth="1"/>
    <col min="13323" max="13323" width="23.21875" style="70" customWidth="1"/>
    <col min="13324" max="13335" width="10.77734375" style="70" customWidth="1"/>
    <col min="13336" max="13336" width="12.77734375" style="70" customWidth="1"/>
    <col min="13337" max="13337" width="12.21875" style="70" customWidth="1"/>
    <col min="13338" max="13342" width="10.77734375" style="70" customWidth="1"/>
    <col min="13343" max="13343" width="16.77734375" style="70" customWidth="1"/>
    <col min="13344" max="13577" width="9" style="70"/>
    <col min="13578" max="13578" width="2" style="70" customWidth="1"/>
    <col min="13579" max="13579" width="23.21875" style="70" customWidth="1"/>
    <col min="13580" max="13591" width="10.77734375" style="70" customWidth="1"/>
    <col min="13592" max="13592" width="12.77734375" style="70" customWidth="1"/>
    <col min="13593" max="13593" width="12.21875" style="70" customWidth="1"/>
    <col min="13594" max="13598" width="10.77734375" style="70" customWidth="1"/>
    <col min="13599" max="13599" width="16.77734375" style="70" customWidth="1"/>
    <col min="13600" max="13833" width="9" style="70"/>
    <col min="13834" max="13834" width="2" style="70" customWidth="1"/>
    <col min="13835" max="13835" width="23.21875" style="70" customWidth="1"/>
    <col min="13836" max="13847" width="10.77734375" style="70" customWidth="1"/>
    <col min="13848" max="13848" width="12.77734375" style="70" customWidth="1"/>
    <col min="13849" max="13849" width="12.21875" style="70" customWidth="1"/>
    <col min="13850" max="13854" width="10.77734375" style="70" customWidth="1"/>
    <col min="13855" max="13855" width="16.77734375" style="70" customWidth="1"/>
    <col min="13856" max="14089" width="9" style="70"/>
    <col min="14090" max="14090" width="2" style="70" customWidth="1"/>
    <col min="14091" max="14091" width="23.21875" style="70" customWidth="1"/>
    <col min="14092" max="14103" width="10.77734375" style="70" customWidth="1"/>
    <col min="14104" max="14104" width="12.77734375" style="70" customWidth="1"/>
    <col min="14105" max="14105" width="12.21875" style="70" customWidth="1"/>
    <col min="14106" max="14110" width="10.77734375" style="70" customWidth="1"/>
    <col min="14111" max="14111" width="16.77734375" style="70" customWidth="1"/>
    <col min="14112" max="14345" width="9" style="70"/>
    <col min="14346" max="14346" width="2" style="70" customWidth="1"/>
    <col min="14347" max="14347" width="23.21875" style="70" customWidth="1"/>
    <col min="14348" max="14359" width="10.77734375" style="70" customWidth="1"/>
    <col min="14360" max="14360" width="12.77734375" style="70" customWidth="1"/>
    <col min="14361" max="14361" width="12.21875" style="70" customWidth="1"/>
    <col min="14362" max="14366" width="10.77734375" style="70" customWidth="1"/>
    <col min="14367" max="14367" width="16.77734375" style="70" customWidth="1"/>
    <col min="14368" max="14601" width="9" style="70"/>
    <col min="14602" max="14602" width="2" style="70" customWidth="1"/>
    <col min="14603" max="14603" width="23.21875" style="70" customWidth="1"/>
    <col min="14604" max="14615" width="10.77734375" style="70" customWidth="1"/>
    <col min="14616" max="14616" width="12.77734375" style="70" customWidth="1"/>
    <col min="14617" max="14617" width="12.21875" style="70" customWidth="1"/>
    <col min="14618" max="14622" width="10.77734375" style="70" customWidth="1"/>
    <col min="14623" max="14623" width="16.77734375" style="70" customWidth="1"/>
    <col min="14624" max="14857" width="9" style="70"/>
    <col min="14858" max="14858" width="2" style="70" customWidth="1"/>
    <col min="14859" max="14859" width="23.21875" style="70" customWidth="1"/>
    <col min="14860" max="14871" width="10.77734375" style="70" customWidth="1"/>
    <col min="14872" max="14872" width="12.77734375" style="70" customWidth="1"/>
    <col min="14873" max="14873" width="12.21875" style="70" customWidth="1"/>
    <col min="14874" max="14878" width="10.77734375" style="70" customWidth="1"/>
    <col min="14879" max="14879" width="16.77734375" style="70" customWidth="1"/>
    <col min="14880" max="15113" width="9" style="70"/>
    <col min="15114" max="15114" width="2" style="70" customWidth="1"/>
    <col min="15115" max="15115" width="23.21875" style="70" customWidth="1"/>
    <col min="15116" max="15127" width="10.77734375" style="70" customWidth="1"/>
    <col min="15128" max="15128" width="12.77734375" style="70" customWidth="1"/>
    <col min="15129" max="15129" width="12.21875" style="70" customWidth="1"/>
    <col min="15130" max="15134" width="10.77734375" style="70" customWidth="1"/>
    <col min="15135" max="15135" width="16.77734375" style="70" customWidth="1"/>
    <col min="15136" max="15369" width="9" style="70"/>
    <col min="15370" max="15370" width="2" style="70" customWidth="1"/>
    <col min="15371" max="15371" width="23.21875" style="70" customWidth="1"/>
    <col min="15372" max="15383" width="10.77734375" style="70" customWidth="1"/>
    <col min="15384" max="15384" width="12.77734375" style="70" customWidth="1"/>
    <col min="15385" max="15385" width="12.21875" style="70" customWidth="1"/>
    <col min="15386" max="15390" width="10.77734375" style="70" customWidth="1"/>
    <col min="15391" max="15391" width="16.77734375" style="70" customWidth="1"/>
    <col min="15392" max="15625" width="9" style="70"/>
    <col min="15626" max="15626" width="2" style="70" customWidth="1"/>
    <col min="15627" max="15627" width="23.21875" style="70" customWidth="1"/>
    <col min="15628" max="15639" width="10.77734375" style="70" customWidth="1"/>
    <col min="15640" max="15640" width="12.77734375" style="70" customWidth="1"/>
    <col min="15641" max="15641" width="12.21875" style="70" customWidth="1"/>
    <col min="15642" max="15646" width="10.77734375" style="70" customWidth="1"/>
    <col min="15647" max="15647" width="16.77734375" style="70" customWidth="1"/>
    <col min="15648" max="15881" width="9" style="70"/>
    <col min="15882" max="15882" width="2" style="70" customWidth="1"/>
    <col min="15883" max="15883" width="23.21875" style="70" customWidth="1"/>
    <col min="15884" max="15895" width="10.77734375" style="70" customWidth="1"/>
    <col min="15896" max="15896" width="12.77734375" style="70" customWidth="1"/>
    <col min="15897" max="15897" width="12.21875" style="70" customWidth="1"/>
    <col min="15898" max="15902" width="10.77734375" style="70" customWidth="1"/>
    <col min="15903" max="15903" width="16.77734375" style="70" customWidth="1"/>
    <col min="15904" max="16137" width="9" style="70"/>
    <col min="16138" max="16138" width="2" style="70" customWidth="1"/>
    <col min="16139" max="16139" width="23.21875" style="70" customWidth="1"/>
    <col min="16140" max="16151" width="10.77734375" style="70" customWidth="1"/>
    <col min="16152" max="16152" width="12.77734375" style="70" customWidth="1"/>
    <col min="16153" max="16153" width="12.21875" style="70" customWidth="1"/>
    <col min="16154" max="16158" width="10.77734375" style="70" customWidth="1"/>
    <col min="16159" max="16159" width="16.77734375" style="70" customWidth="1"/>
    <col min="16160" max="16384" width="9" style="70"/>
  </cols>
  <sheetData>
    <row r="1" spans="1:32" ht="21" x14ac:dyDescent="0.4">
      <c r="A1" s="259" t="s">
        <v>140</v>
      </c>
    </row>
    <row r="2" spans="1:32" ht="21" x14ac:dyDescent="0.4">
      <c r="A2" s="376">
        <v>2023</v>
      </c>
    </row>
    <row r="3" spans="1:32" x14ac:dyDescent="0.3">
      <c r="C3" s="105"/>
    </row>
    <row r="4" spans="1:32" ht="18.75" customHeight="1" x14ac:dyDescent="0.3">
      <c r="B4" s="101" t="s">
        <v>141</v>
      </c>
      <c r="C4" s="101"/>
      <c r="D4" s="29"/>
      <c r="E4" s="29"/>
      <c r="F4" s="29"/>
      <c r="G4" s="29"/>
      <c r="H4" s="29"/>
      <c r="I4" s="29"/>
      <c r="J4" s="29"/>
      <c r="K4" s="29"/>
      <c r="L4" s="29"/>
      <c r="M4" s="29"/>
      <c r="N4" s="29"/>
      <c r="O4" s="29"/>
      <c r="P4" s="29"/>
      <c r="Q4" s="29"/>
      <c r="R4" s="29"/>
      <c r="S4" s="29"/>
      <c r="T4" s="29"/>
      <c r="U4" s="29"/>
      <c r="V4" s="29"/>
      <c r="W4" s="29"/>
      <c r="X4" s="29"/>
      <c r="Y4" s="29"/>
      <c r="Z4" s="29"/>
      <c r="AA4" s="29"/>
      <c r="AB4" s="29"/>
      <c r="AC4" s="29"/>
      <c r="AD4" s="29"/>
    </row>
    <row r="5" spans="1:32" s="29" customFormat="1" ht="13.8" x14ac:dyDescent="0.3">
      <c r="B5" s="106"/>
      <c r="C5" s="107"/>
      <c r="D5" s="107"/>
      <c r="E5" s="107"/>
      <c r="F5" s="107"/>
      <c r="G5" s="107"/>
      <c r="H5" s="107"/>
      <c r="J5" s="107"/>
      <c r="K5" s="107"/>
      <c r="L5" s="107"/>
      <c r="M5" s="107"/>
      <c r="N5" s="107"/>
      <c r="O5" s="108"/>
      <c r="P5" s="107"/>
      <c r="Q5" s="107"/>
      <c r="R5" s="109"/>
      <c r="S5" s="107"/>
      <c r="T5" s="107"/>
      <c r="U5" s="107"/>
      <c r="V5" s="107"/>
      <c r="W5" s="107"/>
      <c r="X5" s="107"/>
      <c r="Y5" s="107"/>
      <c r="Z5" s="107"/>
      <c r="AA5" s="107"/>
      <c r="AB5" s="107"/>
      <c r="AC5" s="107"/>
      <c r="AD5" s="107"/>
    </row>
    <row r="6" spans="1:32" ht="12.75" customHeight="1" x14ac:dyDescent="0.3">
      <c r="B6" s="1248"/>
      <c r="C6" s="1251" t="s">
        <v>90</v>
      </c>
      <c r="D6" s="1252"/>
      <c r="E6" s="1252"/>
      <c r="F6" s="1252"/>
      <c r="G6" s="1252"/>
      <c r="H6" s="1252"/>
      <c r="I6" s="1252"/>
      <c r="J6" s="1252"/>
      <c r="K6" s="1252"/>
      <c r="L6" s="1252"/>
      <c r="M6" s="1252"/>
      <c r="N6" s="1252"/>
      <c r="O6" s="1252"/>
      <c r="P6" s="1252"/>
      <c r="Q6" s="1252"/>
      <c r="R6" s="1252"/>
      <c r="S6" s="1252"/>
      <c r="T6" s="1252"/>
      <c r="U6" s="1252"/>
      <c r="V6" s="1252"/>
      <c r="W6" s="1252"/>
      <c r="X6" s="1252"/>
      <c r="Y6" s="1252"/>
      <c r="Z6" s="1252"/>
      <c r="AA6" s="1252"/>
      <c r="AB6" s="1252"/>
      <c r="AC6" s="1252"/>
      <c r="AD6" s="1252"/>
      <c r="AE6" s="1255" t="s">
        <v>91</v>
      </c>
    </row>
    <row r="7" spans="1:32" x14ac:dyDescent="0.3">
      <c r="B7" s="1249"/>
      <c r="C7" s="1245" t="s">
        <v>92</v>
      </c>
      <c r="D7" s="1246"/>
      <c r="E7" s="1246"/>
      <c r="F7" s="1246"/>
      <c r="G7" s="1246"/>
      <c r="H7" s="1247"/>
      <c r="I7" s="1245" t="s">
        <v>93</v>
      </c>
      <c r="J7" s="1246"/>
      <c r="K7" s="1246"/>
      <c r="L7" s="1246"/>
      <c r="M7" s="1246"/>
      <c r="N7" s="1246"/>
      <c r="O7" s="1247"/>
      <c r="P7" s="1245" t="s">
        <v>94</v>
      </c>
      <c r="Q7" s="1258"/>
      <c r="R7" s="1258"/>
      <c r="S7" s="1258"/>
      <c r="T7" s="1258"/>
      <c r="U7" s="1258"/>
      <c r="V7" s="1259"/>
      <c r="W7" s="1245" t="s">
        <v>52</v>
      </c>
      <c r="X7" s="1246"/>
      <c r="Y7" s="1246"/>
      <c r="Z7" s="1246"/>
      <c r="AA7" s="1253" t="s">
        <v>142</v>
      </c>
      <c r="AB7" s="1253" t="s">
        <v>143</v>
      </c>
      <c r="AC7" s="1253" t="s">
        <v>144</v>
      </c>
      <c r="AD7" s="1253" t="s">
        <v>145</v>
      </c>
      <c r="AE7" s="1256"/>
    </row>
    <row r="8" spans="1:32" s="103" customFormat="1" ht="39.75" customHeight="1" x14ac:dyDescent="0.3">
      <c r="B8" s="1250"/>
      <c r="C8" s="809" t="s">
        <v>30</v>
      </c>
      <c r="D8" s="809" t="s">
        <v>29</v>
      </c>
      <c r="E8" s="809" t="s">
        <v>32</v>
      </c>
      <c r="F8" s="809" t="s">
        <v>33</v>
      </c>
      <c r="G8" s="809" t="s">
        <v>95</v>
      </c>
      <c r="H8" s="809" t="s">
        <v>96</v>
      </c>
      <c r="I8" s="808" t="s">
        <v>30</v>
      </c>
      <c r="J8" s="808" t="s">
        <v>146</v>
      </c>
      <c r="K8" s="808" t="s">
        <v>29</v>
      </c>
      <c r="L8" s="808" t="s">
        <v>32</v>
      </c>
      <c r="M8" s="808" t="s">
        <v>33</v>
      </c>
      <c r="N8" s="810" t="s">
        <v>95</v>
      </c>
      <c r="O8" s="808" t="s">
        <v>96</v>
      </c>
      <c r="P8" s="808" t="s">
        <v>50</v>
      </c>
      <c r="Q8" s="808" t="s">
        <v>51</v>
      </c>
      <c r="R8" s="808" t="s">
        <v>147</v>
      </c>
      <c r="S8" s="808" t="s">
        <v>148</v>
      </c>
      <c r="T8" s="808" t="s">
        <v>149</v>
      </c>
      <c r="U8" s="808" t="s">
        <v>150</v>
      </c>
      <c r="V8" s="808" t="s">
        <v>96</v>
      </c>
      <c r="W8" s="828" t="s">
        <v>151</v>
      </c>
      <c r="X8" s="808" t="s">
        <v>152</v>
      </c>
      <c r="Y8" s="808" t="s">
        <v>153</v>
      </c>
      <c r="Z8" s="808" t="s">
        <v>96</v>
      </c>
      <c r="AA8" s="1254"/>
      <c r="AB8" s="1254"/>
      <c r="AC8" s="1254"/>
      <c r="AD8" s="1254"/>
      <c r="AE8" s="1257"/>
      <c r="AF8" s="470"/>
    </row>
    <row r="9" spans="1:32" x14ac:dyDescent="0.3">
      <c r="B9" s="829" t="s">
        <v>102</v>
      </c>
      <c r="C9" s="812">
        <v>2023</v>
      </c>
      <c r="D9" s="812">
        <v>2023</v>
      </c>
      <c r="E9" s="812">
        <v>2023</v>
      </c>
      <c r="F9" s="812">
        <v>2023</v>
      </c>
      <c r="G9" s="812">
        <v>2023</v>
      </c>
      <c r="H9" s="830"/>
      <c r="I9" s="812">
        <v>2023</v>
      </c>
      <c r="J9" s="812">
        <v>2023</v>
      </c>
      <c r="K9" s="812">
        <v>2023</v>
      </c>
      <c r="L9" s="812">
        <v>2023</v>
      </c>
      <c r="M9" s="812">
        <v>2023</v>
      </c>
      <c r="N9" s="812">
        <v>2023</v>
      </c>
      <c r="O9" s="830"/>
      <c r="P9" s="812">
        <v>2023</v>
      </c>
      <c r="Q9" s="812">
        <v>2023</v>
      </c>
      <c r="R9" s="812">
        <v>2023</v>
      </c>
      <c r="S9" s="812">
        <v>2023</v>
      </c>
      <c r="T9" s="812">
        <v>2023</v>
      </c>
      <c r="U9" s="812">
        <v>2023</v>
      </c>
      <c r="V9" s="830"/>
      <c r="W9" s="812" t="s">
        <v>154</v>
      </c>
      <c r="X9" s="812" t="s">
        <v>154</v>
      </c>
      <c r="Y9" s="812">
        <v>2023</v>
      </c>
      <c r="Z9" s="831"/>
      <c r="AA9" s="812">
        <v>2023</v>
      </c>
      <c r="AB9" s="812">
        <v>2022</v>
      </c>
      <c r="AC9" s="812">
        <v>2023</v>
      </c>
      <c r="AD9" s="812">
        <v>2023</v>
      </c>
      <c r="AE9" s="831" t="str">
        <f>RIGHT($C$4,4)</f>
        <v/>
      </c>
    </row>
    <row r="10" spans="1:32" x14ac:dyDescent="0.3">
      <c r="B10" s="814" t="s">
        <v>103</v>
      </c>
      <c r="C10" s="832">
        <f>'Borough kWh'!C10*(EF_GHG_ElectGen+EF_GHG_ElectTD)/1000000</f>
        <v>47.547246930348074</v>
      </c>
      <c r="D10" s="61">
        <f>'Borough kWh'!D10*EF_GHG_NatGas_DCI/1000000</f>
        <v>119.18018969522474</v>
      </c>
      <c r="E10" s="61">
        <f>'Borough kWh'!E10*EF_GHG_Coal_DCI/1000000</f>
        <v>3.9152817441415455</v>
      </c>
      <c r="F10" s="61">
        <f>'Borough kWh'!F10*EF_GHG_GasOil/1000000</f>
        <v>0.65420045600221</v>
      </c>
      <c r="G10" s="61">
        <f>'Borough kWh'!G10*EF_GHG_W_R_IC/1000000</f>
        <v>4.1547867783487611</v>
      </c>
      <c r="H10" s="817">
        <f>SUM(C10:G10)</f>
        <v>175.4517056040653</v>
      </c>
      <c r="I10" s="61">
        <f>'Borough kWh'!I10*(EF_GHG_ElectGen+EF_GHG_ElectTD)/1000000</f>
        <v>62.968493311669491</v>
      </c>
      <c r="J10" s="61">
        <f>'Borough kWh'!J10*(EF_GHG_ElectGen+EF_GHG_ElectTD)/1000000</f>
        <v>51.162156029175407</v>
      </c>
      <c r="K10" s="61">
        <f>'Borough kWh'!K10*EF_GHG_NatGas_DCI/1000000</f>
        <v>41.659224809714374</v>
      </c>
      <c r="L10" s="61">
        <f>'Borough kWh'!L10*EF_GHG_Coal_DCI/1000000</f>
        <v>1.0076706826002939</v>
      </c>
      <c r="M10" s="641">
        <f>'Borough kWh'!M10*EF_GHG_GasOil/1000000</f>
        <v>44.018182022224792</v>
      </c>
      <c r="N10" s="641">
        <f>'Borough kWh'!N10*EF_GHG_W_R_IC/1000000</f>
        <v>1.2964782454597303</v>
      </c>
      <c r="O10" s="817">
        <f>SUM(J10:N10)</f>
        <v>139.1437117891746</v>
      </c>
      <c r="P10" s="641">
        <f>'II. Transport '!G9/1000-Y10</f>
        <v>0</v>
      </c>
      <c r="Q10" s="641">
        <f>'II. Transport '!H9/1000</f>
        <v>2.592149193792098</v>
      </c>
      <c r="R10" s="641">
        <f>'II. Transport '!E9/1000</f>
        <v>2.6371667022599241</v>
      </c>
      <c r="S10" s="641">
        <f>'II. Transport '!F9/1000</f>
        <v>9.4293396640137974</v>
      </c>
      <c r="T10" s="641">
        <f>'II. Transport '!O227/1000</f>
        <v>142.71902354076602</v>
      </c>
      <c r="U10" s="642">
        <f>'II. Transport '!AA227/1000</f>
        <v>2.3769976184802775</v>
      </c>
      <c r="V10" s="833">
        <f>SUM(P10:U10)</f>
        <v>159.75467671931213</v>
      </c>
      <c r="W10" s="641">
        <f>'II. Transport '!T9/1000</f>
        <v>0.64300977585032726</v>
      </c>
      <c r="X10" s="641">
        <f>'II. Transport '!U9/1000</f>
        <v>1.9980312041142001</v>
      </c>
      <c r="Y10" s="692">
        <f>('II. Transport '!F95+'II. Transport '!G95+'II. Transport '!K95+'II. Transport '!L95)/1000</f>
        <v>0</v>
      </c>
      <c r="Z10" s="834">
        <f>SUM(W10:Y10)</f>
        <v>2.6410409799645276</v>
      </c>
      <c r="AA10" s="835"/>
      <c r="AB10" s="836"/>
      <c r="AC10" s="836"/>
      <c r="AD10" s="836"/>
      <c r="AE10" s="837">
        <f>H10+O10+V10+Z10+AC10</f>
        <v>476.99113509251657</v>
      </c>
      <c r="AF10" s="121"/>
    </row>
    <row r="11" spans="1:32" x14ac:dyDescent="0.3">
      <c r="B11" s="814" t="s">
        <v>104</v>
      </c>
      <c r="C11" s="832">
        <f>'Borough kWh'!C11*(EF_GHG_ElectGen+EF_GHG_ElectTD)/1000000</f>
        <v>114.6454476267288</v>
      </c>
      <c r="D11" s="61">
        <f>'Borough kWh'!D11*EF_GHG_NatGas_DCI/1000000</f>
        <v>336.19932145003787</v>
      </c>
      <c r="E11" s="61">
        <f>'Borough kWh'!E11*EF_GHG_Coal_DCI/1000000</f>
        <v>2.9969535873294944</v>
      </c>
      <c r="F11" s="61">
        <f>'Borough kWh'!F11*EF_GHG_GasOil/1000000</f>
        <v>2.1483126371611676</v>
      </c>
      <c r="G11" s="61">
        <f>'Borough kWh'!G11*EF_GHG_W_R_IC/1000000</f>
        <v>5.3892102798209649</v>
      </c>
      <c r="H11" s="817">
        <f t="shared" ref="H11:H42" si="0">SUM(C11:G11)</f>
        <v>461.37924558107829</v>
      </c>
      <c r="I11" s="61">
        <f>'Borough kWh'!I11*(EF_GHG_ElectGen+EF_GHG_ElectTD)/1000000</f>
        <v>89.191468244090828</v>
      </c>
      <c r="J11" s="61">
        <f>'Borough kWh'!J11*(EF_GHG_ElectGen+EF_GHG_ElectTD)/1000000</f>
        <v>63.721778227867745</v>
      </c>
      <c r="K11" s="61">
        <f>'Borough kWh'!K11*EF_GHG_NatGas_DCI/1000000</f>
        <v>87.908175430389875</v>
      </c>
      <c r="L11" s="61">
        <f>'Borough kWh'!L11*EF_GHG_Coal_DCI/1000000</f>
        <v>2.2035781687477147</v>
      </c>
      <c r="M11" s="641">
        <f>'Borough kWh'!M11*EF_GHG_GasOil/1000000</f>
        <v>85.002291770042447</v>
      </c>
      <c r="N11" s="641">
        <f>'Borough kWh'!N11*EF_GHG_W_R_IC/1000000</f>
        <v>2.2797130763158537</v>
      </c>
      <c r="O11" s="817">
        <f t="shared" ref="O11:O42" si="1">SUM(J11:N11)</f>
        <v>241.11553667336366</v>
      </c>
      <c r="P11" s="641">
        <f>'II. Transport '!G10/1000-Y11</f>
        <v>0.11619416904860767</v>
      </c>
      <c r="Q11" s="641">
        <f>'II. Transport '!H10/1000</f>
        <v>0</v>
      </c>
      <c r="R11" s="641">
        <f>'II. Transport '!E10/1000</f>
        <v>10.081621020127052</v>
      </c>
      <c r="S11" s="641">
        <f>'II. Transport '!F10/1000</f>
        <v>20.000265491068653</v>
      </c>
      <c r="T11" s="641">
        <f>'II. Transport '!O228/1000</f>
        <v>336.27297245214902</v>
      </c>
      <c r="U11" s="642">
        <f>'II. Transport '!AA228/1000</f>
        <v>5.4694245251544213</v>
      </c>
      <c r="V11" s="833">
        <f t="shared" ref="V11:V42" si="2">SUM(P11:U11)</f>
        <v>371.94047765754772</v>
      </c>
      <c r="W11" s="641">
        <f>'II. Transport '!T10/1000</f>
        <v>0.50874661900221885</v>
      </c>
      <c r="X11" s="641">
        <f>'II. Transport '!U10/1000</f>
        <v>13.866050686884527</v>
      </c>
      <c r="Y11" s="692">
        <f>('II. Transport '!F96+'II. Transport '!G96+'II. Transport '!K96+'II. Transport '!L96)/1000</f>
        <v>0</v>
      </c>
      <c r="Z11" s="833">
        <f t="shared" ref="Z11:Z42" si="3">(SUM(W11:Y11))</f>
        <v>14.374797305886746</v>
      </c>
      <c r="AA11" s="835"/>
      <c r="AB11" s="835"/>
      <c r="AC11" s="835"/>
      <c r="AD11" s="835"/>
      <c r="AE11" s="837">
        <f t="shared" ref="AE11:AE42" si="4">H11+O11+V11+Z11+AC11</f>
        <v>1088.8100572178764</v>
      </c>
      <c r="AF11" s="121"/>
    </row>
    <row r="12" spans="1:32" x14ac:dyDescent="0.3">
      <c r="B12" s="814" t="s">
        <v>105</v>
      </c>
      <c r="C12" s="832">
        <f>'Borough kWh'!C12*(EF_GHG_ElectGen+EF_GHG_ElectTD)/1000000</f>
        <v>65.772431138217584</v>
      </c>
      <c r="D12" s="61">
        <f>'Borough kWh'!D12*EF_GHG_NatGas_DCI/1000000</f>
        <v>185.02712198808999</v>
      </c>
      <c r="E12" s="61">
        <f>'Borough kWh'!E12*EF_GHG_Coal_DCI/1000000</f>
        <v>3.6044927709882675</v>
      </c>
      <c r="F12" s="61">
        <f>'Borough kWh'!F12*EF_GHG_GasOil/1000000</f>
        <v>1.5144273581828154</v>
      </c>
      <c r="G12" s="61">
        <f>'Borough kWh'!G12*EF_GHG_W_R_IC/1000000</f>
        <v>5.2297778235056951</v>
      </c>
      <c r="H12" s="817">
        <f t="shared" si="0"/>
        <v>261.14825107898434</v>
      </c>
      <c r="I12" s="61">
        <f>'Borough kWh'!I12*(EF_GHG_ElectGen+EF_GHG_ElectTD)/1000000</f>
        <v>77.6734062451537</v>
      </c>
      <c r="J12" s="61">
        <f>'Borough kWh'!J12*(EF_GHG_ElectGen+EF_GHG_ElectTD)/1000000</f>
        <v>67.338823405753928</v>
      </c>
      <c r="K12" s="61">
        <f>'Borough kWh'!K12*EF_GHG_NatGas_DCI/1000000</f>
        <v>121.36112289088555</v>
      </c>
      <c r="L12" s="61">
        <f>'Borough kWh'!L12*EF_GHG_Coal_DCI/1000000</f>
        <v>2.114865718579682</v>
      </c>
      <c r="M12" s="641">
        <f>'Borough kWh'!M12*EF_GHG_GasOil/1000000</f>
        <v>27.784675430273722</v>
      </c>
      <c r="N12" s="641">
        <f>'Borough kWh'!N12*EF_GHG_W_R_IC/1000000</f>
        <v>5.3663222597233391</v>
      </c>
      <c r="O12" s="817">
        <f t="shared" si="1"/>
        <v>223.96580970521626</v>
      </c>
      <c r="P12" s="641">
        <f>'II. Transport '!G11/1000-Y12</f>
        <v>5.7374734628047097</v>
      </c>
      <c r="Q12" s="641">
        <f>'II. Transport '!H11/1000</f>
        <v>1.1875295164333368</v>
      </c>
      <c r="R12" s="641">
        <f>'II. Transport '!E11/1000</f>
        <v>1.2089515582460995</v>
      </c>
      <c r="S12" s="641">
        <f>'II. Transport '!F11/1000</f>
        <v>7.2123792886928397</v>
      </c>
      <c r="T12" s="641">
        <f>'II. Transport '!O229/1000</f>
        <v>194.69885440273001</v>
      </c>
      <c r="U12" s="642">
        <f>'II. Transport '!AA229/1000</f>
        <v>3.1222035507069412</v>
      </c>
      <c r="V12" s="833">
        <f t="shared" si="2"/>
        <v>213.16739177961392</v>
      </c>
      <c r="W12" s="641">
        <f>'II. Transport '!T11/1000</f>
        <v>0.48912058971466249</v>
      </c>
      <c r="X12" s="641">
        <f>'II. Transport '!U11/1000</f>
        <v>3.4807462524882267</v>
      </c>
      <c r="Y12" s="692">
        <f>('II. Transport '!F97+'II. Transport '!G97+'II. Transport '!K97+'II. Transport '!L97)/1000</f>
        <v>0</v>
      </c>
      <c r="Z12" s="833">
        <f t="shared" si="3"/>
        <v>3.9698668422028893</v>
      </c>
      <c r="AA12" s="835"/>
      <c r="AB12" s="835"/>
      <c r="AC12" s="835"/>
      <c r="AD12" s="835"/>
      <c r="AE12" s="837">
        <f t="shared" si="4"/>
        <v>702.2513194060175</v>
      </c>
      <c r="AF12" s="121"/>
    </row>
    <row r="13" spans="1:32" x14ac:dyDescent="0.3">
      <c r="B13" s="814" t="s">
        <v>106</v>
      </c>
      <c r="C13" s="832">
        <f>'Borough kWh'!C13*(EF_GHG_ElectGen+EF_GHG_ElectTD)/1000000</f>
        <v>78.762467558305943</v>
      </c>
      <c r="D13" s="61">
        <f>'Borough kWh'!D13*EF_GHG_NatGas_DCI/1000000</f>
        <v>237.83451262629083</v>
      </c>
      <c r="E13" s="61">
        <f>'Borough kWh'!E13*EF_GHG_Coal_DCI/1000000</f>
        <v>3.1187493636843207</v>
      </c>
      <c r="F13" s="61">
        <f>'Borough kWh'!F13*EF_GHG_GasOil/1000000</f>
        <v>1.2525882836499607</v>
      </c>
      <c r="G13" s="61">
        <f>'Borough kWh'!G13*EF_GHG_W_R_IC/1000000</f>
        <v>3.9971025685827613</v>
      </c>
      <c r="H13" s="817">
        <f t="shared" si="0"/>
        <v>324.96542040051384</v>
      </c>
      <c r="I13" s="61">
        <f>'Borough kWh'!I13*(EF_GHG_ElectGen+EF_GHG_ElectTD)/1000000</f>
        <v>140.33207028521852</v>
      </c>
      <c r="J13" s="61">
        <f>'Borough kWh'!J13*(EF_GHG_ElectGen+EF_GHG_ElectTD)/1000000</f>
        <v>114.77823109129385</v>
      </c>
      <c r="K13" s="61">
        <f>'Borough kWh'!K13*EF_GHG_NatGas_DCI/1000000</f>
        <v>100.35764971926407</v>
      </c>
      <c r="L13" s="61">
        <f>'Borough kWh'!L13*EF_GHG_Coal_DCI/1000000</f>
        <v>2.6178258440568558</v>
      </c>
      <c r="M13" s="641">
        <f>'Borough kWh'!M13*EF_GHG_GasOil/1000000</f>
        <v>46.605225137352086</v>
      </c>
      <c r="N13" s="641">
        <f>'Borough kWh'!N13*EF_GHG_W_R_IC/1000000</f>
        <v>3.6114777170610979</v>
      </c>
      <c r="O13" s="817">
        <f t="shared" si="1"/>
        <v>267.970409509028</v>
      </c>
      <c r="P13" s="641">
        <f>'II. Transport '!G12/1000-Y13</f>
        <v>0.19534923452218608</v>
      </c>
      <c r="Q13" s="641">
        <f>'II. Transport '!H12/1000</f>
        <v>0</v>
      </c>
      <c r="R13" s="641">
        <f>'II. Transport '!E12/1000</f>
        <v>12.104215523167873</v>
      </c>
      <c r="S13" s="641">
        <f>'II. Transport '!F12/1000</f>
        <v>21.889100449951691</v>
      </c>
      <c r="T13" s="641">
        <f>'II. Transport '!O230/1000</f>
        <v>216.30287602840696</v>
      </c>
      <c r="U13" s="642">
        <f>'II. Transport '!AA230/1000</f>
        <v>3.6647387439729666</v>
      </c>
      <c r="V13" s="833">
        <f t="shared" si="2"/>
        <v>254.15627998002168</v>
      </c>
      <c r="W13" s="641">
        <f>'II. Transport '!T12/1000</f>
        <v>0.99829726620744264</v>
      </c>
      <c r="X13" s="641">
        <f>'II. Transport '!U12/1000</f>
        <v>13.208565368765999</v>
      </c>
      <c r="Y13" s="692">
        <f>('II. Transport '!F98+'II. Transport '!G98+'II. Transport '!K98+'II. Transport '!L98)/1000</f>
        <v>0</v>
      </c>
      <c r="Z13" s="833">
        <f t="shared" si="3"/>
        <v>14.206862634973442</v>
      </c>
      <c r="AA13" s="835"/>
      <c r="AB13" s="835"/>
      <c r="AC13" s="835"/>
      <c r="AD13" s="835"/>
      <c r="AE13" s="837">
        <f t="shared" si="4"/>
        <v>861.29897252453691</v>
      </c>
      <c r="AF13" s="121"/>
    </row>
    <row r="14" spans="1:32" x14ac:dyDescent="0.3">
      <c r="B14" s="814" t="s">
        <v>107</v>
      </c>
      <c r="C14" s="832">
        <f>'Borough kWh'!C14*(EF_GHG_ElectGen+EF_GHG_ElectTD)/1000000</f>
        <v>96.345395934984197</v>
      </c>
      <c r="D14" s="61">
        <f>'Borough kWh'!D14*EF_GHG_NatGas_DCI/1000000</f>
        <v>307.32998199264921</v>
      </c>
      <c r="E14" s="61">
        <f>'Borough kWh'!E14*EF_GHG_Coal_DCI/1000000</f>
        <v>2.9674663890441333</v>
      </c>
      <c r="F14" s="61">
        <f>'Borough kWh'!F14*EF_GHG_GasOil/1000000</f>
        <v>3.3150525914144806</v>
      </c>
      <c r="G14" s="61">
        <f>'Borough kWh'!G14*EF_GHG_W_R_IC/1000000</f>
        <v>6.1316881148816149</v>
      </c>
      <c r="H14" s="817">
        <f t="shared" si="0"/>
        <v>416.08958502297367</v>
      </c>
      <c r="I14" s="61">
        <f>'Borough kWh'!I14*(EF_GHG_ElectGen+EF_GHG_ElectTD)/1000000</f>
        <v>70.01993598588426</v>
      </c>
      <c r="J14" s="61">
        <f>'Borough kWh'!J14*(EF_GHG_ElectGen+EF_GHG_ElectTD)/1000000</f>
        <v>50.876337687719904</v>
      </c>
      <c r="K14" s="61">
        <f>'Borough kWh'!K14*EF_GHG_NatGas_DCI/1000000</f>
        <v>53.729172817966379</v>
      </c>
      <c r="L14" s="61">
        <f>'Borough kWh'!L14*EF_GHG_Coal_DCI/1000000</f>
        <v>1.1694734553452819</v>
      </c>
      <c r="M14" s="641">
        <f>'Borough kWh'!M14*EF_GHG_GasOil/1000000</f>
        <v>31.958403313180913</v>
      </c>
      <c r="N14" s="641">
        <f>'Borough kWh'!N14*EF_GHG_W_R_IC/1000000</f>
        <v>1.2884276354592648</v>
      </c>
      <c r="O14" s="817">
        <f t="shared" si="1"/>
        <v>139.02181490967175</v>
      </c>
      <c r="P14" s="641">
        <f>'II. Transport '!G13/1000-Y14</f>
        <v>5.6540628824635926</v>
      </c>
      <c r="Q14" s="641">
        <f>'II. Transport '!H13/1000</f>
        <v>0</v>
      </c>
      <c r="R14" s="641">
        <f>'II. Transport '!E13/1000</f>
        <v>1.4792362599245421</v>
      </c>
      <c r="S14" s="641">
        <f>'II. Transport '!F13/1000</f>
        <v>14.787915039605403</v>
      </c>
      <c r="T14" s="641">
        <f>'II. Transport '!O231/1000</f>
        <v>272.16389304238402</v>
      </c>
      <c r="U14" s="642">
        <f>'II. Transport '!AA231/1000</f>
        <v>4.35568325855896</v>
      </c>
      <c r="V14" s="833">
        <f t="shared" si="2"/>
        <v>298.44079048293651</v>
      </c>
      <c r="W14" s="641">
        <f>'II. Transport '!T13/1000</f>
        <v>0.30421171495622856</v>
      </c>
      <c r="X14" s="641">
        <f>'II. Transport '!U13/1000</f>
        <v>2.4699008920736309</v>
      </c>
      <c r="Y14" s="692">
        <f>('II. Transport '!F99+'II. Transport '!G99+'II. Transport '!K99+'II. Transport '!L99)/1000</f>
        <v>0</v>
      </c>
      <c r="Z14" s="833">
        <f t="shared" si="3"/>
        <v>2.7741126070298594</v>
      </c>
      <c r="AA14" s="835"/>
      <c r="AB14" s="835"/>
      <c r="AC14" s="835"/>
      <c r="AD14" s="835"/>
      <c r="AE14" s="837">
        <f t="shared" si="4"/>
        <v>856.3263030226118</v>
      </c>
      <c r="AF14" s="121"/>
    </row>
    <row r="15" spans="1:32" x14ac:dyDescent="0.3">
      <c r="B15" s="814" t="s">
        <v>108</v>
      </c>
      <c r="C15" s="832">
        <f>'Borough kWh'!C15*(EF_GHG_ElectGen+EF_GHG_ElectTD)/1000000</f>
        <v>62.140177066698307</v>
      </c>
      <c r="D15" s="61">
        <f>'Borough kWh'!D15*EF_GHG_NatGas_DCI/1000000</f>
        <v>146.25303957906317</v>
      </c>
      <c r="E15" s="61">
        <f>'Borough kWh'!E15*EF_GHG_Coal_DCI/1000000</f>
        <v>0.74410095946929333</v>
      </c>
      <c r="F15" s="61">
        <f>'Borough kWh'!F15*EF_GHG_GasOil/1000000</f>
        <v>2.0886563511261818</v>
      </c>
      <c r="G15" s="61">
        <f>'Borough kWh'!G15*EF_GHG_W_R_IC/1000000</f>
        <v>0.84208715322485039</v>
      </c>
      <c r="H15" s="817">
        <f t="shared" si="0"/>
        <v>212.06806110958181</v>
      </c>
      <c r="I15" s="61">
        <f>'Borough kWh'!I15*(EF_GHG_ElectGen+EF_GHG_ElectTD)/1000000</f>
        <v>225.13549789960948</v>
      </c>
      <c r="J15" s="61">
        <f>'Borough kWh'!J15*(EF_GHG_ElectGen+EF_GHG_ElectTD)/1000000</f>
        <v>198.35069965495603</v>
      </c>
      <c r="K15" s="61">
        <f>'Borough kWh'!K15*EF_GHG_NatGas_DCI/1000000</f>
        <v>236.4500420434594</v>
      </c>
      <c r="L15" s="61">
        <f>'Borough kWh'!L15*EF_GHG_Coal_DCI/1000000</f>
        <v>2.2389760981929254</v>
      </c>
      <c r="M15" s="641">
        <f>'Borough kWh'!M15*EF_GHG_GasOil/1000000</f>
        <v>160.74192035244255</v>
      </c>
      <c r="N15" s="641">
        <f>'Borough kWh'!N15*EF_GHG_W_R_IC/1000000</f>
        <v>1.5789905935073822</v>
      </c>
      <c r="O15" s="817">
        <f t="shared" si="1"/>
        <v>599.36062874255822</v>
      </c>
      <c r="P15" s="641">
        <f>'II. Transport '!G14/1000-Y15</f>
        <v>0</v>
      </c>
      <c r="Q15" s="641">
        <f>'II. Transport '!H14/1000</f>
        <v>0</v>
      </c>
      <c r="R15" s="641">
        <f>'II. Transport '!E14/1000</f>
        <v>12.062941550882641</v>
      </c>
      <c r="S15" s="641">
        <f>'II. Transport '!F14/1000</f>
        <v>23.892356650157133</v>
      </c>
      <c r="T15" s="641">
        <f>'II. Transport '!O232/1000</f>
        <v>121.66650088617901</v>
      </c>
      <c r="U15" s="642">
        <f>'II. Transport '!AA232/1000</f>
        <v>2.892441594496304</v>
      </c>
      <c r="V15" s="833">
        <f t="shared" si="2"/>
        <v>160.51424068171508</v>
      </c>
      <c r="W15" s="641">
        <f>'II. Transport '!T14/1000</f>
        <v>1.2431013331327376</v>
      </c>
      <c r="X15" s="641">
        <f>'II. Transport '!U14/1000</f>
        <v>66.101336475861089</v>
      </c>
      <c r="Y15" s="692">
        <f>('II. Transport '!F100+'II. Transport '!G100+'II. Transport '!K100+'II. Transport '!L100)/1000</f>
        <v>0</v>
      </c>
      <c r="Z15" s="833">
        <f t="shared" si="3"/>
        <v>67.344437808993831</v>
      </c>
      <c r="AA15" s="835"/>
      <c r="AB15" s="835"/>
      <c r="AC15" s="835"/>
      <c r="AD15" s="835"/>
      <c r="AE15" s="837">
        <f t="shared" si="4"/>
        <v>1039.287368342849</v>
      </c>
      <c r="AF15" s="121"/>
    </row>
    <row r="16" spans="1:32" x14ac:dyDescent="0.3">
      <c r="B16" s="814" t="s">
        <v>109</v>
      </c>
      <c r="C16" s="832">
        <f>'Borough kWh'!C16*(EF_GHG_ElectGen+EF_GHG_ElectTD)/1000000</f>
        <v>5.0017539752977225</v>
      </c>
      <c r="D16" s="61">
        <f>'Borough kWh'!D16*EF_GHG_NatGas_DCI/1000000</f>
        <v>4.4080290116192211</v>
      </c>
      <c r="E16" s="61">
        <f>'Borough kWh'!E16*EF_GHG_Coal_DCI/1000000</f>
        <v>1.2300273948642715E-2</v>
      </c>
      <c r="F16" s="61">
        <f>'Borough kWh'!F16*EF_GHG_GasOil/1000000</f>
        <v>7.5181695259569706E-2</v>
      </c>
      <c r="G16" s="61">
        <f>'Borough kWh'!G16*EF_GHG_W_R_IC/1000000</f>
        <v>1.1270237670419347E-2</v>
      </c>
      <c r="H16" s="817">
        <f t="shared" si="0"/>
        <v>9.5085351937955771</v>
      </c>
      <c r="I16" s="61">
        <f>'Borough kWh'!I16*(EF_GHG_ElectGen+EF_GHG_ElectTD)/1000000</f>
        <v>307.67059292521685</v>
      </c>
      <c r="J16" s="61">
        <f>'Borough kWh'!J16*(EF_GHG_ElectGen+EF_GHG_ElectTD)/1000000</f>
        <v>298.5572009083898</v>
      </c>
      <c r="K16" s="61">
        <f>'Borough kWh'!K16*EF_GHG_NatGas_DCI/1000000</f>
        <v>119.82193077445115</v>
      </c>
      <c r="L16" s="61">
        <f>'Borough kWh'!L16*EF_GHG_Coal_DCI/1000000</f>
        <v>1.3447172539344809</v>
      </c>
      <c r="M16" s="641">
        <f>'Borough kWh'!M16*EF_GHG_GasOil/1000000</f>
        <v>39.303278236483173</v>
      </c>
      <c r="N16" s="641">
        <f>'Borough kWh'!N16*EF_GHG_W_R_IC/1000000</f>
        <v>0.88650282429688421</v>
      </c>
      <c r="O16" s="817">
        <f t="shared" si="1"/>
        <v>459.91362999755546</v>
      </c>
      <c r="P16" s="641">
        <f>'II. Transport '!G15/1000-Y16</f>
        <v>0.20351952697302286</v>
      </c>
      <c r="Q16" s="641">
        <f>'II. Transport '!H15/1000</f>
        <v>10.333671105849122</v>
      </c>
      <c r="R16" s="641">
        <f>'II. Transport '!E15/1000</f>
        <v>8.424771392746019E-3</v>
      </c>
      <c r="S16" s="641">
        <f>'II. Transport '!F15/1000</f>
        <v>7.8206749534721265</v>
      </c>
      <c r="T16" s="641">
        <f>'II. Transport '!O233/1000</f>
        <v>39.488596723722999</v>
      </c>
      <c r="U16" s="642">
        <f>'II. Transport '!AA233/1000</f>
        <v>1.2927170633549334</v>
      </c>
      <c r="V16" s="833">
        <f t="shared" si="2"/>
        <v>59.147604144764955</v>
      </c>
      <c r="W16" s="641">
        <f>'II. Transport '!T15/1000</f>
        <v>0.66633497693379795</v>
      </c>
      <c r="X16" s="641">
        <f>'II. Transport '!U15/1000</f>
        <v>2.0789932219872824</v>
      </c>
      <c r="Y16" s="692">
        <f>('II. Transport '!F101+'II. Transport '!G101+'II. Transport '!K101+'II. Transport '!L101)/1000</f>
        <v>0</v>
      </c>
      <c r="Z16" s="833">
        <f t="shared" si="3"/>
        <v>2.7453281989210803</v>
      </c>
      <c r="AA16" s="835"/>
      <c r="AB16" s="835"/>
      <c r="AC16" s="835"/>
      <c r="AD16" s="835"/>
      <c r="AE16" s="837">
        <f t="shared" si="4"/>
        <v>531.31509753503713</v>
      </c>
      <c r="AF16" s="121"/>
    </row>
    <row r="17" spans="2:32" x14ac:dyDescent="0.3">
      <c r="B17" s="814" t="s">
        <v>110</v>
      </c>
      <c r="C17" s="832">
        <f>'Borough kWh'!C17*(EF_GHG_ElectGen+EF_GHG_ElectTD)/1000000</f>
        <v>105.60140431889329</v>
      </c>
      <c r="D17" s="61">
        <f>'Borough kWh'!D17*EF_GHG_NatGas_DCI/1000000</f>
        <v>316.00371796883326</v>
      </c>
      <c r="E17" s="61">
        <f>'Borough kWh'!E17*EF_GHG_Coal_DCI/1000000</f>
        <v>5.14188127422553</v>
      </c>
      <c r="F17" s="61">
        <f>'Borough kWh'!F17*EF_GHG_GasOil/1000000</f>
        <v>2.2008372077538527</v>
      </c>
      <c r="G17" s="61">
        <f>'Borough kWh'!G17*EF_GHG_W_R_IC/1000000</f>
        <v>7.2651585138366412</v>
      </c>
      <c r="H17" s="817">
        <f t="shared" si="0"/>
        <v>436.21299928354256</v>
      </c>
      <c r="I17" s="61">
        <f>'Borough kWh'!I17*(EF_GHG_ElectGen+EF_GHG_ElectTD)/1000000</f>
        <v>110.56023084930587</v>
      </c>
      <c r="J17" s="61">
        <f>'Borough kWh'!J17*(EF_GHG_ElectGen+EF_GHG_ElectTD)/1000000</f>
        <v>85.562794656649444</v>
      </c>
      <c r="K17" s="61">
        <f>'Borough kWh'!K17*EF_GHG_NatGas_DCI/1000000</f>
        <v>78.986925045513331</v>
      </c>
      <c r="L17" s="61">
        <f>'Borough kWh'!L17*EF_GHG_Coal_DCI/1000000</f>
        <v>1.1466712574092395</v>
      </c>
      <c r="M17" s="641">
        <f>'Borough kWh'!M17*EF_GHG_GasOil/1000000</f>
        <v>34.585600537003565</v>
      </c>
      <c r="N17" s="641">
        <f>'Borough kWh'!N17*EF_GHG_W_R_IC/1000000</f>
        <v>1.3652329750743017</v>
      </c>
      <c r="O17" s="817">
        <f t="shared" si="1"/>
        <v>201.64722447164988</v>
      </c>
      <c r="P17" s="641">
        <f>'II. Transport '!G16/1000-Y17</f>
        <v>0.26147969645835395</v>
      </c>
      <c r="Q17" s="641">
        <f>'II. Transport '!H16/1000</f>
        <v>0</v>
      </c>
      <c r="R17" s="641">
        <f>'II. Transport '!E16/1000</f>
        <v>3.8515302592797953</v>
      </c>
      <c r="S17" s="641">
        <f>'II. Transport '!F16/1000</f>
        <v>20.630379361840902</v>
      </c>
      <c r="T17" s="641">
        <f>'II. Transport '!O234/1000</f>
        <v>269.58936365965792</v>
      </c>
      <c r="U17" s="642">
        <f>'II. Transport '!AA234/1000</f>
        <v>4.3670568308155193</v>
      </c>
      <c r="V17" s="833">
        <f t="shared" si="2"/>
        <v>298.69980980805246</v>
      </c>
      <c r="W17" s="641">
        <f>'II. Transport '!T16/1000</f>
        <v>0.1765706169246842</v>
      </c>
      <c r="X17" s="641">
        <f>'II. Transport '!U16/1000</f>
        <v>13.521725867705651</v>
      </c>
      <c r="Y17" s="692">
        <f>('II. Transport '!F102+'II. Transport '!G102+'II. Transport '!K102+'II. Transport '!L102)/1000</f>
        <v>0</v>
      </c>
      <c r="Z17" s="833">
        <f t="shared" si="3"/>
        <v>13.698296484630335</v>
      </c>
      <c r="AA17" s="835"/>
      <c r="AB17" s="835"/>
      <c r="AC17" s="835"/>
      <c r="AD17" s="835"/>
      <c r="AE17" s="837">
        <f t="shared" si="4"/>
        <v>950.25833004787523</v>
      </c>
      <c r="AF17" s="121"/>
    </row>
    <row r="18" spans="2:32" x14ac:dyDescent="0.3">
      <c r="B18" s="814" t="s">
        <v>111</v>
      </c>
      <c r="C18" s="832">
        <f>'Borough kWh'!C18*(EF_GHG_ElectGen+EF_GHG_ElectTD)/1000000</f>
        <v>88.708829386586643</v>
      </c>
      <c r="D18" s="61">
        <f>'Borough kWh'!D18*EF_GHG_NatGas_DCI/1000000</f>
        <v>256.43170198866557</v>
      </c>
      <c r="E18" s="61">
        <f>'Borough kWh'!E18*EF_GHG_Coal_DCI/1000000</f>
        <v>3.5817605682039879</v>
      </c>
      <c r="F18" s="61">
        <f>'Borough kWh'!F18*EF_GHG_GasOil/1000000</f>
        <v>1.5704977505153608</v>
      </c>
      <c r="G18" s="61">
        <f>'Borough kWh'!G18*EF_GHG_W_R_IC/1000000</f>
        <v>4.7880911700941589</v>
      </c>
      <c r="H18" s="817">
        <f t="shared" si="0"/>
        <v>355.0808808640657</v>
      </c>
      <c r="I18" s="61">
        <f>'Borough kWh'!I18*(EF_GHG_ElectGen+EF_GHG_ElectTD)/1000000</f>
        <v>177.73677290931215</v>
      </c>
      <c r="J18" s="61">
        <f>'Borough kWh'!J18*(EF_GHG_ElectGen+EF_GHG_ElectTD)/1000000</f>
        <v>152.52750734784669</v>
      </c>
      <c r="K18" s="61">
        <f>'Borough kWh'!K18*EF_GHG_NatGas_DCI/1000000</f>
        <v>113.43519427895333</v>
      </c>
      <c r="L18" s="61">
        <f>'Borough kWh'!L18*EF_GHG_Coal_DCI/1000000</f>
        <v>3.4311884770349037</v>
      </c>
      <c r="M18" s="641">
        <f>'Borough kWh'!M18*EF_GHG_GasOil/1000000</f>
        <v>70.493607970325385</v>
      </c>
      <c r="N18" s="641">
        <f>'Borough kWh'!N18*EF_GHG_W_R_IC/1000000</f>
        <v>3.2186322441280915</v>
      </c>
      <c r="O18" s="817">
        <f t="shared" si="1"/>
        <v>343.10613031828842</v>
      </c>
      <c r="P18" s="641">
        <f>'II. Transport '!G17/1000-Y18</f>
        <v>0</v>
      </c>
      <c r="Q18" s="641">
        <f>'II. Transport '!H17/1000</f>
        <v>0</v>
      </c>
      <c r="R18" s="641">
        <f>'II. Transport '!E17/1000</f>
        <v>4.4069736480503545</v>
      </c>
      <c r="S18" s="641">
        <f>'II. Transport '!F17/1000</f>
        <v>20.605496258060317</v>
      </c>
      <c r="T18" s="641">
        <f>'II. Transport '!O235/1000</f>
        <v>276.85204550103401</v>
      </c>
      <c r="U18" s="642">
        <f>'II. Transport '!AA235/1000</f>
        <v>4.6037693034051657</v>
      </c>
      <c r="V18" s="833">
        <f t="shared" si="2"/>
        <v>306.46828471054982</v>
      </c>
      <c r="W18" s="641">
        <f>'II. Transport '!T17/1000</f>
        <v>0.70290514667514026</v>
      </c>
      <c r="X18" s="641">
        <f>'II. Transport '!U17/1000</f>
        <v>20.21141882981653</v>
      </c>
      <c r="Y18" s="692">
        <f>('II. Transport '!F103+'II. Transport '!G103+'II. Transport '!K103+'II. Transport '!L103)/1000</f>
        <v>0</v>
      </c>
      <c r="Z18" s="833">
        <f t="shared" si="3"/>
        <v>20.914323976491669</v>
      </c>
      <c r="AA18" s="835"/>
      <c r="AB18" s="835"/>
      <c r="AC18" s="835"/>
      <c r="AD18" s="835"/>
      <c r="AE18" s="837">
        <f t="shared" si="4"/>
        <v>1025.5696198693956</v>
      </c>
      <c r="AF18" s="121"/>
    </row>
    <row r="19" spans="2:32" x14ac:dyDescent="0.3">
      <c r="B19" s="814" t="s">
        <v>112</v>
      </c>
      <c r="C19" s="832">
        <f>'Borough kWh'!C19*(EF_GHG_ElectGen+EF_GHG_ElectTD)/1000000</f>
        <v>85.528157584048358</v>
      </c>
      <c r="D19" s="61">
        <f>'Borough kWh'!D19*EF_GHG_NatGas_DCI/1000000</f>
        <v>241.31179918744414</v>
      </c>
      <c r="E19" s="61">
        <f>'Borough kWh'!E19*EF_GHG_Coal_DCI/1000000</f>
        <v>4.2922586223491299</v>
      </c>
      <c r="F19" s="61">
        <f>'Borough kWh'!F19*EF_GHG_GasOil/1000000</f>
        <v>1.5328095334809329</v>
      </c>
      <c r="G19" s="61">
        <f>'Borough kWh'!G19*EF_GHG_W_R_IC/1000000</f>
        <v>5.3477510756143927</v>
      </c>
      <c r="H19" s="817">
        <f t="shared" si="0"/>
        <v>338.01277600293696</v>
      </c>
      <c r="I19" s="61">
        <f>'Borough kWh'!I19*(EF_GHG_ElectGen+EF_GHG_ElectTD)/1000000</f>
        <v>93.699203489803097</v>
      </c>
      <c r="J19" s="61">
        <f>'Borough kWh'!J19*(EF_GHG_ElectGen+EF_GHG_ElectTD)/1000000</f>
        <v>82.553033279385232</v>
      </c>
      <c r="K19" s="61">
        <f>'Borough kWh'!K19*EF_GHG_NatGas_DCI/1000000</f>
        <v>85.883290809196453</v>
      </c>
      <c r="L19" s="61">
        <f>'Borough kWh'!L19*EF_GHG_Coal_DCI/1000000</f>
        <v>4.8453937913067264</v>
      </c>
      <c r="M19" s="641">
        <f>'Borough kWh'!M19*EF_GHG_GasOil/1000000</f>
        <v>38.953129953523387</v>
      </c>
      <c r="N19" s="641">
        <f>'Borough kWh'!N19*EF_GHG_W_R_IC/1000000</f>
        <v>2.0535897941384573</v>
      </c>
      <c r="O19" s="817">
        <f t="shared" si="1"/>
        <v>214.28843762755022</v>
      </c>
      <c r="P19" s="641">
        <f>'II. Transport '!G18/1000-Y19</f>
        <v>0.20045596224541587</v>
      </c>
      <c r="Q19" s="641">
        <f>'II. Transport '!H18/1000</f>
        <v>0</v>
      </c>
      <c r="R19" s="641">
        <f>'II. Transport '!E18/1000</f>
        <v>1.2313566704902712</v>
      </c>
      <c r="S19" s="641">
        <f>'II. Transport '!F18/1000</f>
        <v>5.9326510610360206</v>
      </c>
      <c r="T19" s="641">
        <f>'II. Transport '!O236/1000</f>
        <v>392.41618947044304</v>
      </c>
      <c r="U19" s="642">
        <f>'II. Transport '!AA236/1000</f>
        <v>5.2135191493818311</v>
      </c>
      <c r="V19" s="833">
        <f t="shared" si="2"/>
        <v>404.99417231359661</v>
      </c>
      <c r="W19" s="641">
        <f>'II. Transport '!T18/1000</f>
        <v>0.77301009862711179</v>
      </c>
      <c r="X19" s="641">
        <f>'II. Transport '!U18/1000</f>
        <v>13.352637508044966</v>
      </c>
      <c r="Y19" s="692">
        <f>('II. Transport '!F104+'II. Transport '!G104+'II. Transport '!K104+'II. Transport '!L104)/1000</f>
        <v>0</v>
      </c>
      <c r="Z19" s="833">
        <f t="shared" si="3"/>
        <v>14.125647606672077</v>
      </c>
      <c r="AA19" s="835"/>
      <c r="AB19" s="835"/>
      <c r="AC19" s="835"/>
      <c r="AD19" s="835"/>
      <c r="AE19" s="837">
        <f t="shared" si="4"/>
        <v>971.42103355075585</v>
      </c>
      <c r="AF19" s="121"/>
    </row>
    <row r="20" spans="2:32" x14ac:dyDescent="0.3">
      <c r="B20" s="814" t="s">
        <v>113</v>
      </c>
      <c r="C20" s="832">
        <f>'Borough kWh'!C20*(EF_GHG_ElectGen+EF_GHG_ElectTD)/1000000</f>
        <v>68.828735686552221</v>
      </c>
      <c r="D20" s="61">
        <f>'Borough kWh'!D20*EF_GHG_NatGas_DCI/1000000</f>
        <v>174.32414296758398</v>
      </c>
      <c r="E20" s="61">
        <f>'Borough kWh'!E20*EF_GHG_Coal_DCI/1000000</f>
        <v>3.384730888749194</v>
      </c>
      <c r="F20" s="61">
        <f>'Borough kWh'!F20*EF_GHG_GasOil/1000000</f>
        <v>1.1657683340546505</v>
      </c>
      <c r="G20" s="61">
        <f>'Borough kWh'!G20*EF_GHG_W_R_IC/1000000</f>
        <v>4.3105379664440706</v>
      </c>
      <c r="H20" s="817">
        <f t="shared" si="0"/>
        <v>252.01391584338413</v>
      </c>
      <c r="I20" s="61">
        <f>'Borough kWh'!I20*(EF_GHG_ElectGen+EF_GHG_ElectTD)/1000000</f>
        <v>84.318097451128395</v>
      </c>
      <c r="J20" s="61">
        <f>'Borough kWh'!J20*(EF_GHG_ElectGen+EF_GHG_ElectTD)/1000000</f>
        <v>69.735222676634621</v>
      </c>
      <c r="K20" s="61">
        <f>'Borough kWh'!K20*EF_GHG_NatGas_DCI/1000000</f>
        <v>90.977121252459767</v>
      </c>
      <c r="L20" s="61">
        <f>'Borough kWh'!L20*EF_GHG_Coal_DCI/1000000</f>
        <v>1.4851103894034516</v>
      </c>
      <c r="M20" s="641">
        <f>'Borough kWh'!M20*EF_GHG_GasOil/1000000</f>
        <v>82.638253291877419</v>
      </c>
      <c r="N20" s="641">
        <f>'Borough kWh'!N20*EF_GHG_W_R_IC/1000000</f>
        <v>2.1777481346205469</v>
      </c>
      <c r="O20" s="817">
        <f t="shared" si="1"/>
        <v>247.01345574499581</v>
      </c>
      <c r="P20" s="641">
        <f>'II. Transport '!G19/1000-Y20</f>
        <v>3.0691225762503551</v>
      </c>
      <c r="Q20" s="641">
        <f>'II. Transport '!H19/1000</f>
        <v>5.0199104717727172</v>
      </c>
      <c r="R20" s="641">
        <f>'II. Transport '!E19/1000</f>
        <v>0.78143263832682353</v>
      </c>
      <c r="S20" s="641">
        <f>'II. Transport '!F19/1000</f>
        <v>10.028154001445023</v>
      </c>
      <c r="T20" s="641">
        <f>'II. Transport '!O237/1000</f>
        <v>248.410071427719</v>
      </c>
      <c r="U20" s="642">
        <f>'II. Transport '!AA237/1000</f>
        <v>4.5547207730487518</v>
      </c>
      <c r="V20" s="833">
        <f t="shared" si="2"/>
        <v>271.86341188856267</v>
      </c>
      <c r="W20" s="641">
        <f>'II. Transport '!T19/1000</f>
        <v>0.4860584211313847</v>
      </c>
      <c r="X20" s="641">
        <f>'II. Transport '!U19/1000</f>
        <v>6.5119165548084545</v>
      </c>
      <c r="Y20" s="692">
        <f>('II. Transport '!F105+'II. Transport '!G105+'II. Transport '!K105+'II. Transport '!L105)/1000</f>
        <v>0</v>
      </c>
      <c r="Z20" s="833">
        <f t="shared" si="3"/>
        <v>6.9979749759398393</v>
      </c>
      <c r="AA20" s="835"/>
      <c r="AB20" s="835"/>
      <c r="AC20" s="835"/>
      <c r="AD20" s="835"/>
      <c r="AE20" s="837">
        <f t="shared" si="4"/>
        <v>777.88875845288248</v>
      </c>
      <c r="AF20" s="121"/>
    </row>
    <row r="21" spans="2:32" x14ac:dyDescent="0.3">
      <c r="B21" s="814" t="s">
        <v>114</v>
      </c>
      <c r="C21" s="832">
        <f>'Borough kWh'!C21*(EF_GHG_ElectGen+EF_GHG_ElectTD)/1000000</f>
        <v>64.094447532039695</v>
      </c>
      <c r="D21" s="61">
        <f>'Borough kWh'!D21*EF_GHG_NatGas_DCI/1000000</f>
        <v>149.15629204646686</v>
      </c>
      <c r="E21" s="61">
        <f>'Borough kWh'!E21*EF_GHG_Coal_DCI/1000000</f>
        <v>1.2199171965014082</v>
      </c>
      <c r="F21" s="61">
        <f>'Borough kWh'!F21*EF_GHG_GasOil/1000000</f>
        <v>0.68331385747294848</v>
      </c>
      <c r="G21" s="61">
        <f>'Borough kWh'!G21*EF_GHG_W_R_IC/1000000</f>
        <v>1.1767391981574569</v>
      </c>
      <c r="H21" s="817">
        <f t="shared" si="0"/>
        <v>216.33070983063837</v>
      </c>
      <c r="I21" s="61">
        <f>'Borough kWh'!I21*(EF_GHG_ElectGen+EF_GHG_ElectTD)/1000000</f>
        <v>102.37604615201828</v>
      </c>
      <c r="J21" s="61">
        <f>'Borough kWh'!J21*(EF_GHG_ElectGen+EF_GHG_ElectTD)/1000000</f>
        <v>93.500357475275422</v>
      </c>
      <c r="K21" s="61">
        <f>'Borough kWh'!K21*EF_GHG_NatGas_DCI/1000000</f>
        <v>64.823357469208403</v>
      </c>
      <c r="L21" s="61">
        <f>'Borough kWh'!L21*EF_GHG_Coal_DCI/1000000</f>
        <v>1.2332052794902746</v>
      </c>
      <c r="M21" s="641">
        <f>'Borough kWh'!M21*EF_GHG_GasOil/1000000</f>
        <v>56.423543969799027</v>
      </c>
      <c r="N21" s="641">
        <f>'Borough kWh'!N21*EF_GHG_W_R_IC/1000000</f>
        <v>0.93904722113496553</v>
      </c>
      <c r="O21" s="817">
        <f t="shared" si="1"/>
        <v>216.91951141490807</v>
      </c>
      <c r="P21" s="641">
        <f>'II. Transport '!G20/1000-Y21</f>
        <v>0</v>
      </c>
      <c r="Q21" s="641">
        <f>'II. Transport '!H20/1000</f>
        <v>0</v>
      </c>
      <c r="R21" s="641">
        <f>'II. Transport '!E20/1000</f>
        <v>1.68600395229428</v>
      </c>
      <c r="S21" s="641">
        <f>'II. Transport '!F20/1000</f>
        <v>6.4875544354280317</v>
      </c>
      <c r="T21" s="641">
        <f>'II. Transport '!O238/1000</f>
        <v>116.92931039734901</v>
      </c>
      <c r="U21" s="642">
        <f>'II. Transport '!AA238/1000</f>
        <v>2.3881342413148259</v>
      </c>
      <c r="V21" s="833">
        <f t="shared" si="2"/>
        <v>127.49100302638615</v>
      </c>
      <c r="W21" s="641">
        <f>'II. Transport '!T20/1000</f>
        <v>0.38012551656217741</v>
      </c>
      <c r="X21" s="641">
        <f>'II. Transport '!U20/1000</f>
        <v>12.084060609105455</v>
      </c>
      <c r="Y21" s="692">
        <f>('II. Transport '!F106+'II. Transport '!G106+'II. Transport '!K106+'II. Transport '!L106)/1000</f>
        <v>0</v>
      </c>
      <c r="Z21" s="833">
        <f t="shared" si="3"/>
        <v>12.464186125667633</v>
      </c>
      <c r="AA21" s="835"/>
      <c r="AB21" s="835"/>
      <c r="AC21" s="835"/>
      <c r="AD21" s="835"/>
      <c r="AE21" s="837">
        <f t="shared" si="4"/>
        <v>573.20541039760019</v>
      </c>
      <c r="AF21" s="121"/>
    </row>
    <row r="22" spans="2:32" x14ac:dyDescent="0.3">
      <c r="B22" s="814" t="s">
        <v>115</v>
      </c>
      <c r="C22" s="832">
        <f>'Borough kWh'!C22*(EF_GHG_ElectGen+EF_GHG_ElectTD)/1000000</f>
        <v>52.147400305156495</v>
      </c>
      <c r="D22" s="61">
        <f>'Borough kWh'!D22*EF_GHG_NatGas_DCI/1000000</f>
        <v>134.04460375855044</v>
      </c>
      <c r="E22" s="61">
        <f>'Borough kWh'!E22*EF_GHG_Coal_DCI/1000000</f>
        <v>1.0298153423112091</v>
      </c>
      <c r="F22" s="61">
        <f>'Borough kWh'!F22*EF_GHG_GasOil/1000000</f>
        <v>0.82519903954785623</v>
      </c>
      <c r="G22" s="61">
        <f>'Borough kWh'!G22*EF_GHG_W_R_IC/1000000</f>
        <v>1.0902755841100975</v>
      </c>
      <c r="H22" s="817">
        <f t="shared" si="0"/>
        <v>189.13729402967607</v>
      </c>
      <c r="I22" s="61">
        <f>'Borough kWh'!I22*(EF_GHG_ElectGen+EF_GHG_ElectTD)/1000000</f>
        <v>119.58804389658792</v>
      </c>
      <c r="J22" s="61">
        <f>'Borough kWh'!J22*(EF_GHG_ElectGen+EF_GHG_ElectTD)/1000000</f>
        <v>107.35611705980833</v>
      </c>
      <c r="K22" s="61">
        <f>'Borough kWh'!K22*EF_GHG_NatGas_DCI/1000000</f>
        <v>94.657786919762913</v>
      </c>
      <c r="L22" s="61">
        <f>'Borough kWh'!L22*EF_GHG_Coal_DCI/1000000</f>
        <v>0.76441913492525493</v>
      </c>
      <c r="M22" s="641">
        <f>'Borough kWh'!M22*EF_GHG_GasOil/1000000</f>
        <v>63.462651567779567</v>
      </c>
      <c r="N22" s="641">
        <f>'Borough kWh'!N22*EF_GHG_W_R_IC/1000000</f>
        <v>0.79381349013162039</v>
      </c>
      <c r="O22" s="817">
        <f t="shared" si="1"/>
        <v>267.03478817240767</v>
      </c>
      <c r="P22" s="641">
        <f>'II. Transport '!G21/1000-Y22</f>
        <v>7.8664076267423741</v>
      </c>
      <c r="Q22" s="641">
        <f>'II. Transport '!H21/1000</f>
        <v>6.9014007031033822E-3</v>
      </c>
      <c r="R22" s="641">
        <f>'II. Transport '!E21/1000</f>
        <v>1.6855721000633168</v>
      </c>
      <c r="S22" s="641">
        <f>'II. Transport '!F21/1000</f>
        <v>9.8685143184946504</v>
      </c>
      <c r="T22" s="641">
        <f>'II. Transport '!O239/1000</f>
        <v>112.23810964162101</v>
      </c>
      <c r="U22" s="642">
        <f>'II. Transport '!AA239/1000</f>
        <v>2.3634125182849428</v>
      </c>
      <c r="V22" s="833">
        <f t="shared" si="2"/>
        <v>134.02891760590941</v>
      </c>
      <c r="W22" s="641">
        <f>'II. Transport '!T21/1000</f>
        <v>0.34299503124534636</v>
      </c>
      <c r="X22" s="641">
        <f>'II. Transport '!U21/1000</f>
        <v>31.502092882254782</v>
      </c>
      <c r="Y22" s="692">
        <f>('II. Transport '!F107+'II. Transport '!G107+'II. Transport '!K107+'II. Transport '!L107)/1000</f>
        <v>0</v>
      </c>
      <c r="Z22" s="833">
        <f t="shared" si="3"/>
        <v>31.84508791350013</v>
      </c>
      <c r="AA22" s="835"/>
      <c r="AB22" s="835"/>
      <c r="AC22" s="835"/>
      <c r="AD22" s="835"/>
      <c r="AE22" s="837">
        <f t="shared" si="4"/>
        <v>622.04608772149334</v>
      </c>
      <c r="AF22" s="121"/>
    </row>
    <row r="23" spans="2:32" x14ac:dyDescent="0.3">
      <c r="B23" s="814" t="s">
        <v>116</v>
      </c>
      <c r="C23" s="832">
        <f>'Borough kWh'!C23*(EF_GHG_ElectGen+EF_GHG_ElectTD)/1000000</f>
        <v>65.131443560125376</v>
      </c>
      <c r="D23" s="61">
        <f>'Borough kWh'!D23*EF_GHG_NatGas_DCI/1000000</f>
        <v>191.67766496117392</v>
      </c>
      <c r="E23" s="61">
        <f>'Borough kWh'!E23*EF_GHG_Coal_DCI/1000000</f>
        <v>2.5364637147269664</v>
      </c>
      <c r="F23" s="61">
        <f>'Borough kWh'!F23*EF_GHG_GasOil/1000000</f>
        <v>0.74371602603830778</v>
      </c>
      <c r="G23" s="61">
        <f>'Borough kWh'!G23*EF_GHG_W_R_IC/1000000</f>
        <v>2.7792847767169473</v>
      </c>
      <c r="H23" s="817">
        <f t="shared" si="0"/>
        <v>262.86857303878156</v>
      </c>
      <c r="I23" s="61">
        <f>'Borough kWh'!I23*(EF_GHG_ElectGen+EF_GHG_ElectTD)/1000000</f>
        <v>77.896493114533328</v>
      </c>
      <c r="J23" s="61">
        <f>'Borough kWh'!J23*(EF_GHG_ElectGen+EF_GHG_ElectTD)/1000000</f>
        <v>62.565633710294129</v>
      </c>
      <c r="K23" s="61">
        <f>'Borough kWh'!K23*EF_GHG_NatGas_DCI/1000000</f>
        <v>61.832254067371217</v>
      </c>
      <c r="L23" s="61">
        <f>'Borough kWh'!L23*EF_GHG_Coal_DCI/1000000</f>
        <v>1.2475943322419338</v>
      </c>
      <c r="M23" s="641">
        <f>'Borough kWh'!M23*EF_GHG_GasOil/1000000</f>
        <v>61.08161346343222</v>
      </c>
      <c r="N23" s="641">
        <f>'Borough kWh'!N23*EF_GHG_W_R_IC/1000000</f>
        <v>1.4696832798619388</v>
      </c>
      <c r="O23" s="817">
        <f t="shared" si="1"/>
        <v>188.19677885320144</v>
      </c>
      <c r="P23" s="641">
        <f>'II. Transport '!G22/1000-Y23</f>
        <v>0</v>
      </c>
      <c r="Q23" s="641">
        <f>'II. Transport '!H22/1000</f>
        <v>0</v>
      </c>
      <c r="R23" s="641">
        <f>'II. Transport '!E22/1000</f>
        <v>2.0086978039434347</v>
      </c>
      <c r="S23" s="641">
        <f>'II. Transport '!F22/1000</f>
        <v>13.077075485204997</v>
      </c>
      <c r="T23" s="641">
        <f>'II. Transport '!O240/1000</f>
        <v>121.08849026845903</v>
      </c>
      <c r="U23" s="642">
        <f>'II. Transport '!AA240/1000</f>
        <v>2.2537839190342166</v>
      </c>
      <c r="V23" s="833">
        <f t="shared" si="2"/>
        <v>138.42804747664167</v>
      </c>
      <c r="W23" s="641">
        <f>'II. Transport '!T22/1000</f>
        <v>0.27602017309664717</v>
      </c>
      <c r="X23" s="641">
        <f>'II. Transport '!U22/1000</f>
        <v>5.1943098608109661</v>
      </c>
      <c r="Y23" s="692">
        <f>('II. Transport '!F108+'II. Transport '!G108+'II. Transport '!K108+'II. Transport '!L108)/1000</f>
        <v>0</v>
      </c>
      <c r="Z23" s="833">
        <f t="shared" si="3"/>
        <v>5.4703300339076133</v>
      </c>
      <c r="AA23" s="835"/>
      <c r="AB23" s="835"/>
      <c r="AC23" s="835"/>
      <c r="AD23" s="835"/>
      <c r="AE23" s="837">
        <f t="shared" si="4"/>
        <v>594.96372940253241</v>
      </c>
      <c r="AF23" s="121"/>
    </row>
    <row r="24" spans="2:32" x14ac:dyDescent="0.3">
      <c r="B24" s="814" t="s">
        <v>117</v>
      </c>
      <c r="C24" s="832">
        <f>'Borough kWh'!C24*(EF_GHG_ElectGen+EF_GHG_ElectTD)/1000000</f>
        <v>63.210971777844271</v>
      </c>
      <c r="D24" s="61">
        <f>'Borough kWh'!D24*EF_GHG_NatGas_DCI/1000000</f>
        <v>220.75840321113688</v>
      </c>
      <c r="E24" s="61">
        <f>'Borough kWh'!E24*EF_GHG_Coal_DCI/1000000</f>
        <v>2.4476638860709676</v>
      </c>
      <c r="F24" s="61">
        <f>'Borough kWh'!F24*EF_GHG_GasOil/1000000</f>
        <v>1.3637869801764366</v>
      </c>
      <c r="G24" s="61">
        <f>'Borough kWh'!G24*EF_GHG_W_R_IC/1000000</f>
        <v>3.9918049251383998</v>
      </c>
      <c r="H24" s="817">
        <f t="shared" si="0"/>
        <v>291.77263078036697</v>
      </c>
      <c r="I24" s="61">
        <f>'Borough kWh'!I24*(EF_GHG_ElectGen+EF_GHG_ElectTD)/1000000</f>
        <v>37.416185385410522</v>
      </c>
      <c r="J24" s="61">
        <f>'Borough kWh'!J24*(EF_GHG_ElectGen+EF_GHG_ElectTD)/1000000</f>
        <v>24.940981234936164</v>
      </c>
      <c r="K24" s="61">
        <f>'Borough kWh'!K24*EF_GHG_NatGas_DCI/1000000</f>
        <v>39.043089412271847</v>
      </c>
      <c r="L24" s="61">
        <f>'Borough kWh'!L24*EF_GHG_Coal_DCI/1000000</f>
        <v>0.84356644444336437</v>
      </c>
      <c r="M24" s="641">
        <f>'Borough kWh'!M24*EF_GHG_GasOil/1000000</f>
        <v>14.612035221763653</v>
      </c>
      <c r="N24" s="641">
        <f>'Borough kWh'!N24*EF_GHG_W_R_IC/1000000</f>
        <v>0.72170662617218073</v>
      </c>
      <c r="O24" s="817">
        <f t="shared" si="1"/>
        <v>80.161378939587209</v>
      </c>
      <c r="P24" s="641">
        <f>'II. Transport '!G23/1000-Y24</f>
        <v>0.19252970285018928</v>
      </c>
      <c r="Q24" s="641">
        <f>'II. Transport '!H23/1000</f>
        <v>0</v>
      </c>
      <c r="R24" s="641">
        <f>'II. Transport '!E23/1000</f>
        <v>4.3031207624776311</v>
      </c>
      <c r="S24" s="641">
        <f>'II. Transport '!F23/1000</f>
        <v>10.440440480519584</v>
      </c>
      <c r="T24" s="641">
        <f>'II. Transport '!O241/1000</f>
        <v>127.30421559681599</v>
      </c>
      <c r="U24" s="642">
        <f>'II. Transport '!AA241/1000</f>
        <v>2.0347636699547738</v>
      </c>
      <c r="V24" s="833">
        <f t="shared" si="2"/>
        <v>144.27507021261817</v>
      </c>
      <c r="W24" s="641">
        <f>'II. Transport '!T23/1000</f>
        <v>0.20279114829502545</v>
      </c>
      <c r="X24" s="641">
        <f>'II. Transport '!U23/1000</f>
        <v>5.4976000045178655</v>
      </c>
      <c r="Y24" s="692">
        <f>('II. Transport '!F109+'II. Transport '!G109+'II. Transport '!K109+'II. Transport '!L109)/1000</f>
        <v>0</v>
      </c>
      <c r="Z24" s="833">
        <f t="shared" si="3"/>
        <v>5.700391152812891</v>
      </c>
      <c r="AA24" s="835"/>
      <c r="AB24" s="835"/>
      <c r="AC24" s="835"/>
      <c r="AD24" s="835"/>
      <c r="AE24" s="837">
        <f t="shared" si="4"/>
        <v>521.90947108538535</v>
      </c>
      <c r="AF24" s="121"/>
    </row>
    <row r="25" spans="2:32" x14ac:dyDescent="0.3">
      <c r="B25" s="814" t="s">
        <v>118</v>
      </c>
      <c r="C25" s="832">
        <f>'Borough kWh'!C25*(EF_GHG_ElectGen+EF_GHG_ElectTD)/1000000</f>
        <v>70.633722585888421</v>
      </c>
      <c r="D25" s="61">
        <f>'Borough kWh'!D25*EF_GHG_NatGas_DCI/1000000</f>
        <v>203.46965566514484</v>
      </c>
      <c r="E25" s="61">
        <f>'Borough kWh'!E25*EF_GHG_Coal_DCI/1000000</f>
        <v>3.2706564139218823</v>
      </c>
      <c r="F25" s="61">
        <f>'Borough kWh'!F25*EF_GHG_GasOil/1000000</f>
        <v>1.8665631926937736</v>
      </c>
      <c r="G25" s="61">
        <f>'Borough kWh'!G25*EF_GHG_W_R_IC/1000000</f>
        <v>5.1407152830267036</v>
      </c>
      <c r="H25" s="817">
        <f t="shared" si="0"/>
        <v>284.38131314067562</v>
      </c>
      <c r="I25" s="61">
        <f>'Borough kWh'!I25*(EF_GHG_ElectGen+EF_GHG_ElectTD)/1000000</f>
        <v>68.84160906245144</v>
      </c>
      <c r="J25" s="61">
        <f>'Borough kWh'!J25*(EF_GHG_ElectGen+EF_GHG_ElectTD)/1000000</f>
        <v>50.685608436276816</v>
      </c>
      <c r="K25" s="61">
        <f>'Borough kWh'!K25*EF_GHG_NatGas_DCI/1000000</f>
        <v>35.650882189386927</v>
      </c>
      <c r="L25" s="61">
        <f>'Borough kWh'!L25*EF_GHG_Coal_DCI/1000000</f>
        <v>2.640131713594037</v>
      </c>
      <c r="M25" s="641">
        <f>'Borough kWh'!M25*EF_GHG_GasOil/1000000</f>
        <v>31.323517649668613</v>
      </c>
      <c r="N25" s="641">
        <f>'Borough kWh'!N25*EF_GHG_W_R_IC/1000000</f>
        <v>3.34228548298996</v>
      </c>
      <c r="O25" s="817">
        <f t="shared" si="1"/>
        <v>123.64242547191635</v>
      </c>
      <c r="P25" s="641">
        <f>'II. Transport '!G24/1000-Y25</f>
        <v>0.79460213460589246</v>
      </c>
      <c r="Q25" s="641">
        <f>'II. Transport '!H24/1000</f>
        <v>0.56017251156955961</v>
      </c>
      <c r="R25" s="641">
        <f>'II. Transport '!E24/1000</f>
        <v>2.0292582190700417</v>
      </c>
      <c r="S25" s="641">
        <f>'II. Transport '!F24/1000</f>
        <v>12.939322151165966</v>
      </c>
      <c r="T25" s="641">
        <f>'II. Transport '!O242/1000</f>
        <v>407.32677028789499</v>
      </c>
      <c r="U25" s="642">
        <f>'II. Transport '!AA242/1000</f>
        <v>5.2166784750086528</v>
      </c>
      <c r="V25" s="833">
        <f t="shared" si="2"/>
        <v>428.86680377931515</v>
      </c>
      <c r="W25" s="641">
        <f>'II. Transport '!T24/1000</f>
        <v>0.75092994089602705</v>
      </c>
      <c r="X25" s="641">
        <f>'II. Transport '!U24/1000</f>
        <v>4.867312659859568</v>
      </c>
      <c r="Y25" s="692">
        <f>('II. Transport '!F110+'II. Transport '!G110+'II. Transport '!K110+'II. Transport '!L110)/1000</f>
        <v>0</v>
      </c>
      <c r="Z25" s="833">
        <f t="shared" si="3"/>
        <v>5.618242600755595</v>
      </c>
      <c r="AA25" s="835"/>
      <c r="AB25" s="835"/>
      <c r="AC25" s="835"/>
      <c r="AD25" s="835"/>
      <c r="AE25" s="837">
        <f t="shared" si="4"/>
        <v>842.50878499266264</v>
      </c>
      <c r="AF25" s="121"/>
    </row>
    <row r="26" spans="2:32" x14ac:dyDescent="0.3">
      <c r="B26" s="814" t="s">
        <v>119</v>
      </c>
      <c r="C26" s="832">
        <f>'Borough kWh'!C26*(EF_GHG_ElectGen+EF_GHG_ElectTD)/1000000</f>
        <v>78.165833188604481</v>
      </c>
      <c r="D26" s="61">
        <f>'Borough kWh'!D26*EF_GHG_NatGas_DCI/1000000</f>
        <v>223.88234298877717</v>
      </c>
      <c r="E26" s="61">
        <f>'Borough kWh'!E26*EF_GHG_Coal_DCI/1000000</f>
        <v>3.3569280894780249</v>
      </c>
      <c r="F26" s="61">
        <f>'Borough kWh'!F26*EF_GHG_GasOil/1000000</f>
        <v>2.2929612695064514</v>
      </c>
      <c r="G26" s="61">
        <f>'Borough kWh'!G26*EF_GHG_W_R_IC/1000000</f>
        <v>6.0702794523710644</v>
      </c>
      <c r="H26" s="817">
        <f t="shared" si="0"/>
        <v>313.76834498873717</v>
      </c>
      <c r="I26" s="61">
        <f>'Borough kWh'!I26*(EF_GHG_ElectGen+EF_GHG_ElectTD)/1000000</f>
        <v>259.69789412208377</v>
      </c>
      <c r="J26" s="61">
        <f>'Borough kWh'!J26*(EF_GHG_ElectGen+EF_GHG_ElectTD)/1000000</f>
        <v>232.46917547388674</v>
      </c>
      <c r="K26" s="61">
        <f>'Borough kWh'!K26*EF_GHG_NatGas_DCI/1000000</f>
        <v>113.74850856038094</v>
      </c>
      <c r="L26" s="61">
        <f>'Borough kWh'!L26*EF_GHG_Coal_DCI/1000000</f>
        <v>4.3923937846684593</v>
      </c>
      <c r="M26" s="641">
        <f>'Borough kWh'!M26*EF_GHG_GasOil/1000000</f>
        <v>127.13707817035218</v>
      </c>
      <c r="N26" s="641">
        <f>'Borough kWh'!N26*EF_GHG_W_R_IC/1000000</f>
        <v>2.4265301959861159</v>
      </c>
      <c r="O26" s="817">
        <f t="shared" si="1"/>
        <v>480.17368618527445</v>
      </c>
      <c r="P26" s="641">
        <f>'II. Transport '!G25/1000-Y26</f>
        <v>617.85613628054466</v>
      </c>
      <c r="Q26" s="641">
        <f>'II. Transport '!H25/1000</f>
        <v>0</v>
      </c>
      <c r="R26" s="641">
        <f>'II. Transport '!E25/1000</f>
        <v>6.0010660452923164</v>
      </c>
      <c r="S26" s="641">
        <f>'II. Transport '!F25/1000</f>
        <v>19.618456095167282</v>
      </c>
      <c r="T26" s="641">
        <f>'II. Transport '!O243/1000</f>
        <v>436.19126174598495</v>
      </c>
      <c r="U26" s="642">
        <f>'II. Transport '!AA243/1000</f>
        <v>7.6102625530297461</v>
      </c>
      <c r="V26" s="833">
        <f t="shared" si="2"/>
        <v>1087.277182720019</v>
      </c>
      <c r="W26" s="641">
        <f>'II. Transport '!T25/1000</f>
        <v>0.66285487126713549</v>
      </c>
      <c r="X26" s="641">
        <f>'II. Transport '!U25/1000</f>
        <v>28.10736263429926</v>
      </c>
      <c r="Y26" s="692">
        <f>('II. Transport '!F111+'II. Transport '!G111+'II. Transport '!K111+'II. Transport '!L111)/1000</f>
        <v>31.297488760216979</v>
      </c>
      <c r="Z26" s="833">
        <f t="shared" si="3"/>
        <v>60.067706265783372</v>
      </c>
      <c r="AA26" s="835"/>
      <c r="AB26" s="835"/>
      <c r="AC26" s="835"/>
      <c r="AD26" s="835"/>
      <c r="AE26" s="837">
        <f t="shared" si="4"/>
        <v>1941.2869201598139</v>
      </c>
      <c r="AF26" s="121"/>
    </row>
    <row r="27" spans="2:32" x14ac:dyDescent="0.3">
      <c r="B27" s="814" t="s">
        <v>120</v>
      </c>
      <c r="C27" s="832">
        <f>'Borough kWh'!C27*(EF_GHG_ElectGen+EF_GHG_ElectTD)/1000000</f>
        <v>71.232077508158866</v>
      </c>
      <c r="D27" s="61">
        <f>'Borough kWh'!D27*EF_GHG_NatGas_DCI/1000000</f>
        <v>181.58126953007613</v>
      </c>
      <c r="E27" s="61">
        <f>'Borough kWh'!E27*EF_GHG_Coal_DCI/1000000</f>
        <v>3.3900373586750767</v>
      </c>
      <c r="F27" s="61">
        <f>'Borough kWh'!F27*EF_GHG_GasOil/1000000</f>
        <v>1.7141897504749573</v>
      </c>
      <c r="G27" s="61">
        <f>'Borough kWh'!G27*EF_GHG_W_R_IC/1000000</f>
        <v>4.7056505230880683</v>
      </c>
      <c r="H27" s="817">
        <f t="shared" si="0"/>
        <v>262.62322467047312</v>
      </c>
      <c r="I27" s="61">
        <f>'Borough kWh'!I27*(EF_GHG_ElectGen+EF_GHG_ElectTD)/1000000</f>
        <v>157.01033483390873</v>
      </c>
      <c r="J27" s="61">
        <f>'Borough kWh'!J27*(EF_GHG_ElectGen+EF_GHG_ElectTD)/1000000</f>
        <v>143.86481019230061</v>
      </c>
      <c r="K27" s="61">
        <f>'Borough kWh'!K27*EF_GHG_NatGas_DCI/1000000</f>
        <v>91.384730786173563</v>
      </c>
      <c r="L27" s="61">
        <f>'Borough kWh'!L27*EF_GHG_Coal_DCI/1000000</f>
        <v>2.5179158134151511</v>
      </c>
      <c r="M27" s="641">
        <f>'Borough kWh'!M27*EF_GHG_GasOil/1000000</f>
        <v>32.637737923865544</v>
      </c>
      <c r="N27" s="641">
        <f>'Borough kWh'!N27*EF_GHG_W_R_IC/1000000</f>
        <v>0.80218086340886452</v>
      </c>
      <c r="O27" s="817">
        <f t="shared" si="1"/>
        <v>271.20737557916374</v>
      </c>
      <c r="P27" s="641">
        <f>'II. Transport '!G26/1000-Y27</f>
        <v>102.21586564566893</v>
      </c>
      <c r="Q27" s="641">
        <f>'II. Transport '!H26/1000</f>
        <v>0</v>
      </c>
      <c r="R27" s="641">
        <f>'II. Transport '!E26/1000</f>
        <v>0.55698334661197846</v>
      </c>
      <c r="S27" s="641">
        <f>'II. Transport '!F26/1000</f>
        <v>7.1294577998728235</v>
      </c>
      <c r="T27" s="641">
        <f>'II. Transport '!O244/1000</f>
        <v>312.73424896761202</v>
      </c>
      <c r="U27" s="642">
        <f>'II. Transport '!AA244/1000</f>
        <v>6.0160668417353156</v>
      </c>
      <c r="V27" s="833">
        <f t="shared" si="2"/>
        <v>428.65262260150109</v>
      </c>
      <c r="W27" s="641">
        <f>'II. Transport '!T26/1000</f>
        <v>0.8337558783324529</v>
      </c>
      <c r="X27" s="641">
        <f>'II. Transport '!U26/1000</f>
        <v>4.8182140894383618</v>
      </c>
      <c r="Y27" s="692">
        <f>('II. Transport '!F112+'II. Transport '!G112+'II. Transport '!K112+'II. Transport '!L112)/1000</f>
        <v>8.7025046837897873E-6</v>
      </c>
      <c r="Z27" s="833">
        <f t="shared" si="3"/>
        <v>5.6519786702754988</v>
      </c>
      <c r="AA27" s="835"/>
      <c r="AB27" s="835"/>
      <c r="AC27" s="835"/>
      <c r="AD27" s="835"/>
      <c r="AE27" s="837">
        <f t="shared" si="4"/>
        <v>968.13520152141348</v>
      </c>
      <c r="AF27" s="121"/>
    </row>
    <row r="28" spans="2:32" x14ac:dyDescent="0.3">
      <c r="B28" s="814" t="s">
        <v>121</v>
      </c>
      <c r="C28" s="832">
        <f>'Borough kWh'!C28*(EF_GHG_ElectGen+EF_GHG_ElectTD)/1000000</f>
        <v>56.129738313806534</v>
      </c>
      <c r="D28" s="61">
        <f>'Borough kWh'!D28*EF_GHG_NatGas_DCI/1000000</f>
        <v>135.96308852900174</v>
      </c>
      <c r="E28" s="61">
        <f>'Borough kWh'!E28*EF_GHG_Coal_DCI/1000000</f>
        <v>0.87161083657303629</v>
      </c>
      <c r="F28" s="61">
        <f>'Borough kWh'!F28*EF_GHG_GasOil/1000000</f>
        <v>0.70988233948183721</v>
      </c>
      <c r="G28" s="61">
        <f>'Borough kWh'!G28*EF_GHG_W_R_IC/1000000</f>
        <v>0.84128990208613641</v>
      </c>
      <c r="H28" s="817">
        <f t="shared" si="0"/>
        <v>194.51560992094932</v>
      </c>
      <c r="I28" s="61">
        <f>'Borough kWh'!I28*(EF_GHG_ElectGen+EF_GHG_ElectTD)/1000000</f>
        <v>131.94778935888488</v>
      </c>
      <c r="J28" s="61">
        <f>'Borough kWh'!J28*(EF_GHG_ElectGen+EF_GHG_ElectTD)/1000000</f>
        <v>114.98412554678836</v>
      </c>
      <c r="K28" s="61">
        <f>'Borough kWh'!K28*EF_GHG_NatGas_DCI/1000000</f>
        <v>104.79109546255461</v>
      </c>
      <c r="L28" s="61">
        <f>'Borough kWh'!L28*EF_GHG_Coal_DCI/1000000</f>
        <v>1.317712338427099</v>
      </c>
      <c r="M28" s="641">
        <f>'Borough kWh'!M28*EF_GHG_GasOil/1000000</f>
        <v>65.610806738004186</v>
      </c>
      <c r="N28" s="641">
        <f>'Borough kWh'!N28*EF_GHG_W_R_IC/1000000</f>
        <v>1.0874619086039541</v>
      </c>
      <c r="O28" s="817">
        <f t="shared" si="1"/>
        <v>287.79120199437818</v>
      </c>
      <c r="P28" s="641">
        <f>'II. Transport '!G27/1000-Y28</f>
        <v>0</v>
      </c>
      <c r="Q28" s="641">
        <f>'II. Transport '!H27/1000</f>
        <v>0</v>
      </c>
      <c r="R28" s="641">
        <f>'II. Transport '!E27/1000</f>
        <v>2.3231424973934929</v>
      </c>
      <c r="S28" s="641">
        <f>'II. Transport '!F27/1000</f>
        <v>14.583901783692774</v>
      </c>
      <c r="T28" s="641">
        <f>'II. Transport '!O245/1000</f>
        <v>97.852010244259986</v>
      </c>
      <c r="U28" s="642">
        <f>'II. Transport '!AA245/1000</f>
        <v>2.3797620284037473</v>
      </c>
      <c r="V28" s="833">
        <f t="shared" si="2"/>
        <v>117.13881655375</v>
      </c>
      <c r="W28" s="641">
        <f>'II. Transport '!T27/1000</f>
        <v>0.5318856238181997</v>
      </c>
      <c r="X28" s="641">
        <f>'II. Transport '!U27/1000</f>
        <v>112.42362821093982</v>
      </c>
      <c r="Y28" s="692">
        <f>('II. Transport '!F113+'II. Transport '!G113+'II. Transport '!K113+'II. Transport '!L113)/1000</f>
        <v>0</v>
      </c>
      <c r="Z28" s="833">
        <f t="shared" si="3"/>
        <v>112.95551383475802</v>
      </c>
      <c r="AA28" s="835"/>
      <c r="AB28" s="835"/>
      <c r="AC28" s="835"/>
      <c r="AD28" s="835"/>
      <c r="AE28" s="837">
        <f t="shared" si="4"/>
        <v>712.40114230383551</v>
      </c>
      <c r="AF28" s="121"/>
    </row>
    <row r="29" spans="2:32" x14ac:dyDescent="0.3">
      <c r="B29" s="814" t="s">
        <v>122</v>
      </c>
      <c r="C29" s="832">
        <f>'Borough kWh'!C29*(EF_GHG_ElectGen+EF_GHG_ElectTD)/1000000</f>
        <v>62.871848266195457</v>
      </c>
      <c r="D29" s="61">
        <f>'Borough kWh'!D29*EF_GHG_NatGas_DCI/1000000</f>
        <v>137.33537987930271</v>
      </c>
      <c r="E29" s="61">
        <f>'Borough kWh'!E29*EF_GHG_Coal_DCI/1000000</f>
        <v>0.61838109480138836</v>
      </c>
      <c r="F29" s="61">
        <f>'Borough kWh'!F29*EF_GHG_GasOil/1000000</f>
        <v>1.7771727451315913</v>
      </c>
      <c r="G29" s="61">
        <f>'Borough kWh'!G29*EF_GHG_W_R_IC/1000000</f>
        <v>0.59808685367955738</v>
      </c>
      <c r="H29" s="817">
        <f t="shared" si="0"/>
        <v>203.20086883911068</v>
      </c>
      <c r="I29" s="61">
        <f>'Borough kWh'!I29*(EF_GHG_ElectGen+EF_GHG_ElectTD)/1000000</f>
        <v>176.0131543854024</v>
      </c>
      <c r="J29" s="61">
        <f>'Borough kWh'!J29*(EF_GHG_ElectGen+EF_GHG_ElectTD)/1000000</f>
        <v>164.43922266724402</v>
      </c>
      <c r="K29" s="61">
        <f>'Borough kWh'!K29*EF_GHG_NatGas_DCI/1000000</f>
        <v>139.38845007878584</v>
      </c>
      <c r="L29" s="61">
        <f>'Borough kWh'!L29*EF_GHG_Coal_DCI/1000000</f>
        <v>0.35899776916790138</v>
      </c>
      <c r="M29" s="641">
        <f>'Borough kWh'!M29*EF_GHG_GasOil/1000000</f>
        <v>62.563843038430392</v>
      </c>
      <c r="N29" s="641">
        <f>'Borough kWh'!N29*EF_GHG_W_R_IC/1000000</f>
        <v>0.20363099421936701</v>
      </c>
      <c r="O29" s="817">
        <f t="shared" si="1"/>
        <v>366.95414454784753</v>
      </c>
      <c r="P29" s="641">
        <f>'II. Transport '!G28/1000-Y29</f>
        <v>0</v>
      </c>
      <c r="Q29" s="641">
        <f>'II. Transport '!H28/1000</f>
        <v>1.6817116178682111E-2</v>
      </c>
      <c r="R29" s="641">
        <f>'II. Transport '!E28/1000</f>
        <v>0.29542252469489233</v>
      </c>
      <c r="S29" s="641">
        <f>'II. Transport '!F28/1000</f>
        <v>8.6480802551584421</v>
      </c>
      <c r="T29" s="641">
        <f>'II. Transport '!O246/1000</f>
        <v>127.13664869303301</v>
      </c>
      <c r="U29" s="642">
        <f>'II. Transport '!AA246/1000</f>
        <v>2.9258514629999475</v>
      </c>
      <c r="V29" s="833">
        <f t="shared" si="2"/>
        <v>139.02282005206499</v>
      </c>
      <c r="W29" s="641">
        <f>'II. Transport '!T28/1000</f>
        <v>0.65245421802137593</v>
      </c>
      <c r="X29" s="641">
        <f>'II. Transport '!U28/1000</f>
        <v>9.7107342995537653</v>
      </c>
      <c r="Y29" s="692">
        <f>('II. Transport '!F114+'II. Transport '!G114+'II. Transport '!K114+'II. Transport '!L114)/1000</f>
        <v>0</v>
      </c>
      <c r="Z29" s="833">
        <f t="shared" si="3"/>
        <v>10.363188517575141</v>
      </c>
      <c r="AA29" s="835"/>
      <c r="AB29" s="835"/>
      <c r="AC29" s="835"/>
      <c r="AD29" s="835"/>
      <c r="AE29" s="837">
        <f t="shared" si="4"/>
        <v>719.54102195659834</v>
      </c>
      <c r="AF29" s="121"/>
    </row>
    <row r="30" spans="2:32" x14ac:dyDescent="0.3">
      <c r="B30" s="814" t="s">
        <v>123</v>
      </c>
      <c r="C30" s="832">
        <f>'Borough kWh'!C30*(EF_GHG_ElectGen+EF_GHG_ElectTD)/1000000</f>
        <v>46.679942189256984</v>
      </c>
      <c r="D30" s="61">
        <f>'Borough kWh'!D30*EF_GHG_NatGas_DCI/1000000</f>
        <v>135.26436478675535</v>
      </c>
      <c r="E30" s="61">
        <f>'Borough kWh'!E30*EF_GHG_Coal_DCI/1000000</f>
        <v>1.6703432898358148</v>
      </c>
      <c r="F30" s="61">
        <f>'Borough kWh'!F30*EF_GHG_GasOil/1000000</f>
        <v>0.84462214192632146</v>
      </c>
      <c r="G30" s="61">
        <f>'Borough kWh'!G30*EF_GHG_W_R_IC/1000000</f>
        <v>2.5884246687450712</v>
      </c>
      <c r="H30" s="817">
        <f t="shared" si="0"/>
        <v>187.04769707651954</v>
      </c>
      <c r="I30" s="61">
        <f>'Borough kWh'!I30*(EF_GHG_ElectGen+EF_GHG_ElectTD)/1000000</f>
        <v>55.740150773991552</v>
      </c>
      <c r="J30" s="61">
        <f>'Borough kWh'!J30*(EF_GHG_ElectGen+EF_GHG_ElectTD)/1000000</f>
        <v>48.591604917803465</v>
      </c>
      <c r="K30" s="61">
        <f>'Borough kWh'!K30*EF_GHG_NatGas_DCI/1000000</f>
        <v>39.060043763354336</v>
      </c>
      <c r="L30" s="61">
        <f>'Borough kWh'!L30*EF_GHG_Coal_DCI/1000000</f>
        <v>0.3757856154398122</v>
      </c>
      <c r="M30" s="641">
        <f>'Borough kWh'!M30*EF_GHG_GasOil/1000000</f>
        <v>25.524871669587661</v>
      </c>
      <c r="N30" s="641">
        <f>'Borough kWh'!N30*EF_GHG_W_R_IC/1000000</f>
        <v>0.37044936445456939</v>
      </c>
      <c r="O30" s="817">
        <f t="shared" si="1"/>
        <v>113.92275533063986</v>
      </c>
      <c r="P30" s="641">
        <f>'II. Transport '!G29/1000-Y30</f>
        <v>0</v>
      </c>
      <c r="Q30" s="641">
        <f>'II. Transport '!H29/1000</f>
        <v>0</v>
      </c>
      <c r="R30" s="641">
        <f>'II. Transport '!E29/1000</f>
        <v>0.54496190971215619</v>
      </c>
      <c r="S30" s="641">
        <f>'II. Transport '!F29/1000</f>
        <v>4.2912517592901844</v>
      </c>
      <c r="T30" s="641">
        <f>'II. Transport '!O247/1000</f>
        <v>167.46558503913297</v>
      </c>
      <c r="U30" s="642">
        <f>'II. Transport '!AA247/1000</f>
        <v>2.8572940968979079</v>
      </c>
      <c r="V30" s="833">
        <f t="shared" si="2"/>
        <v>175.15909280503323</v>
      </c>
      <c r="W30" s="641">
        <f>'II. Transport '!T29/1000</f>
        <v>0.22835354081502951</v>
      </c>
      <c r="X30" s="641">
        <f>'II. Transport '!U29/1000</f>
        <v>7.6878014114762223</v>
      </c>
      <c r="Y30" s="692">
        <f>('II. Transport '!F115+'II. Transport '!G115+'II. Transport '!K115+'II. Transport '!L115)/1000</f>
        <v>0</v>
      </c>
      <c r="Z30" s="833">
        <f t="shared" si="3"/>
        <v>7.9161549522912518</v>
      </c>
      <c r="AA30" s="835"/>
      <c r="AB30" s="835"/>
      <c r="AC30" s="835"/>
      <c r="AD30" s="835"/>
      <c r="AE30" s="837">
        <f t="shared" si="4"/>
        <v>484.04570016448389</v>
      </c>
      <c r="AF30" s="121"/>
    </row>
    <row r="31" spans="2:32" x14ac:dyDescent="0.3">
      <c r="B31" s="814" t="s">
        <v>124</v>
      </c>
      <c r="C31" s="832">
        <f>'Borough kWh'!C31*(EF_GHG_ElectGen+EF_GHG_ElectTD)/1000000</f>
        <v>79.008063966469251</v>
      </c>
      <c r="D31" s="61">
        <f>'Borough kWh'!D31*EF_GHG_NatGas_DCI/1000000</f>
        <v>208.65600661399657</v>
      </c>
      <c r="E31" s="61">
        <f>'Borough kWh'!E31*EF_GHG_Coal_DCI/1000000</f>
        <v>2.0373171309681317</v>
      </c>
      <c r="F31" s="61">
        <f>'Borough kWh'!F31*EF_GHG_GasOil/1000000</f>
        <v>1.4077989302382437</v>
      </c>
      <c r="G31" s="61">
        <f>'Borough kWh'!G31*EF_GHG_W_R_IC/1000000</f>
        <v>2.492220293352164</v>
      </c>
      <c r="H31" s="817">
        <f t="shared" si="0"/>
        <v>293.60140693502433</v>
      </c>
      <c r="I31" s="61">
        <f>'Borough kWh'!I31*(EF_GHG_ElectGen+EF_GHG_ElectTD)/1000000</f>
        <v>108.53811625811856</v>
      </c>
      <c r="J31" s="61">
        <f>'Borough kWh'!J31*(EF_GHG_ElectGen+EF_GHG_ElectTD)/1000000</f>
        <v>84.382138900165344</v>
      </c>
      <c r="K31" s="61">
        <f>'Borough kWh'!K31*EF_GHG_NatGas_DCI/1000000</f>
        <v>140.90671446448221</v>
      </c>
      <c r="L31" s="61">
        <f>'Borough kWh'!L31*EF_GHG_Coal_DCI/1000000</f>
        <v>1.1063882849275395</v>
      </c>
      <c r="M31" s="641">
        <f>'Borough kWh'!M31*EF_GHG_GasOil/1000000</f>
        <v>58.743700898519371</v>
      </c>
      <c r="N31" s="641">
        <f>'Borough kWh'!N31*EF_GHG_W_R_IC/1000000</f>
        <v>1.2800762977871289</v>
      </c>
      <c r="O31" s="817">
        <f t="shared" si="1"/>
        <v>286.41901884588157</v>
      </c>
      <c r="P31" s="641">
        <f>'II. Transport '!G30/1000-Y31</f>
        <v>0</v>
      </c>
      <c r="Q31" s="641">
        <f>'II. Transport '!H30/1000</f>
        <v>3.5175438543029278E-2</v>
      </c>
      <c r="R31" s="641">
        <f>'II. Transport '!E30/1000</f>
        <v>1.2699390387016178</v>
      </c>
      <c r="S31" s="641">
        <f>'II. Transport '!F30/1000</f>
        <v>20.107064617758688</v>
      </c>
      <c r="T31" s="641">
        <f>'II. Transport '!O248/1000</f>
        <v>187.48823141976197</v>
      </c>
      <c r="U31" s="642">
        <f>'II. Transport '!AA248/1000</f>
        <v>4.0489127401945337</v>
      </c>
      <c r="V31" s="833">
        <f t="shared" si="2"/>
        <v>212.94932325495984</v>
      </c>
      <c r="W31" s="641">
        <f>'II. Transport '!T30/1000</f>
        <v>0.48240300503408229</v>
      </c>
      <c r="X31" s="641">
        <f>'II. Transport '!U30/1000</f>
        <v>11.771424899095631</v>
      </c>
      <c r="Y31" s="692">
        <f>('II. Transport '!F116+'II. Transport '!G116+'II. Transport '!K116+'II. Transport '!L116)/1000</f>
        <v>0</v>
      </c>
      <c r="Z31" s="833">
        <f t="shared" si="3"/>
        <v>12.253827904129714</v>
      </c>
      <c r="AA31" s="835"/>
      <c r="AB31" s="835"/>
      <c r="AC31" s="835"/>
      <c r="AD31" s="835"/>
      <c r="AE31" s="837">
        <f t="shared" si="4"/>
        <v>805.2235769399955</v>
      </c>
      <c r="AF31" s="121"/>
    </row>
    <row r="32" spans="2:32" x14ac:dyDescent="0.3">
      <c r="B32" s="814" t="s">
        <v>125</v>
      </c>
      <c r="C32" s="832">
        <f>'Borough kWh'!C32*(EF_GHG_ElectGen+EF_GHG_ElectTD)/1000000</f>
        <v>74.906826729619112</v>
      </c>
      <c r="D32" s="61">
        <f>'Borough kWh'!D32*EF_GHG_NatGas_DCI/1000000</f>
        <v>202.22630264968157</v>
      </c>
      <c r="E32" s="61">
        <f>'Borough kWh'!E32*EF_GHG_Coal_DCI/1000000</f>
        <v>3.3593587434292633</v>
      </c>
      <c r="F32" s="61">
        <f>'Borough kWh'!F32*EF_GHG_GasOil/1000000</f>
        <v>1.0286592907088203</v>
      </c>
      <c r="G32" s="61">
        <f>'Borough kWh'!G32*EF_GHG_W_R_IC/1000000</f>
        <v>4.1442947337801623</v>
      </c>
      <c r="H32" s="817">
        <f t="shared" si="0"/>
        <v>285.66544214721893</v>
      </c>
      <c r="I32" s="61">
        <f>'Borough kWh'!I32*(EF_GHG_ElectGen+EF_GHG_ElectTD)/1000000</f>
        <v>52.433062272326154</v>
      </c>
      <c r="J32" s="61">
        <f>'Borough kWh'!J32*(EF_GHG_ElectGen+EF_GHG_ElectTD)/1000000</f>
        <v>30.142639264928935</v>
      </c>
      <c r="K32" s="61">
        <f>'Borough kWh'!K32*EF_GHG_NatGas_DCI/1000000</f>
        <v>63.202437602601272</v>
      </c>
      <c r="L32" s="61">
        <f>'Borough kWh'!L32*EF_GHG_Coal_DCI/1000000</f>
        <v>0.71676742184131814</v>
      </c>
      <c r="M32" s="641">
        <f>'Borough kWh'!M32*EF_GHG_GasOil/1000000</f>
        <v>29.193604675960035</v>
      </c>
      <c r="N32" s="641">
        <f>'Borough kWh'!N32*EF_GHG_W_R_IC/1000000</f>
        <v>0.74409211138235387</v>
      </c>
      <c r="O32" s="817">
        <f t="shared" si="1"/>
        <v>123.99954107671391</v>
      </c>
      <c r="P32" s="641">
        <f>'II. Transport '!G31/1000-Y32</f>
        <v>0</v>
      </c>
      <c r="Q32" s="641">
        <f>'II. Transport '!H31/1000</f>
        <v>1.1500723854676504</v>
      </c>
      <c r="R32" s="641">
        <f>'II. Transport '!E31/1000</f>
        <v>2.1736089622223704</v>
      </c>
      <c r="S32" s="641">
        <f>'II. Transport '!F31/1000</f>
        <v>19.159452328075854</v>
      </c>
      <c r="T32" s="641">
        <f>'II. Transport '!O249/1000</f>
        <v>176.08929082330303</v>
      </c>
      <c r="U32" s="642">
        <f>'II. Transport '!AA249/1000</f>
        <v>3.1309706793213721</v>
      </c>
      <c r="V32" s="833">
        <f t="shared" si="2"/>
        <v>201.70339517839028</v>
      </c>
      <c r="W32" s="641">
        <f>'II. Transport '!T31/1000</f>
        <v>0.19913711384100638</v>
      </c>
      <c r="X32" s="641">
        <f>'II. Transport '!U31/1000</f>
        <v>5.9149352229500467</v>
      </c>
      <c r="Y32" s="692">
        <f>('II. Transport '!F117+'II. Transport '!G117+'II. Transport '!K117+'II. Transport '!L117)/1000</f>
        <v>0</v>
      </c>
      <c r="Z32" s="833">
        <f t="shared" si="3"/>
        <v>6.114072336791053</v>
      </c>
      <c r="AA32" s="835"/>
      <c r="AB32" s="835"/>
      <c r="AC32" s="835"/>
      <c r="AD32" s="835"/>
      <c r="AE32" s="837">
        <f t="shared" si="4"/>
        <v>617.48245073911414</v>
      </c>
      <c r="AF32" s="121"/>
    </row>
    <row r="33" spans="2:32" x14ac:dyDescent="0.3">
      <c r="B33" s="814" t="s">
        <v>126</v>
      </c>
      <c r="C33" s="832">
        <f>'Borough kWh'!C33*(EF_GHG_ElectGen+EF_GHG_ElectTD)/1000000</f>
        <v>56.485332191137012</v>
      </c>
      <c r="D33" s="61">
        <f>'Borough kWh'!D33*EF_GHG_NatGas_DCI/1000000</f>
        <v>165.02451827909755</v>
      </c>
      <c r="E33" s="61">
        <f>'Borough kWh'!E33*EF_GHG_Coal_DCI/1000000</f>
        <v>2.7511243700590122</v>
      </c>
      <c r="F33" s="61">
        <f>'Borough kWh'!F33*EF_GHG_GasOil/1000000</f>
        <v>1.0982002862917644</v>
      </c>
      <c r="G33" s="61">
        <f>'Borough kWh'!G33*EF_GHG_W_R_IC/1000000</f>
        <v>3.7361640769368973</v>
      </c>
      <c r="H33" s="817">
        <f t="shared" si="0"/>
        <v>229.09533920352223</v>
      </c>
      <c r="I33" s="61">
        <f>'Borough kWh'!I33*(EF_GHG_ElectGen+EF_GHG_ElectTD)/1000000</f>
        <v>84.807715200025925</v>
      </c>
      <c r="J33" s="61">
        <f>'Borough kWh'!J33*(EF_GHG_ElectGen+EF_GHG_ElectTD)/1000000</f>
        <v>72.719101703711971</v>
      </c>
      <c r="K33" s="61">
        <f>'Borough kWh'!K33*EF_GHG_NatGas_DCI/1000000</f>
        <v>51.067133157190007</v>
      </c>
      <c r="L33" s="61">
        <f>'Borough kWh'!L33*EF_GHG_Coal_DCI/1000000</f>
        <v>0.52897113600498302</v>
      </c>
      <c r="M33" s="641">
        <f>'Borough kWh'!M33*EF_GHG_GasOil/1000000</f>
        <v>21.121788022762249</v>
      </c>
      <c r="N33" s="641">
        <f>'Borough kWh'!N33*EF_GHG_W_R_IC/1000000</f>
        <v>0.7740188382549017</v>
      </c>
      <c r="O33" s="817">
        <f t="shared" si="1"/>
        <v>146.21101285792412</v>
      </c>
      <c r="P33" s="641">
        <f>'II. Transport '!G32/1000-Y33</f>
        <v>0</v>
      </c>
      <c r="Q33" s="641">
        <f>'II. Transport '!H32/1000</f>
        <v>0</v>
      </c>
      <c r="R33" s="641">
        <f>'II. Transport '!E32/1000</f>
        <v>0.72068474629704127</v>
      </c>
      <c r="S33" s="641">
        <f>'II. Transport '!F32/1000</f>
        <v>9.8450184024262537</v>
      </c>
      <c r="T33" s="641">
        <f>'II. Transport '!O250/1000</f>
        <v>144.00389963325799</v>
      </c>
      <c r="U33" s="642">
        <f>'II. Transport '!AA250/1000</f>
        <v>2.2435950938877145</v>
      </c>
      <c r="V33" s="833">
        <f t="shared" si="2"/>
        <v>156.81319787586898</v>
      </c>
      <c r="W33" s="641">
        <f>'II. Transport '!T32/1000</f>
        <v>0.32832206928564295</v>
      </c>
      <c r="X33" s="641">
        <f>'II. Transport '!U32/1000</f>
        <v>5.7575256361713736</v>
      </c>
      <c r="Y33" s="692">
        <f>('II. Transport '!F118+'II. Transport '!G118+'II. Transport '!K118+'II. Transport '!L118)/1000</f>
        <v>0</v>
      </c>
      <c r="Z33" s="833">
        <f t="shared" si="3"/>
        <v>6.0858477054570166</v>
      </c>
      <c r="AA33" s="835"/>
      <c r="AB33" s="835"/>
      <c r="AC33" s="835"/>
      <c r="AD33" s="835"/>
      <c r="AE33" s="837">
        <f t="shared" si="4"/>
        <v>538.20539764277225</v>
      </c>
      <c r="AF33" s="121"/>
    </row>
    <row r="34" spans="2:32" x14ac:dyDescent="0.3">
      <c r="B34" s="814" t="s">
        <v>127</v>
      </c>
      <c r="C34" s="832">
        <f>'Borough kWh'!C34*(EF_GHG_ElectGen+EF_GHG_ElectTD)/1000000</f>
        <v>72.949447191586117</v>
      </c>
      <c r="D34" s="61">
        <f>'Borough kWh'!D34*EF_GHG_NatGas_DCI/1000000</f>
        <v>169.47251023599199</v>
      </c>
      <c r="E34" s="61">
        <f>'Borough kWh'!E34*EF_GHG_Coal_DCI/1000000</f>
        <v>4.697225986601298</v>
      </c>
      <c r="F34" s="61">
        <f>'Borough kWh'!F34*EF_GHG_GasOil/1000000</f>
        <v>0.4673272889476105</v>
      </c>
      <c r="G34" s="61">
        <f>'Borough kWh'!G34*EF_GHG_W_R_IC/1000000</f>
        <v>4.2670822500580208</v>
      </c>
      <c r="H34" s="817">
        <f t="shared" si="0"/>
        <v>251.85359295318503</v>
      </c>
      <c r="I34" s="61">
        <f>'Borough kWh'!I34*(EF_GHG_ElectGen+EF_GHG_ElectTD)/1000000</f>
        <v>188.27314005592856</v>
      </c>
      <c r="J34" s="61">
        <f>'Borough kWh'!J34*(EF_GHG_ElectGen+EF_GHG_ElectTD)/1000000</f>
        <v>160.69752654222822</v>
      </c>
      <c r="K34" s="61">
        <f>'Borough kWh'!K34*EF_GHG_NatGas_DCI/1000000</f>
        <v>179.88850462403764</v>
      </c>
      <c r="L34" s="61">
        <f>'Borough kWh'!L34*EF_GHG_Coal_DCI/1000000</f>
        <v>1.9011303336463801</v>
      </c>
      <c r="M34" s="641">
        <f>'Borough kWh'!M34*EF_GHG_GasOil/1000000</f>
        <v>102.64251580224439</v>
      </c>
      <c r="N34" s="641">
        <f>'Borough kWh'!N34*EF_GHG_W_R_IC/1000000</f>
        <v>25.790560453594814</v>
      </c>
      <c r="O34" s="817">
        <f t="shared" si="1"/>
        <v>470.92023775575149</v>
      </c>
      <c r="P34" s="641">
        <f>'II. Transport '!G33/1000-Y34</f>
        <v>14.897268848070436</v>
      </c>
      <c r="Q34" s="641">
        <f>'II. Transport '!H33/1000</f>
        <v>4.1281163236319545</v>
      </c>
      <c r="R34" s="641">
        <f>'II. Transport '!E33/1000</f>
        <v>2.1607505052978682</v>
      </c>
      <c r="S34" s="641">
        <f>'II. Transport '!F33/1000</f>
        <v>23.796586165177079</v>
      </c>
      <c r="T34" s="641">
        <f>'II. Transport '!O251/1000</f>
        <v>188.49618998984099</v>
      </c>
      <c r="U34" s="642">
        <f>'II. Transport '!AA251/1000</f>
        <v>3.7790273485232562</v>
      </c>
      <c r="V34" s="833">
        <f t="shared" si="2"/>
        <v>237.25793918054157</v>
      </c>
      <c r="W34" s="641">
        <f>'II. Transport '!T33/1000</f>
        <v>0.4993552356902054</v>
      </c>
      <c r="X34" s="641">
        <f>'II. Transport '!U33/1000</f>
        <v>8.2973239557613887</v>
      </c>
      <c r="Y34" s="692">
        <f>('II. Transport '!F119+'II. Transport '!G119+'II. Transport '!K119+'II. Transport '!L119)/1000</f>
        <v>0.16338765913347722</v>
      </c>
      <c r="Z34" s="833">
        <f t="shared" si="3"/>
        <v>8.9600668505850702</v>
      </c>
      <c r="AA34" s="835"/>
      <c r="AB34" s="835"/>
      <c r="AC34" s="835"/>
      <c r="AD34" s="835"/>
      <c r="AE34" s="837">
        <f t="shared" si="4"/>
        <v>968.99183674006326</v>
      </c>
      <c r="AF34" s="121"/>
    </row>
    <row r="35" spans="2:32" x14ac:dyDescent="0.3">
      <c r="B35" s="814" t="s">
        <v>128</v>
      </c>
      <c r="C35" s="832">
        <f>'Borough kWh'!C35*(EF_GHG_ElectGen+EF_GHG_ElectTD)/1000000</f>
        <v>72.408436420195898</v>
      </c>
      <c r="D35" s="61">
        <f>'Borough kWh'!D35*EF_GHG_NatGas_DCI/1000000</f>
        <v>224.15074907671138</v>
      </c>
      <c r="E35" s="61">
        <f>'Borough kWh'!E35*EF_GHG_Coal_DCI/1000000</f>
        <v>3.9932419862083344</v>
      </c>
      <c r="F35" s="61">
        <f>'Borough kWh'!F35*EF_GHG_GasOil/1000000</f>
        <v>1.1716050588257008</v>
      </c>
      <c r="G35" s="61">
        <f>'Borough kWh'!G35*EF_GHG_W_R_IC/1000000</f>
        <v>4.7649430032168221</v>
      </c>
      <c r="H35" s="817">
        <f t="shared" si="0"/>
        <v>306.48897554515816</v>
      </c>
      <c r="I35" s="61">
        <f>'Borough kWh'!I35*(EF_GHG_ElectGen+EF_GHG_ElectTD)/1000000</f>
        <v>44.165775456715693</v>
      </c>
      <c r="J35" s="61">
        <f>'Borough kWh'!J35*(EF_GHG_ElectGen+EF_GHG_ElectTD)/1000000</f>
        <v>30.591147154967484</v>
      </c>
      <c r="K35" s="61">
        <f>'Borough kWh'!K35*EF_GHG_NatGas_DCI/1000000</f>
        <v>39.275603029601754</v>
      </c>
      <c r="L35" s="61">
        <f>'Borough kWh'!L35*EF_GHG_Coal_DCI/1000000</f>
        <v>1.7805713529376774</v>
      </c>
      <c r="M35" s="641">
        <f>'Borough kWh'!M35*EF_GHG_GasOil/1000000</f>
        <v>41.205094464364066</v>
      </c>
      <c r="N35" s="641">
        <f>'Borough kWh'!N35*EF_GHG_W_R_IC/1000000</f>
        <v>2.506271537777419</v>
      </c>
      <c r="O35" s="817">
        <f t="shared" si="1"/>
        <v>115.3586875396484</v>
      </c>
      <c r="P35" s="641">
        <f>'II. Transport '!G34/1000-Y35</f>
        <v>0.34359977508267003</v>
      </c>
      <c r="Q35" s="641">
        <f>'II. Transport '!H34/1000</f>
        <v>0</v>
      </c>
      <c r="R35" s="641">
        <f>'II. Transport '!E34/1000</f>
        <v>0.66503289767078555</v>
      </c>
      <c r="S35" s="641">
        <f>'II. Transport '!F34/1000</f>
        <v>9.8714247682686906</v>
      </c>
      <c r="T35" s="641">
        <f>'II. Transport '!O252/1000</f>
        <v>211.07615703904</v>
      </c>
      <c r="U35" s="642">
        <f>'II. Transport '!AA252/1000</f>
        <v>3.7032035334795257</v>
      </c>
      <c r="V35" s="833">
        <f t="shared" si="2"/>
        <v>225.65941801354168</v>
      </c>
      <c r="W35" s="641">
        <f>'II. Transport '!T34/1000</f>
        <v>0.25835829954651512</v>
      </c>
      <c r="X35" s="641">
        <f>'II. Transport '!U34/1000</f>
        <v>12.682779990747429</v>
      </c>
      <c r="Y35" s="692">
        <f>('II. Transport '!F120+'II. Transport '!G120+'II. Transport '!K120+'II. Transport '!L120)/1000</f>
        <v>0</v>
      </c>
      <c r="Z35" s="833">
        <f t="shared" si="3"/>
        <v>12.941138290293944</v>
      </c>
      <c r="AA35" s="835"/>
      <c r="AB35" s="835"/>
      <c r="AC35" s="835"/>
      <c r="AD35" s="835"/>
      <c r="AE35" s="837">
        <f t="shared" si="4"/>
        <v>660.44821938864209</v>
      </c>
      <c r="AF35" s="121"/>
    </row>
    <row r="36" spans="2:32" x14ac:dyDescent="0.3">
      <c r="B36" s="814" t="s">
        <v>129</v>
      </c>
      <c r="C36" s="832">
        <f>'Borough kWh'!C36*(EF_GHG_ElectGen+EF_GHG_ElectTD)/1000000</f>
        <v>58.738686689481597</v>
      </c>
      <c r="D36" s="61">
        <f>'Borough kWh'!D36*EF_GHG_NatGas_DCI/1000000</f>
        <v>179.0984974940647</v>
      </c>
      <c r="E36" s="61">
        <f>'Borough kWh'!E36*EF_GHG_Coal_DCI/1000000</f>
        <v>1.710181233063774</v>
      </c>
      <c r="F36" s="61">
        <f>'Borough kWh'!F36*EF_GHG_GasOil/1000000</f>
        <v>1.5648805692700298</v>
      </c>
      <c r="G36" s="61">
        <f>'Borough kWh'!G36*EF_GHG_W_R_IC/1000000</f>
        <v>3.1822489321276191</v>
      </c>
      <c r="H36" s="817">
        <f t="shared" si="0"/>
        <v>244.2944949180077</v>
      </c>
      <c r="I36" s="61">
        <f>'Borough kWh'!I36*(EF_GHG_ElectGen+EF_GHG_ElectTD)/1000000</f>
        <v>54.865180048168469</v>
      </c>
      <c r="J36" s="61">
        <f>'Borough kWh'!J36*(EF_GHG_ElectGen+EF_GHG_ElectTD)/1000000</f>
        <v>47.351807538948975</v>
      </c>
      <c r="K36" s="61">
        <f>'Borough kWh'!K36*EF_GHG_NatGas_DCI/1000000</f>
        <v>48.516653443480344</v>
      </c>
      <c r="L36" s="61">
        <f>'Borough kWh'!L36*EF_GHG_Coal_DCI/1000000</f>
        <v>1.7896913555463507</v>
      </c>
      <c r="M36" s="641">
        <f>'Borough kWh'!M36*EF_GHG_GasOil/1000000</f>
        <v>15.564526357633582</v>
      </c>
      <c r="N36" s="641">
        <f>'Borough kWh'!N36*EF_GHG_W_R_IC/1000000</f>
        <v>2.7205211279008368</v>
      </c>
      <c r="O36" s="817">
        <f t="shared" si="1"/>
        <v>115.9431998235101</v>
      </c>
      <c r="P36" s="641">
        <f>'II. Transport '!G35/1000-Y36</f>
        <v>36.551532369948944</v>
      </c>
      <c r="Q36" s="641">
        <f>'II. Transport '!H35/1000</f>
        <v>0</v>
      </c>
      <c r="R36" s="641">
        <f>'II. Transport '!E35/1000</f>
        <v>0.38173363228949508</v>
      </c>
      <c r="S36" s="641">
        <f>'II. Transport '!F35/1000</f>
        <v>4.6808791184921441</v>
      </c>
      <c r="T36" s="641">
        <f>'II. Transport '!O253/1000</f>
        <v>161.30761518200003</v>
      </c>
      <c r="U36" s="642">
        <f>'II. Transport '!AA253/1000</f>
        <v>2.8324933907273544</v>
      </c>
      <c r="V36" s="833">
        <f t="shared" si="2"/>
        <v>205.75425369345797</v>
      </c>
      <c r="W36" s="641">
        <f>'II. Transport '!T35/1000</f>
        <v>0.14904032938406606</v>
      </c>
      <c r="X36" s="641">
        <f>'II. Transport '!U35/1000</f>
        <v>5.5550452648618132</v>
      </c>
      <c r="Y36" s="692">
        <f>('II. Transport '!F121+'II. Transport '!G121+'II. Transport '!K121+'II. Transport '!L121)/1000</f>
        <v>0</v>
      </c>
      <c r="Z36" s="833">
        <f t="shared" si="3"/>
        <v>5.7040855942458792</v>
      </c>
      <c r="AA36" s="835"/>
      <c r="AB36" s="835"/>
      <c r="AC36" s="835"/>
      <c r="AD36" s="835"/>
      <c r="AE36" s="837">
        <f t="shared" si="4"/>
        <v>571.69603402922155</v>
      </c>
      <c r="AF36" s="121"/>
    </row>
    <row r="37" spans="2:32" x14ac:dyDescent="0.3">
      <c r="B37" s="814" t="s">
        <v>130</v>
      </c>
      <c r="C37" s="832">
        <f>'Borough kWh'!C37*(EF_GHG_ElectGen+EF_GHG_ElectTD)/1000000</f>
        <v>81.181529144167826</v>
      </c>
      <c r="D37" s="61">
        <f>'Borough kWh'!D37*EF_GHG_NatGas_DCI/1000000</f>
        <v>158.49525869948116</v>
      </c>
      <c r="E37" s="61">
        <f>'Borough kWh'!E37*EF_GHG_Coal_DCI/1000000</f>
        <v>1.7086207594447773</v>
      </c>
      <c r="F37" s="61">
        <f>'Borough kWh'!F37*EF_GHG_GasOil/1000000</f>
        <v>1.8897069774530639</v>
      </c>
      <c r="G37" s="61">
        <f>'Borough kWh'!G37*EF_GHG_W_R_IC/1000000</f>
        <v>2.0791129893164402</v>
      </c>
      <c r="H37" s="817">
        <f t="shared" si="0"/>
        <v>245.35422856986327</v>
      </c>
      <c r="I37" s="61">
        <f>'Borough kWh'!I37*(EF_GHG_ElectGen+EF_GHG_ElectTD)/1000000</f>
        <v>160.12256606586885</v>
      </c>
      <c r="J37" s="61">
        <f>'Borough kWh'!J37*(EF_GHG_ElectGen+EF_GHG_ElectTD)/1000000</f>
        <v>136.13475805813354</v>
      </c>
      <c r="K37" s="61">
        <f>'Borough kWh'!K37*EF_GHG_NatGas_DCI/1000000</f>
        <v>151.8220330869614</v>
      </c>
      <c r="L37" s="61">
        <f>'Borough kWh'!L37*EF_GHG_Coal_DCI/1000000</f>
        <v>1.4148560572968119</v>
      </c>
      <c r="M37" s="641">
        <f>'Borough kWh'!M37*EF_GHG_GasOil/1000000</f>
        <v>106.41174090377264</v>
      </c>
      <c r="N37" s="641">
        <f>'Borough kWh'!N37*EF_GHG_W_R_IC/1000000</f>
        <v>1.5325665843517038</v>
      </c>
      <c r="O37" s="817">
        <f t="shared" si="1"/>
        <v>397.31595469051604</v>
      </c>
      <c r="P37" s="641">
        <f>'II. Transport '!G36/1000-Y37</f>
        <v>1.2434328394838976</v>
      </c>
      <c r="Q37" s="641">
        <f>'II. Transport '!H36/1000</f>
        <v>9.1001075994307552</v>
      </c>
      <c r="R37" s="641">
        <f>'II. Transport '!E36/1000</f>
        <v>1.0032520370924671</v>
      </c>
      <c r="S37" s="641">
        <f>'II. Transport '!F36/1000</f>
        <v>19.905248449615119</v>
      </c>
      <c r="T37" s="641">
        <f>'II. Transport '!O254/1000</f>
        <v>180.55058298900795</v>
      </c>
      <c r="U37" s="642">
        <f>'II. Transport '!AA254/1000</f>
        <v>4.082559558120189</v>
      </c>
      <c r="V37" s="833">
        <f t="shared" si="2"/>
        <v>215.88518347275038</v>
      </c>
      <c r="W37" s="641">
        <f>'II. Transport '!T36/1000</f>
        <v>0.98298786660968485</v>
      </c>
      <c r="X37" s="641">
        <f>'II. Transport '!U36/1000</f>
        <v>12.675922963358955</v>
      </c>
      <c r="Y37" s="692">
        <f>('II. Transport '!F122+'II. Transport '!G122+'II. Transport '!K122+'II. Transport '!L122)/1000</f>
        <v>0</v>
      </c>
      <c r="Z37" s="833">
        <f t="shared" si="3"/>
        <v>13.65891082996864</v>
      </c>
      <c r="AA37" s="835"/>
      <c r="AB37" s="835"/>
      <c r="AC37" s="835"/>
      <c r="AD37" s="835"/>
      <c r="AE37" s="837">
        <f t="shared" si="4"/>
        <v>872.21427756309822</v>
      </c>
      <c r="AF37" s="121"/>
    </row>
    <row r="38" spans="2:32" x14ac:dyDescent="0.3">
      <c r="B38" s="814" t="s">
        <v>131</v>
      </c>
      <c r="C38" s="832">
        <f>'Borough kWh'!C38*(EF_GHG_ElectGen+EF_GHG_ElectTD)/1000000</f>
        <v>56.25531024947265</v>
      </c>
      <c r="D38" s="61">
        <f>'Borough kWh'!D38*EF_GHG_NatGas_DCI/1000000</f>
        <v>157.59841820234371</v>
      </c>
      <c r="E38" s="61">
        <f>'Borough kWh'!E38*EF_GHG_Coal_DCI/1000000</f>
        <v>2.1919243032838986</v>
      </c>
      <c r="F38" s="61">
        <f>'Borough kWh'!F38*EF_GHG_GasOil/1000000</f>
        <v>1.2849825300698439</v>
      </c>
      <c r="G38" s="61">
        <f>'Borough kWh'!G38*EF_GHG_W_R_IC/1000000</f>
        <v>3.5816088359158944</v>
      </c>
      <c r="H38" s="817">
        <f t="shared" si="0"/>
        <v>220.91224412108599</v>
      </c>
      <c r="I38" s="61">
        <f>'Borough kWh'!I38*(EF_GHG_ElectGen+EF_GHG_ElectTD)/1000000</f>
        <v>64.568410590029188</v>
      </c>
      <c r="J38" s="61">
        <f>'Borough kWh'!J38*(EF_GHG_ElectGen+EF_GHG_ElectTD)/1000000</f>
        <v>58.987283486061813</v>
      </c>
      <c r="K38" s="61">
        <f>'Borough kWh'!K38*EF_GHG_NatGas_DCI/1000000</f>
        <v>46.249646337563277</v>
      </c>
      <c r="L38" s="61">
        <f>'Borough kWh'!L38*EF_GHG_Coal_DCI/1000000</f>
        <v>3.7210299966435709</v>
      </c>
      <c r="M38" s="641">
        <f>'Borough kWh'!M38*EF_GHG_GasOil/1000000</f>
        <v>16.304225897180306</v>
      </c>
      <c r="N38" s="641">
        <f>'Borough kWh'!N38*EF_GHG_W_R_IC/1000000</f>
        <v>5.3784049541561023</v>
      </c>
      <c r="O38" s="817">
        <f t="shared" si="1"/>
        <v>130.64059067160505</v>
      </c>
      <c r="P38" s="641">
        <f>'II. Transport '!G37/1000-Y38</f>
        <v>6.0942310057785561E-2</v>
      </c>
      <c r="Q38" s="641">
        <f>'II. Transport '!H37/1000</f>
        <v>0</v>
      </c>
      <c r="R38" s="641">
        <f>'II. Transport '!E37/1000</f>
        <v>0.13359719565153266</v>
      </c>
      <c r="S38" s="641">
        <f>'II. Transport '!F37/1000</f>
        <v>3.1885698067750075</v>
      </c>
      <c r="T38" s="641">
        <f>'II. Transport '!O255/1000</f>
        <v>144.41835567375401</v>
      </c>
      <c r="U38" s="642">
        <f>'II. Transport '!AA255/1000</f>
        <v>2.392557297192377</v>
      </c>
      <c r="V38" s="833">
        <f t="shared" si="2"/>
        <v>150.19402228343071</v>
      </c>
      <c r="W38" s="641">
        <f>'II. Transport '!T37/1000</f>
        <v>0.32018555940989712</v>
      </c>
      <c r="X38" s="641">
        <f>'II. Transport '!U37/1000</f>
        <v>2.7658950677748524</v>
      </c>
      <c r="Y38" s="692">
        <f>('II. Transport '!F123+'II. Transport '!G123+'II. Transport '!K123+'II. Transport '!L123)/1000</f>
        <v>0</v>
      </c>
      <c r="Z38" s="833">
        <f t="shared" si="3"/>
        <v>3.0860806271847494</v>
      </c>
      <c r="AA38" s="835"/>
      <c r="AB38" s="835"/>
      <c r="AC38" s="835"/>
      <c r="AD38" s="835"/>
      <c r="AE38" s="837">
        <f t="shared" si="4"/>
        <v>504.83293770330647</v>
      </c>
      <c r="AF38" s="121"/>
    </row>
    <row r="39" spans="2:32" x14ac:dyDescent="0.3">
      <c r="B39" s="814" t="s">
        <v>132</v>
      </c>
      <c r="C39" s="832">
        <f>'Borough kWh'!C39*(EF_GHG_ElectGen+EF_GHG_ElectTD)/1000000</f>
        <v>82.699408151308788</v>
      </c>
      <c r="D39" s="61">
        <f>'Borough kWh'!D39*EF_GHG_NatGas_DCI/1000000</f>
        <v>109.01425582167104</v>
      </c>
      <c r="E39" s="61">
        <f>'Borough kWh'!E39*EF_GHG_Coal_DCI/1000000</f>
        <v>1.0430630609165641</v>
      </c>
      <c r="F39" s="61">
        <f>'Borough kWh'!F39*EF_GHG_GasOil/1000000</f>
        <v>1.0206997087807361</v>
      </c>
      <c r="G39" s="61">
        <f>'Borough kWh'!G39*EF_GHG_W_R_IC/1000000</f>
        <v>1.0754505427438321</v>
      </c>
      <c r="H39" s="817">
        <f t="shared" si="0"/>
        <v>194.85287728542093</v>
      </c>
      <c r="I39" s="61">
        <f>'Borough kWh'!I39*(EF_GHG_ElectGen+EF_GHG_ElectTD)/1000000</f>
        <v>374.26992756221347</v>
      </c>
      <c r="J39" s="61">
        <f>'Borough kWh'!J39*(EF_GHG_ElectGen+EF_GHG_ElectTD)/1000000</f>
        <v>349.10020360555774</v>
      </c>
      <c r="K39" s="61">
        <f>'Borough kWh'!K39*EF_GHG_NatGas_DCI/1000000</f>
        <v>148.57194710931523</v>
      </c>
      <c r="L39" s="61">
        <f>'Borough kWh'!L39*EF_GHG_Coal_DCI/1000000</f>
        <v>1.309204693337547</v>
      </c>
      <c r="M39" s="641">
        <f>'Borough kWh'!M39*EF_GHG_GasOil/1000000</f>
        <v>110.65047730946128</v>
      </c>
      <c r="N39" s="641">
        <f>'Borough kWh'!N39*EF_GHG_W_R_IC/1000000</f>
        <v>1.0831484863389287</v>
      </c>
      <c r="O39" s="817">
        <f t="shared" si="1"/>
        <v>610.71498120401077</v>
      </c>
      <c r="P39" s="641">
        <f>'II. Transport '!G38/1000-Y39</f>
        <v>9.0298052685785528</v>
      </c>
      <c r="Q39" s="641">
        <f>'II. Transport '!H38/1000</f>
        <v>17.515889146338793</v>
      </c>
      <c r="R39" s="641">
        <f>'II. Transport '!E38/1000</f>
        <v>6.9782504748572838E-2</v>
      </c>
      <c r="S39" s="641">
        <f>'II. Transport '!F38/1000</f>
        <v>20.916876747249887</v>
      </c>
      <c r="T39" s="641">
        <f>'II. Transport '!O256/1000</f>
        <v>193.72828423399599</v>
      </c>
      <c r="U39" s="642">
        <f>'II. Transport '!AA256/1000</f>
        <v>4.2528472094059007</v>
      </c>
      <c r="V39" s="833">
        <f t="shared" si="2"/>
        <v>245.5134851103177</v>
      </c>
      <c r="W39" s="641">
        <f>'II. Transport '!T38/1000</f>
        <v>0.86915774504656274</v>
      </c>
      <c r="X39" s="641">
        <f>'II. Transport '!U38/1000</f>
        <v>11.32963972769163</v>
      </c>
      <c r="Y39" s="692">
        <f>('II. Transport '!F124+'II. Transport '!G124+'II. Transport '!K124+'II. Transport '!L124)/1000</f>
        <v>0</v>
      </c>
      <c r="Z39" s="833">
        <f t="shared" si="3"/>
        <v>12.198797472738192</v>
      </c>
      <c r="AA39" s="835"/>
      <c r="AB39" s="835"/>
      <c r="AC39" s="835"/>
      <c r="AD39" s="835"/>
      <c r="AE39" s="837">
        <f t="shared" si="4"/>
        <v>1063.2801410724878</v>
      </c>
      <c r="AF39" s="121"/>
    </row>
    <row r="40" spans="2:32" x14ac:dyDescent="0.3">
      <c r="B40" s="814" t="s">
        <v>133</v>
      </c>
      <c r="C40" s="832">
        <f>'Borough kWh'!C40*(EF_GHG_ElectGen+EF_GHG_ElectTD)/1000000</f>
        <v>62.165921770999141</v>
      </c>
      <c r="D40" s="61">
        <f>'Borough kWh'!D40*EF_GHG_NatGas_DCI/1000000</f>
        <v>180.56000576474605</v>
      </c>
      <c r="E40" s="61">
        <f>'Borough kWh'!E40*EF_GHG_Coal_DCI/1000000</f>
        <v>3.8656813709132218</v>
      </c>
      <c r="F40" s="61">
        <f>'Borough kWh'!F40*EF_GHG_GasOil/1000000</f>
        <v>0.72249559600268365</v>
      </c>
      <c r="G40" s="61">
        <f>'Borough kWh'!G40*EF_GHG_W_R_IC/1000000</f>
        <v>4.0220963160009022</v>
      </c>
      <c r="H40" s="817">
        <f t="shared" si="0"/>
        <v>251.33620081866201</v>
      </c>
      <c r="I40" s="61">
        <f>'Borough kWh'!I40*(EF_GHG_ElectGen+EF_GHG_ElectTD)/1000000</f>
        <v>58.0355141282189</v>
      </c>
      <c r="J40" s="61">
        <f>'Borough kWh'!J40*(EF_GHG_ElectGen+EF_GHG_ElectTD)/1000000</f>
        <v>50.013717508738502</v>
      </c>
      <c r="K40" s="61">
        <f>'Borough kWh'!K40*EF_GHG_NatGas_DCI/1000000</f>
        <v>50.335458028418671</v>
      </c>
      <c r="L40" s="61">
        <f>'Borough kWh'!L40*EF_GHG_Coal_DCI/1000000</f>
        <v>1.3697799639050539</v>
      </c>
      <c r="M40" s="641">
        <f>'Borough kWh'!M40*EF_GHG_GasOil/1000000</f>
        <v>54.979235870772364</v>
      </c>
      <c r="N40" s="641">
        <f>'Borough kWh'!N40*EF_GHG_W_R_IC/1000000</f>
        <v>1.5722057435061232</v>
      </c>
      <c r="O40" s="817">
        <f t="shared" si="1"/>
        <v>158.27039711534073</v>
      </c>
      <c r="P40" s="641">
        <f>'II. Transport '!G39/1000-Y40</f>
        <v>0.27373307493684734</v>
      </c>
      <c r="Q40" s="641">
        <f>'II. Transport '!H39/1000</f>
        <v>0</v>
      </c>
      <c r="R40" s="641">
        <f>'II. Transport '!E39/1000</f>
        <v>1.2015958578559678</v>
      </c>
      <c r="S40" s="641">
        <f>'II. Transport '!F39/1000</f>
        <v>5.0752515736247572</v>
      </c>
      <c r="T40" s="641">
        <f>'II. Transport '!O257/1000</f>
        <v>161.80754141221095</v>
      </c>
      <c r="U40" s="642">
        <f>'II. Transport '!AA257/1000</f>
        <v>2.9465450458556326</v>
      </c>
      <c r="V40" s="833">
        <f t="shared" si="2"/>
        <v>171.30466696448414</v>
      </c>
      <c r="W40" s="641">
        <f>'II. Transport '!T39/1000</f>
        <v>0.38745682759394784</v>
      </c>
      <c r="X40" s="641">
        <f>'II. Transport '!U39/1000</f>
        <v>5.7572570338565168</v>
      </c>
      <c r="Y40" s="692">
        <f>('II. Transport '!F125+'II. Transport '!G125+'II. Transport '!K125+'II. Transport '!L125)/1000</f>
        <v>0</v>
      </c>
      <c r="Z40" s="833">
        <f t="shared" si="3"/>
        <v>6.1447138614504642</v>
      </c>
      <c r="AA40" s="835"/>
      <c r="AB40" s="835"/>
      <c r="AC40" s="835"/>
      <c r="AD40" s="835"/>
      <c r="AE40" s="837">
        <f t="shared" si="4"/>
        <v>587.05597875993726</v>
      </c>
      <c r="AF40" s="121"/>
    </row>
    <row r="41" spans="2:32" x14ac:dyDescent="0.3">
      <c r="B41" s="814" t="s">
        <v>134</v>
      </c>
      <c r="C41" s="832">
        <f>'Borough kWh'!C41*(EF_GHG_ElectGen+EF_GHG_ElectTD)/1000000</f>
        <v>92.471553477381619</v>
      </c>
      <c r="D41" s="61">
        <f>'Borough kWh'!D41*EF_GHG_NatGas_DCI/1000000</f>
        <v>231.11542524147268</v>
      </c>
      <c r="E41" s="61">
        <f>'Borough kWh'!E41*EF_GHG_Coal_DCI/1000000</f>
        <v>1.9855982266423111</v>
      </c>
      <c r="F41" s="61">
        <f>'Borough kWh'!F41*EF_GHG_GasOil/1000000</f>
        <v>1.3115912351675192</v>
      </c>
      <c r="G41" s="61">
        <f>'Borough kWh'!G41*EF_GHG_W_R_IC/1000000</f>
        <v>2.4938829546493171</v>
      </c>
      <c r="H41" s="817">
        <f t="shared" si="0"/>
        <v>329.37805113531346</v>
      </c>
      <c r="I41" s="61">
        <f>'Borough kWh'!I41*(EF_GHG_ElectGen+EF_GHG_ElectTD)/1000000</f>
        <v>93.50932822318147</v>
      </c>
      <c r="J41" s="61">
        <f>'Borough kWh'!J41*(EF_GHG_ElectGen+EF_GHG_ElectTD)/1000000</f>
        <v>69.576096371962763</v>
      </c>
      <c r="K41" s="61">
        <f>'Borough kWh'!K41*EF_GHG_NatGas_DCI/1000000</f>
        <v>115.93440893804507</v>
      </c>
      <c r="L41" s="61">
        <f>'Borough kWh'!L41*EF_GHG_Coal_DCI/1000000</f>
        <v>0.80359173954119312</v>
      </c>
      <c r="M41" s="641">
        <f>'Borough kWh'!M41*EF_GHG_GasOil/1000000</f>
        <v>44.799437775206869</v>
      </c>
      <c r="N41" s="641">
        <f>'Borough kWh'!N41*EF_GHG_W_R_IC/1000000</f>
        <v>1.0579306886959234</v>
      </c>
      <c r="O41" s="817">
        <f t="shared" si="1"/>
        <v>232.17146551345184</v>
      </c>
      <c r="P41" s="641">
        <f>'II. Transport '!G40/1000-Y41</f>
        <v>4.4086295298263387</v>
      </c>
      <c r="Q41" s="641">
        <f>'II. Transport '!H40/1000</f>
        <v>4.271105876932111E-3</v>
      </c>
      <c r="R41" s="641">
        <f>'II. Transport '!E40/1000</f>
        <v>2.162489406420474</v>
      </c>
      <c r="S41" s="641">
        <f>'II. Transport '!F40/1000</f>
        <v>20.972943738886411</v>
      </c>
      <c r="T41" s="641">
        <f>'II. Transport '!O258/1000</f>
        <v>166.62768407343395</v>
      </c>
      <c r="U41" s="642">
        <f>'II. Transport '!AA258/1000</f>
        <v>2.9602881123323082</v>
      </c>
      <c r="V41" s="833">
        <f t="shared" si="2"/>
        <v>197.13630596677643</v>
      </c>
      <c r="W41" s="641">
        <f>'II. Transport '!T40/1000</f>
        <v>0.5861819531045882</v>
      </c>
      <c r="X41" s="641">
        <f>'II. Transport '!U40/1000</f>
        <v>10.922511462890636</v>
      </c>
      <c r="Y41" s="692">
        <f>('II. Transport '!F126+'II. Transport '!G126+'II. Transport '!K126+'II. Transport '!L126)/1000</f>
        <v>0</v>
      </c>
      <c r="Z41" s="833">
        <f t="shared" si="3"/>
        <v>11.508693415995225</v>
      </c>
      <c r="AA41" s="835"/>
      <c r="AB41" s="835"/>
      <c r="AC41" s="835"/>
      <c r="AD41" s="835"/>
      <c r="AE41" s="837">
        <f t="shared" si="4"/>
        <v>770.19451603153709</v>
      </c>
      <c r="AF41" s="121"/>
    </row>
    <row r="42" spans="2:32" x14ac:dyDescent="0.3">
      <c r="B42" s="814" t="s">
        <v>135</v>
      </c>
      <c r="C42" s="832">
        <f>'Borough kWh'!C42*(EF_GHG_ElectGen+EF_GHG_ElectTD)/1000000</f>
        <v>88.501194823627117</v>
      </c>
      <c r="D42" s="61">
        <f>'Borough kWh'!D42*EF_GHG_NatGas_DCI/1000000</f>
        <v>150.03528578776428</v>
      </c>
      <c r="E42" s="61">
        <f>'Borough kWh'!E42*EF_GHG_Coal_DCI/1000000</f>
        <v>0.88879034001416868</v>
      </c>
      <c r="F42" s="61">
        <f>'Borough kWh'!F42*EF_GHG_GasOil/1000000</f>
        <v>2.595388604599441</v>
      </c>
      <c r="G42" s="61">
        <f>'Borough kWh'!G42*EF_GHG_W_R_IC/1000000</f>
        <v>0.85067554086435149</v>
      </c>
      <c r="H42" s="817">
        <f t="shared" si="0"/>
        <v>242.87133509686936</v>
      </c>
      <c r="I42" s="61">
        <f>'Borough kWh'!I42*(EF_GHG_ElectGen+EF_GHG_ElectTD)/1000000</f>
        <v>537.48962780150225</v>
      </c>
      <c r="J42" s="61">
        <f>'Borough kWh'!J42*(EF_GHG_ElectGen+EF_GHG_ElectTD)/1000000</f>
        <v>503.01386289221216</v>
      </c>
      <c r="K42" s="61">
        <f>'Borough kWh'!K42*EF_GHG_NatGas_DCI/1000000</f>
        <v>382.66217779137844</v>
      </c>
      <c r="L42" s="61">
        <f>'Borough kWh'!L42*EF_GHG_Coal_DCI/1000000</f>
        <v>2.5121942690595764</v>
      </c>
      <c r="M42" s="641">
        <f>'Borough kWh'!M42*EF_GHG_GasOil/1000000</f>
        <v>241.88551210432971</v>
      </c>
      <c r="N42" s="641">
        <f>'Borough kWh'!N42*EF_GHG_W_R_IC/1000000</f>
        <v>1.405024834566853</v>
      </c>
      <c r="O42" s="817">
        <f t="shared" si="1"/>
        <v>1131.4787718915468</v>
      </c>
      <c r="P42" s="641">
        <f>'II. Transport '!G41/1000-Y42</f>
        <v>0</v>
      </c>
      <c r="Q42" s="641">
        <f>'II. Transport '!H41/1000</f>
        <v>7.1851260285828342</v>
      </c>
      <c r="R42" s="641">
        <f>'II. Transport '!E41/1000</f>
        <v>1.3886109934208644</v>
      </c>
      <c r="S42" s="641">
        <f>'II. Transport '!F41/1000</f>
        <v>28.452826534316408</v>
      </c>
      <c r="T42" s="641">
        <f>'II. Transport '!O259/1000</f>
        <v>193.71981283588801</v>
      </c>
      <c r="U42" s="642">
        <f>'II. Transport '!AA259/1000</f>
        <v>6.0229383749736529</v>
      </c>
      <c r="V42" s="833">
        <f t="shared" si="2"/>
        <v>236.76931476718175</v>
      </c>
      <c r="W42" s="641">
        <f>'II. Transport '!T41/1000</f>
        <v>2.0740797600697145</v>
      </c>
      <c r="X42" s="641">
        <f>'II. Transport '!U41/1000</f>
        <v>20.984128151999034</v>
      </c>
      <c r="Y42" s="692">
        <f>('II. Transport '!F127+'II. Transport '!G127+'II. Transport '!K127+'II. Transport '!L127)/1000</f>
        <v>0</v>
      </c>
      <c r="Z42" s="833">
        <f t="shared" si="3"/>
        <v>23.058207912068749</v>
      </c>
      <c r="AA42" s="835"/>
      <c r="AB42" s="835"/>
      <c r="AC42" s="835"/>
      <c r="AD42" s="835"/>
      <c r="AE42" s="837">
        <f t="shared" si="4"/>
        <v>1634.1776296676669</v>
      </c>
      <c r="AF42" s="121"/>
    </row>
    <row r="43" spans="2:32" x14ac:dyDescent="0.3">
      <c r="B43" s="814" t="s">
        <v>136</v>
      </c>
      <c r="C43" s="709"/>
      <c r="D43" s="65"/>
      <c r="E43" s="65"/>
      <c r="F43" s="65"/>
      <c r="G43" s="65"/>
      <c r="H43" s="838"/>
      <c r="I43" s="710"/>
      <c r="J43" s="61">
        <f>I43-S43</f>
        <v>0</v>
      </c>
      <c r="K43" s="61">
        <f>'Borough kWh'!K43*EF_GHG_NatGas_DCI/1000000</f>
        <v>9.7394471076800002</v>
      </c>
      <c r="L43" s="65"/>
      <c r="M43" s="66"/>
      <c r="N43" s="66"/>
      <c r="O43" s="817">
        <f>SUM(J43:N43)</f>
        <v>9.7394471076800002</v>
      </c>
      <c r="P43" s="711"/>
      <c r="Q43" s="62"/>
      <c r="R43" s="63"/>
      <c r="S43" s="641">
        <f>'II. Transport '!F42/1000</f>
        <v>0</v>
      </c>
      <c r="T43" s="62"/>
      <c r="U43" s="62"/>
      <c r="V43" s="833">
        <f>SUM(P43:T43)</f>
        <v>0</v>
      </c>
      <c r="W43" s="63"/>
      <c r="X43" s="63"/>
      <c r="Y43" s="833"/>
      <c r="Z43" s="839"/>
      <c r="AA43" s="840">
        <f>SUM('IV. IPPU'!R65/1000)</f>
        <v>1010.1036196923096</v>
      </c>
      <c r="AB43" s="841">
        <f>(SUM('V. AFOLU'!H9:H18)+SUM('V. AFOLU'!H25:H42)+SUM('V. AFOLU'!H56:H61))/1000</f>
        <v>127.8306235314972</v>
      </c>
      <c r="AC43" s="842">
        <f>('III. Waste'!L10+'III. Waste'!L20+'III. Waste'!L21+'III. Waste'!L23+'III. Waste'!L24+'III. Waste'!L35+'III. Waste'!L12+'III. Waste'!L26+'III. Waste'!L27)/1000</f>
        <v>444.54284258542998</v>
      </c>
      <c r="AD43" s="842">
        <f>'I. Energy - Stationary'!I145/1000</f>
        <v>163.06096029264467</v>
      </c>
      <c r="AE43" s="837">
        <f>AA43+AB43+AC43+AD43+V43+O43</f>
        <v>1755.2774932095615</v>
      </c>
      <c r="AF43" s="121"/>
    </row>
    <row r="44" spans="2:32" x14ac:dyDescent="0.3">
      <c r="B44" s="843" t="s">
        <v>155</v>
      </c>
      <c r="C44" s="844">
        <f t="shared" ref="C44:I44" si="5">SUM(C10:C42)</f>
        <v>2326.9511832391831</v>
      </c>
      <c r="D44" s="845">
        <f t="shared" si="5"/>
        <v>6172.8838576789103</v>
      </c>
      <c r="E44" s="845">
        <f t="shared" si="5"/>
        <v>84.403921176574073</v>
      </c>
      <c r="F44" s="845">
        <f t="shared" si="5"/>
        <v>45.903075617407126</v>
      </c>
      <c r="G44" s="845">
        <f t="shared" si="5"/>
        <v>113.13979331810629</v>
      </c>
      <c r="H44" s="844">
        <f t="shared" si="5"/>
        <v>8743.2818310301827</v>
      </c>
      <c r="I44" s="844">
        <f t="shared" si="5"/>
        <v>4446.9118343439632</v>
      </c>
      <c r="J44" s="845">
        <f>SUM(J10:J43)</f>
        <v>3871.271704707905</v>
      </c>
      <c r="K44" s="845">
        <f>SUM(K10:K43)</f>
        <v>3343.1222133022588</v>
      </c>
      <c r="L44" s="845">
        <f>SUM(L10:L42)</f>
        <v>58.251369967112844</v>
      </c>
      <c r="M44" s="845">
        <f>SUM(M10:M42)</f>
        <v>2045.9641275096189</v>
      </c>
      <c r="N44" s="845">
        <f>SUM(N10:N42)</f>
        <v>83.124726585061566</v>
      </c>
      <c r="O44" s="844">
        <f>SUM(O10:O43)</f>
        <v>9401.7341420719586</v>
      </c>
      <c r="P44" s="844">
        <f>SUM(P10:P42)</f>
        <v>811.17214291716402</v>
      </c>
      <c r="Q44" s="846">
        <f>SUM(Q10:Q42)</f>
        <v>58.835909344170567</v>
      </c>
      <c r="R44" s="845">
        <f>SUM(R10:R42)</f>
        <v>84.61915754137074</v>
      </c>
      <c r="S44" s="845">
        <f>SUM(S10:S43)</f>
        <v>455.2849090340049</v>
      </c>
      <c r="T44" s="845">
        <f>SUM(T10:T42)</f>
        <v>6646.1606833228479</v>
      </c>
      <c r="U44" s="845">
        <f>SUM(U10:U42)</f>
        <v>120.35522060205398</v>
      </c>
      <c r="V44" s="847">
        <f>SUM(V10:V43)</f>
        <v>8176.4280227616136</v>
      </c>
      <c r="W44" s="848">
        <f>SUM(W10:W43)</f>
        <v>18.990198266121066</v>
      </c>
      <c r="X44" s="848">
        <f>SUM(X10:X43)</f>
        <v>493.10882890196586</v>
      </c>
      <c r="Y44" s="848">
        <f>SUM(Y10:Y43)</f>
        <v>31.460885121855139</v>
      </c>
      <c r="Z44" s="849">
        <f>SUM(Z10:Z43)</f>
        <v>543.55991228994219</v>
      </c>
      <c r="AA44" s="847">
        <f>AA43</f>
        <v>1010.1036196923096</v>
      </c>
      <c r="AB44" s="847">
        <f>AB43</f>
        <v>127.8306235314972</v>
      </c>
      <c r="AC44" s="847">
        <f>AC43</f>
        <v>444.54284258542998</v>
      </c>
      <c r="AD44" s="847">
        <f>AD43</f>
        <v>163.06096029264467</v>
      </c>
      <c r="AE44" s="847">
        <f>H44+O44+V44+Z44+AA44+AB44+AC44+AD44</f>
        <v>28610.541954255579</v>
      </c>
      <c r="AF44" s="121"/>
    </row>
    <row r="45" spans="2:32" x14ac:dyDescent="0.3">
      <c r="B45" s="850" t="s">
        <v>156</v>
      </c>
      <c r="C45" s="851">
        <f t="shared" ref="C45:AE45" si="6">C44/1000</f>
        <v>2.3269511832391832</v>
      </c>
      <c r="D45" s="852">
        <f t="shared" si="6"/>
        <v>6.1728838576789107</v>
      </c>
      <c r="E45" s="852">
        <f t="shared" si="6"/>
        <v>8.4403921176574068E-2</v>
      </c>
      <c r="F45" s="852">
        <f t="shared" si="6"/>
        <v>4.5903075617407127E-2</v>
      </c>
      <c r="G45" s="852">
        <f t="shared" si="6"/>
        <v>0.11313979331810628</v>
      </c>
      <c r="H45" s="853">
        <f t="shared" si="6"/>
        <v>8.743281831030183</v>
      </c>
      <c r="I45" s="851">
        <f t="shared" si="6"/>
        <v>4.4469118343439629</v>
      </c>
      <c r="J45" s="854">
        <f t="shared" si="6"/>
        <v>3.871271704707905</v>
      </c>
      <c r="K45" s="854">
        <f>K44/1000</f>
        <v>3.3431222133022587</v>
      </c>
      <c r="L45" s="854">
        <f t="shared" si="6"/>
        <v>5.8251369967112845E-2</v>
      </c>
      <c r="M45" s="854">
        <f t="shared" si="6"/>
        <v>2.045964127509619</v>
      </c>
      <c r="N45" s="854">
        <f t="shared" si="6"/>
        <v>8.3124726585061565E-2</v>
      </c>
      <c r="O45" s="853">
        <f t="shared" si="6"/>
        <v>9.4017341420719589</v>
      </c>
      <c r="P45" s="851">
        <f t="shared" si="6"/>
        <v>0.811172142917164</v>
      </c>
      <c r="Q45" s="852">
        <f t="shared" si="6"/>
        <v>5.8835909344170566E-2</v>
      </c>
      <c r="R45" s="852">
        <f t="shared" si="6"/>
        <v>8.461915754137074E-2</v>
      </c>
      <c r="S45" s="852">
        <f>S44/1000</f>
        <v>0.45528490903400487</v>
      </c>
      <c r="T45" s="852">
        <f t="shared" si="6"/>
        <v>6.6461606833228482</v>
      </c>
      <c r="U45" s="852">
        <f>U44/1000</f>
        <v>0.12035522060205397</v>
      </c>
      <c r="V45" s="853">
        <f t="shared" si="6"/>
        <v>8.1764280227616144</v>
      </c>
      <c r="W45" s="855">
        <f t="shared" ref="W45:AD45" si="7">W44/1000</f>
        <v>1.8990198266121066E-2</v>
      </c>
      <c r="X45" s="855">
        <f t="shared" si="7"/>
        <v>0.49310882890196589</v>
      </c>
      <c r="Y45" s="855">
        <f t="shared" si="7"/>
        <v>3.1460885121855138E-2</v>
      </c>
      <c r="Z45" s="855">
        <f t="shared" si="7"/>
        <v>0.54355991228994216</v>
      </c>
      <c r="AA45" s="855">
        <f t="shared" si="7"/>
        <v>1.0101036196923097</v>
      </c>
      <c r="AB45" s="855">
        <f t="shared" si="7"/>
        <v>0.12783062353149718</v>
      </c>
      <c r="AC45" s="855">
        <f t="shared" si="7"/>
        <v>0.44454284258542998</v>
      </c>
      <c r="AD45" s="855">
        <f t="shared" si="7"/>
        <v>0.16306096029264466</v>
      </c>
      <c r="AE45" s="855">
        <f t="shared" si="6"/>
        <v>28.610541954255581</v>
      </c>
      <c r="AF45" s="121"/>
    </row>
    <row r="46" spans="2:32" x14ac:dyDescent="0.3">
      <c r="B46" s="29"/>
      <c r="C46" s="111"/>
      <c r="D46" s="111"/>
      <c r="E46" s="111"/>
      <c r="F46" s="29"/>
      <c r="G46" s="29"/>
      <c r="H46" s="112"/>
      <c r="I46" s="104"/>
      <c r="J46" s="29"/>
      <c r="K46" s="29"/>
      <c r="L46" s="104"/>
      <c r="M46" s="29"/>
      <c r="N46" s="29"/>
      <c r="O46" s="29"/>
      <c r="P46" s="29"/>
      <c r="Q46" s="104"/>
      <c r="R46" s="112"/>
      <c r="S46" s="29"/>
      <c r="T46" s="440"/>
      <c r="U46" s="113"/>
      <c r="V46" s="113"/>
      <c r="W46" s="113"/>
      <c r="X46" s="113"/>
      <c r="Y46" s="113"/>
      <c r="Z46" s="113"/>
      <c r="AA46" s="113"/>
      <c r="AB46" s="113"/>
      <c r="AC46" s="113"/>
      <c r="AD46" s="111"/>
      <c r="AE46" s="110"/>
    </row>
    <row r="47" spans="2:32" ht="18.75" customHeight="1" x14ac:dyDescent="0.3">
      <c r="B47" s="293" t="s">
        <v>139</v>
      </c>
      <c r="C47" s="101"/>
      <c r="D47" s="29"/>
      <c r="E47" s="29"/>
      <c r="F47" s="29"/>
      <c r="G47" s="29"/>
      <c r="H47" s="29"/>
      <c r="I47" s="29"/>
      <c r="J47" s="29"/>
      <c r="K47" s="29"/>
      <c r="L47" s="29"/>
      <c r="M47" s="29"/>
      <c r="N47" s="29"/>
      <c r="O47" s="29"/>
      <c r="P47" s="29"/>
      <c r="Q47" s="222"/>
      <c r="R47" s="29"/>
      <c r="S47" s="104"/>
      <c r="T47" s="440"/>
      <c r="U47" s="29"/>
      <c r="V47" s="29"/>
      <c r="W47" s="29"/>
      <c r="X47" s="29"/>
      <c r="Y47" s="102"/>
      <c r="Z47" s="29"/>
      <c r="AA47" s="29"/>
      <c r="AB47" s="29"/>
      <c r="AC47" s="29"/>
      <c r="AD47" s="29"/>
      <c r="AE47" s="29"/>
    </row>
    <row r="48" spans="2:32" x14ac:dyDescent="0.3">
      <c r="B48" s="293" t="s">
        <v>157</v>
      </c>
      <c r="C48" s="29"/>
      <c r="D48" s="29"/>
      <c r="E48" s="29"/>
      <c r="F48" s="29"/>
      <c r="G48" s="29"/>
      <c r="H48" s="29"/>
      <c r="I48" s="112"/>
      <c r="J48" s="29"/>
      <c r="K48" s="29"/>
      <c r="L48" s="29"/>
      <c r="M48" s="29"/>
      <c r="N48" s="29"/>
      <c r="O48" s="29"/>
      <c r="P48" s="29"/>
      <c r="Q48" s="29"/>
      <c r="R48" s="114"/>
      <c r="S48" s="29"/>
      <c r="T48" s="29"/>
      <c r="U48" s="29"/>
      <c r="V48" s="104"/>
      <c r="W48" s="104"/>
      <c r="X48" s="29"/>
      <c r="Y48" s="102"/>
      <c r="Z48" s="29"/>
      <c r="AA48" s="29"/>
      <c r="AB48" s="29"/>
      <c r="AC48" s="29"/>
      <c r="AD48" s="29"/>
    </row>
    <row r="49" spans="2:30" x14ac:dyDescent="0.3">
      <c r="B49" s="29"/>
      <c r="C49" s="29"/>
      <c r="D49" s="104"/>
      <c r="E49" s="29"/>
      <c r="F49" s="29"/>
      <c r="G49" s="29"/>
      <c r="H49" s="29"/>
      <c r="I49" s="29"/>
      <c r="J49" s="29"/>
      <c r="K49" s="29"/>
      <c r="L49" s="29"/>
      <c r="M49" s="29"/>
      <c r="N49" s="29"/>
      <c r="O49" s="29"/>
      <c r="P49" s="29"/>
      <c r="Q49" s="29"/>
      <c r="R49" s="29"/>
      <c r="S49" s="29"/>
      <c r="T49" s="29"/>
      <c r="U49" s="29"/>
      <c r="V49" s="104"/>
      <c r="W49" s="29"/>
      <c r="X49" s="29"/>
      <c r="Y49" s="29"/>
      <c r="Z49" s="29"/>
      <c r="AA49" s="29"/>
      <c r="AB49" s="29"/>
      <c r="AC49" s="29"/>
      <c r="AD49" s="29"/>
    </row>
    <row r="50" spans="2:30" x14ac:dyDescent="0.3">
      <c r="B50" s="29"/>
      <c r="C50" s="29"/>
      <c r="D50" s="29"/>
      <c r="E50" s="29"/>
      <c r="F50" s="29"/>
      <c r="G50" s="29"/>
      <c r="H50" s="29"/>
      <c r="I50" s="29"/>
      <c r="J50" s="29"/>
      <c r="K50" s="29"/>
      <c r="L50" s="29"/>
      <c r="M50" s="29"/>
      <c r="N50" s="29"/>
      <c r="O50" s="29"/>
      <c r="P50" s="29"/>
      <c r="Q50" s="29"/>
      <c r="R50" s="29"/>
      <c r="S50" s="29"/>
      <c r="T50" s="29"/>
      <c r="U50" s="104"/>
      <c r="V50" s="29"/>
      <c r="W50" s="29"/>
      <c r="X50" s="29"/>
      <c r="Y50" s="29"/>
      <c r="Z50" s="29"/>
      <c r="AA50" s="29"/>
      <c r="AB50" s="29"/>
      <c r="AC50" s="29"/>
      <c r="AD50" s="29"/>
    </row>
    <row r="51" spans="2:30" x14ac:dyDescent="0.3">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row>
    <row r="55" spans="2:30" x14ac:dyDescent="0.3">
      <c r="D55" s="121"/>
      <c r="E55" s="121"/>
      <c r="F55" s="121"/>
      <c r="G55" s="121"/>
    </row>
    <row r="56" spans="2:30" x14ac:dyDescent="0.3">
      <c r="D56" s="121"/>
      <c r="E56" s="121"/>
      <c r="F56" s="121"/>
      <c r="G56" s="121"/>
    </row>
    <row r="57" spans="2:30" x14ac:dyDescent="0.3">
      <c r="D57" s="121"/>
      <c r="E57" s="121"/>
      <c r="F57" s="121"/>
      <c r="G57" s="121"/>
    </row>
    <row r="58" spans="2:30" x14ac:dyDescent="0.3">
      <c r="D58" s="121"/>
      <c r="E58" s="121"/>
      <c r="F58" s="121"/>
      <c r="G58" s="121"/>
    </row>
    <row r="59" spans="2:30" x14ac:dyDescent="0.3">
      <c r="D59" s="121"/>
      <c r="E59" s="121"/>
      <c r="F59" s="121"/>
      <c r="G59" s="121"/>
    </row>
    <row r="60" spans="2:30" x14ac:dyDescent="0.3">
      <c r="D60" s="121"/>
      <c r="E60" s="121"/>
      <c r="F60" s="121"/>
      <c r="G60" s="121"/>
    </row>
    <row r="61" spans="2:30" x14ac:dyDescent="0.3">
      <c r="D61" s="121"/>
      <c r="E61" s="121"/>
      <c r="F61" s="121"/>
      <c r="G61" s="121"/>
    </row>
    <row r="62" spans="2:30" x14ac:dyDescent="0.3">
      <c r="D62" s="121"/>
      <c r="E62" s="121"/>
      <c r="F62" s="121"/>
      <c r="G62" s="121"/>
    </row>
    <row r="63" spans="2:30" x14ac:dyDescent="0.3">
      <c r="D63" s="121"/>
      <c r="E63" s="121"/>
      <c r="F63" s="121"/>
      <c r="G63" s="121"/>
    </row>
    <row r="64" spans="2:30" x14ac:dyDescent="0.3">
      <c r="D64" s="121"/>
      <c r="E64" s="121"/>
      <c r="F64" s="121"/>
      <c r="G64" s="121"/>
    </row>
    <row r="65" spans="4:7" x14ac:dyDescent="0.3">
      <c r="D65" s="121"/>
      <c r="E65" s="121"/>
      <c r="F65" s="121"/>
      <c r="G65" s="121"/>
    </row>
    <row r="66" spans="4:7" x14ac:dyDescent="0.3">
      <c r="D66" s="121"/>
      <c r="E66" s="121"/>
      <c r="F66" s="121"/>
      <c r="G66" s="121"/>
    </row>
    <row r="67" spans="4:7" x14ac:dyDescent="0.3">
      <c r="D67" s="121"/>
      <c r="E67" s="121"/>
      <c r="F67" s="121"/>
      <c r="G67" s="121"/>
    </row>
    <row r="68" spans="4:7" x14ac:dyDescent="0.3">
      <c r="D68" s="121"/>
      <c r="E68" s="121"/>
      <c r="F68" s="121"/>
      <c r="G68" s="121"/>
    </row>
    <row r="69" spans="4:7" x14ac:dyDescent="0.3">
      <c r="D69" s="121"/>
      <c r="E69" s="121"/>
      <c r="F69" s="121"/>
      <c r="G69" s="121"/>
    </row>
    <row r="70" spans="4:7" x14ac:dyDescent="0.3">
      <c r="D70" s="121"/>
      <c r="E70" s="121"/>
      <c r="F70" s="121"/>
      <c r="G70" s="121"/>
    </row>
    <row r="71" spans="4:7" x14ac:dyDescent="0.3">
      <c r="D71" s="121"/>
      <c r="E71" s="121"/>
      <c r="F71" s="121"/>
      <c r="G71" s="121"/>
    </row>
    <row r="72" spans="4:7" x14ac:dyDescent="0.3">
      <c r="D72" s="121"/>
      <c r="E72" s="121"/>
      <c r="F72" s="121"/>
      <c r="G72" s="121"/>
    </row>
    <row r="73" spans="4:7" x14ac:dyDescent="0.3">
      <c r="D73" s="121"/>
      <c r="E73" s="121"/>
      <c r="F73" s="121"/>
      <c r="G73" s="121"/>
    </row>
    <row r="74" spans="4:7" x14ac:dyDescent="0.3">
      <c r="D74" s="121"/>
      <c r="E74" s="121"/>
      <c r="F74" s="121"/>
      <c r="G74" s="121"/>
    </row>
    <row r="75" spans="4:7" x14ac:dyDescent="0.3">
      <c r="D75" s="121"/>
      <c r="E75" s="121"/>
      <c r="F75" s="121"/>
      <c r="G75" s="121"/>
    </row>
    <row r="76" spans="4:7" x14ac:dyDescent="0.3">
      <c r="D76" s="121"/>
      <c r="E76" s="121"/>
      <c r="F76" s="121"/>
      <c r="G76" s="121"/>
    </row>
    <row r="77" spans="4:7" x14ac:dyDescent="0.3">
      <c r="D77" s="121"/>
      <c r="E77" s="121"/>
      <c r="F77" s="121"/>
      <c r="G77" s="121"/>
    </row>
    <row r="78" spans="4:7" x14ac:dyDescent="0.3">
      <c r="D78" s="121"/>
      <c r="E78" s="121"/>
      <c r="F78" s="121"/>
      <c r="G78" s="121"/>
    </row>
    <row r="79" spans="4:7" x14ac:dyDescent="0.3">
      <c r="D79" s="121"/>
      <c r="E79" s="121"/>
      <c r="F79" s="121"/>
      <c r="G79" s="121"/>
    </row>
    <row r="80" spans="4:7" x14ac:dyDescent="0.3">
      <c r="D80" s="121"/>
      <c r="E80" s="121"/>
      <c r="F80" s="121"/>
      <c r="G80" s="121"/>
    </row>
    <row r="81" spans="4:7" x14ac:dyDescent="0.3">
      <c r="D81" s="121"/>
      <c r="E81" s="121"/>
      <c r="F81" s="121"/>
      <c r="G81" s="121"/>
    </row>
    <row r="82" spans="4:7" x14ac:dyDescent="0.3">
      <c r="D82" s="121"/>
      <c r="E82" s="121"/>
      <c r="F82" s="121"/>
      <c r="G82" s="121"/>
    </row>
    <row r="83" spans="4:7" x14ac:dyDescent="0.3">
      <c r="D83" s="121"/>
      <c r="E83" s="121"/>
      <c r="F83" s="121"/>
      <c r="G83" s="121"/>
    </row>
    <row r="84" spans="4:7" x14ac:dyDescent="0.3">
      <c r="D84" s="121"/>
      <c r="E84" s="121"/>
      <c r="F84" s="121"/>
      <c r="G84" s="121"/>
    </row>
    <row r="85" spans="4:7" x14ac:dyDescent="0.3">
      <c r="D85" s="121"/>
      <c r="E85" s="121"/>
      <c r="F85" s="121"/>
      <c r="G85" s="121"/>
    </row>
    <row r="86" spans="4:7" x14ac:dyDescent="0.3">
      <c r="D86" s="121"/>
      <c r="E86" s="121"/>
      <c r="F86" s="121"/>
      <c r="G86" s="121"/>
    </row>
    <row r="87" spans="4:7" x14ac:dyDescent="0.3">
      <c r="D87" s="121"/>
      <c r="E87" s="121"/>
      <c r="F87" s="121"/>
      <c r="G87" s="121"/>
    </row>
    <row r="89" spans="4:7" ht="39.75" customHeight="1" x14ac:dyDescent="0.3"/>
  </sheetData>
  <sheetProtection algorithmName="SHA-512" hashValue="HeGe0SbagJCvU5Thfz4E2p9qJLorkFgcDNH4tl5lB/tITccMiv0ru+CiO8xr0GIqc2ciBS/qqGVhS5vbBJxPZA==" saltValue="k2DYYPFjdHFktFmEZUm49Q==" spinCount="100000" sheet="1"/>
  <sortState xmlns:xlrd2="http://schemas.microsoft.com/office/spreadsheetml/2017/richdata2" ref="C55:F87">
    <sortCondition descending="1" ref="C55:C87"/>
  </sortState>
  <mergeCells count="11">
    <mergeCell ref="AE6:AE8"/>
    <mergeCell ref="P7:V7"/>
    <mergeCell ref="W7:Z7"/>
    <mergeCell ref="AD7:AD8"/>
    <mergeCell ref="I7:O7"/>
    <mergeCell ref="C7:H7"/>
    <mergeCell ref="B6:B8"/>
    <mergeCell ref="C6:AD6"/>
    <mergeCell ref="AA7:AA8"/>
    <mergeCell ref="AB7:AB8"/>
    <mergeCell ref="AC7:AC8"/>
  </mergeCells>
  <pageMargins left="0.25" right="0.25" top="0.75" bottom="0.75" header="0.3" footer="0.3"/>
  <pageSetup paperSize="8" scale="57" orientation="landscape" r:id="rId1"/>
  <headerFooter alignWithMargins="0"/>
  <rowBreaks count="1" manualBreakCount="1">
    <brk id="46" max="2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3" tint="0.79998168889431442"/>
    <pageSetUpPr fitToPage="1"/>
  </sheetPr>
  <dimension ref="A1:AM269"/>
  <sheetViews>
    <sheetView zoomScale="90" zoomScaleNormal="90" workbookViewId="0">
      <selection activeCell="U17" sqref="U15:U17"/>
    </sheetView>
  </sheetViews>
  <sheetFormatPr defaultRowHeight="13.8" x14ac:dyDescent="0.3"/>
  <cols>
    <col min="1" max="3" width="9" style="26"/>
    <col min="4" max="4" width="10.77734375" style="26" bestFit="1" customWidth="1"/>
    <col min="5" max="12" width="9" style="26"/>
    <col min="13" max="13" width="1" style="26" customWidth="1"/>
    <col min="14" max="14" width="42.5546875" style="26" customWidth="1"/>
    <col min="15" max="15" width="15.21875" style="26" customWidth="1"/>
    <col min="16" max="32" width="9.77734375" style="26" customWidth="1"/>
    <col min="33" max="34" width="12" style="26" customWidth="1"/>
    <col min="35" max="35" width="8.77734375" style="26" customWidth="1"/>
    <col min="36" max="36" width="9" style="26" customWidth="1"/>
    <col min="37" max="37" width="10.109375" style="26" customWidth="1"/>
    <col min="38" max="38" width="7.5546875" style="26" customWidth="1"/>
    <col min="39" max="39" width="10.21875" style="26" customWidth="1"/>
    <col min="40" max="268" width="9" style="26"/>
    <col min="269" max="269" width="2" style="26" customWidth="1"/>
    <col min="270" max="270" width="25.77734375" style="26" customWidth="1"/>
    <col min="271" max="288" width="9.77734375" style="26" customWidth="1"/>
    <col min="289" max="290" width="12" style="26" customWidth="1"/>
    <col min="291" max="291" width="8.77734375" style="26" customWidth="1"/>
    <col min="292" max="292" width="9" style="26" customWidth="1"/>
    <col min="293" max="293" width="6" style="26" customWidth="1"/>
    <col min="294" max="294" width="7.5546875" style="26" customWidth="1"/>
    <col min="295" max="295" width="10.21875" style="26" customWidth="1"/>
    <col min="296" max="524" width="9" style="26"/>
    <col min="525" max="525" width="2" style="26" customWidth="1"/>
    <col min="526" max="526" width="25.77734375" style="26" customWidth="1"/>
    <col min="527" max="544" width="9.77734375" style="26" customWidth="1"/>
    <col min="545" max="546" width="12" style="26" customWidth="1"/>
    <col min="547" max="547" width="8.77734375" style="26" customWidth="1"/>
    <col min="548" max="548" width="9" style="26" customWidth="1"/>
    <col min="549" max="549" width="6" style="26" customWidth="1"/>
    <col min="550" max="550" width="7.5546875" style="26" customWidth="1"/>
    <col min="551" max="551" width="10.21875" style="26" customWidth="1"/>
    <col min="552" max="780" width="9" style="26"/>
    <col min="781" max="781" width="2" style="26" customWidth="1"/>
    <col min="782" max="782" width="25.77734375" style="26" customWidth="1"/>
    <col min="783" max="800" width="9.77734375" style="26" customWidth="1"/>
    <col min="801" max="802" width="12" style="26" customWidth="1"/>
    <col min="803" max="803" width="8.77734375" style="26" customWidth="1"/>
    <col min="804" max="804" width="9" style="26" customWidth="1"/>
    <col min="805" max="805" width="6" style="26" customWidth="1"/>
    <col min="806" max="806" width="7.5546875" style="26" customWidth="1"/>
    <col min="807" max="807" width="10.21875" style="26" customWidth="1"/>
    <col min="808" max="1036" width="9" style="26"/>
    <col min="1037" max="1037" width="2" style="26" customWidth="1"/>
    <col min="1038" max="1038" width="25.77734375" style="26" customWidth="1"/>
    <col min="1039" max="1056" width="9.77734375" style="26" customWidth="1"/>
    <col min="1057" max="1058" width="12" style="26" customWidth="1"/>
    <col min="1059" max="1059" width="8.77734375" style="26" customWidth="1"/>
    <col min="1060" max="1060" width="9" style="26" customWidth="1"/>
    <col min="1061" max="1061" width="6" style="26" customWidth="1"/>
    <col min="1062" max="1062" width="7.5546875" style="26" customWidth="1"/>
    <col min="1063" max="1063" width="10.21875" style="26" customWidth="1"/>
    <col min="1064" max="1292" width="9" style="26"/>
    <col min="1293" max="1293" width="2" style="26" customWidth="1"/>
    <col min="1294" max="1294" width="25.77734375" style="26" customWidth="1"/>
    <col min="1295" max="1312" width="9.77734375" style="26" customWidth="1"/>
    <col min="1313" max="1314" width="12" style="26" customWidth="1"/>
    <col min="1315" max="1315" width="8.77734375" style="26" customWidth="1"/>
    <col min="1316" max="1316" width="9" style="26" customWidth="1"/>
    <col min="1317" max="1317" width="6" style="26" customWidth="1"/>
    <col min="1318" max="1318" width="7.5546875" style="26" customWidth="1"/>
    <col min="1319" max="1319" width="10.21875" style="26" customWidth="1"/>
    <col min="1320" max="1548" width="9" style="26"/>
    <col min="1549" max="1549" width="2" style="26" customWidth="1"/>
    <col min="1550" max="1550" width="25.77734375" style="26" customWidth="1"/>
    <col min="1551" max="1568" width="9.77734375" style="26" customWidth="1"/>
    <col min="1569" max="1570" width="12" style="26" customWidth="1"/>
    <col min="1571" max="1571" width="8.77734375" style="26" customWidth="1"/>
    <col min="1572" max="1572" width="9" style="26" customWidth="1"/>
    <col min="1573" max="1573" width="6" style="26" customWidth="1"/>
    <col min="1574" max="1574" width="7.5546875" style="26" customWidth="1"/>
    <col min="1575" max="1575" width="10.21875" style="26" customWidth="1"/>
    <col min="1576" max="1804" width="9" style="26"/>
    <col min="1805" max="1805" width="2" style="26" customWidth="1"/>
    <col min="1806" max="1806" width="25.77734375" style="26" customWidth="1"/>
    <col min="1807" max="1824" width="9.77734375" style="26" customWidth="1"/>
    <col min="1825" max="1826" width="12" style="26" customWidth="1"/>
    <col min="1827" max="1827" width="8.77734375" style="26" customWidth="1"/>
    <col min="1828" max="1828" width="9" style="26" customWidth="1"/>
    <col min="1829" max="1829" width="6" style="26" customWidth="1"/>
    <col min="1830" max="1830" width="7.5546875" style="26" customWidth="1"/>
    <col min="1831" max="1831" width="10.21875" style="26" customWidth="1"/>
    <col min="1832" max="2060" width="9" style="26"/>
    <col min="2061" max="2061" width="2" style="26" customWidth="1"/>
    <col min="2062" max="2062" width="25.77734375" style="26" customWidth="1"/>
    <col min="2063" max="2080" width="9.77734375" style="26" customWidth="1"/>
    <col min="2081" max="2082" width="12" style="26" customWidth="1"/>
    <col min="2083" max="2083" width="8.77734375" style="26" customWidth="1"/>
    <col min="2084" max="2084" width="9" style="26" customWidth="1"/>
    <col min="2085" max="2085" width="6" style="26" customWidth="1"/>
    <col min="2086" max="2086" width="7.5546875" style="26" customWidth="1"/>
    <col min="2087" max="2087" width="10.21875" style="26" customWidth="1"/>
    <col min="2088" max="2316" width="9" style="26"/>
    <col min="2317" max="2317" width="2" style="26" customWidth="1"/>
    <col min="2318" max="2318" width="25.77734375" style="26" customWidth="1"/>
    <col min="2319" max="2336" width="9.77734375" style="26" customWidth="1"/>
    <col min="2337" max="2338" width="12" style="26" customWidth="1"/>
    <col min="2339" max="2339" width="8.77734375" style="26" customWidth="1"/>
    <col min="2340" max="2340" width="9" style="26" customWidth="1"/>
    <col min="2341" max="2341" width="6" style="26" customWidth="1"/>
    <col min="2342" max="2342" width="7.5546875" style="26" customWidth="1"/>
    <col min="2343" max="2343" width="10.21875" style="26" customWidth="1"/>
    <col min="2344" max="2572" width="9" style="26"/>
    <col min="2573" max="2573" width="2" style="26" customWidth="1"/>
    <col min="2574" max="2574" width="25.77734375" style="26" customWidth="1"/>
    <col min="2575" max="2592" width="9.77734375" style="26" customWidth="1"/>
    <col min="2593" max="2594" width="12" style="26" customWidth="1"/>
    <col min="2595" max="2595" width="8.77734375" style="26" customWidth="1"/>
    <col min="2596" max="2596" width="9" style="26" customWidth="1"/>
    <col min="2597" max="2597" width="6" style="26" customWidth="1"/>
    <col min="2598" max="2598" width="7.5546875" style="26" customWidth="1"/>
    <col min="2599" max="2599" width="10.21875" style="26" customWidth="1"/>
    <col min="2600" max="2828" width="9" style="26"/>
    <col min="2829" max="2829" width="2" style="26" customWidth="1"/>
    <col min="2830" max="2830" width="25.77734375" style="26" customWidth="1"/>
    <col min="2831" max="2848" width="9.77734375" style="26" customWidth="1"/>
    <col min="2849" max="2850" width="12" style="26" customWidth="1"/>
    <col min="2851" max="2851" width="8.77734375" style="26" customWidth="1"/>
    <col min="2852" max="2852" width="9" style="26" customWidth="1"/>
    <col min="2853" max="2853" width="6" style="26" customWidth="1"/>
    <col min="2854" max="2854" width="7.5546875" style="26" customWidth="1"/>
    <col min="2855" max="2855" width="10.21875" style="26" customWidth="1"/>
    <col min="2856" max="3084" width="9" style="26"/>
    <col min="3085" max="3085" width="2" style="26" customWidth="1"/>
    <col min="3086" max="3086" width="25.77734375" style="26" customWidth="1"/>
    <col min="3087" max="3104" width="9.77734375" style="26" customWidth="1"/>
    <col min="3105" max="3106" width="12" style="26" customWidth="1"/>
    <col min="3107" max="3107" width="8.77734375" style="26" customWidth="1"/>
    <col min="3108" max="3108" width="9" style="26" customWidth="1"/>
    <col min="3109" max="3109" width="6" style="26" customWidth="1"/>
    <col min="3110" max="3110" width="7.5546875" style="26" customWidth="1"/>
    <col min="3111" max="3111" width="10.21875" style="26" customWidth="1"/>
    <col min="3112" max="3340" width="9" style="26"/>
    <col min="3341" max="3341" width="2" style="26" customWidth="1"/>
    <col min="3342" max="3342" width="25.77734375" style="26" customWidth="1"/>
    <col min="3343" max="3360" width="9.77734375" style="26" customWidth="1"/>
    <col min="3361" max="3362" width="12" style="26" customWidth="1"/>
    <col min="3363" max="3363" width="8.77734375" style="26" customWidth="1"/>
    <col min="3364" max="3364" width="9" style="26" customWidth="1"/>
    <col min="3365" max="3365" width="6" style="26" customWidth="1"/>
    <col min="3366" max="3366" width="7.5546875" style="26" customWidth="1"/>
    <col min="3367" max="3367" width="10.21875" style="26" customWidth="1"/>
    <col min="3368" max="3596" width="9" style="26"/>
    <col min="3597" max="3597" width="2" style="26" customWidth="1"/>
    <col min="3598" max="3598" width="25.77734375" style="26" customWidth="1"/>
    <col min="3599" max="3616" width="9.77734375" style="26" customWidth="1"/>
    <col min="3617" max="3618" width="12" style="26" customWidth="1"/>
    <col min="3619" max="3619" width="8.77734375" style="26" customWidth="1"/>
    <col min="3620" max="3620" width="9" style="26" customWidth="1"/>
    <col min="3621" max="3621" width="6" style="26" customWidth="1"/>
    <col min="3622" max="3622" width="7.5546875" style="26" customWidth="1"/>
    <col min="3623" max="3623" width="10.21875" style="26" customWidth="1"/>
    <col min="3624" max="3852" width="9" style="26"/>
    <col min="3853" max="3853" width="2" style="26" customWidth="1"/>
    <col min="3854" max="3854" width="25.77734375" style="26" customWidth="1"/>
    <col min="3855" max="3872" width="9.77734375" style="26" customWidth="1"/>
    <col min="3873" max="3874" width="12" style="26" customWidth="1"/>
    <col min="3875" max="3875" width="8.77734375" style="26" customWidth="1"/>
    <col min="3876" max="3876" width="9" style="26" customWidth="1"/>
    <col min="3877" max="3877" width="6" style="26" customWidth="1"/>
    <col min="3878" max="3878" width="7.5546875" style="26" customWidth="1"/>
    <col min="3879" max="3879" width="10.21875" style="26" customWidth="1"/>
    <col min="3880" max="4108" width="9" style="26"/>
    <col min="4109" max="4109" width="2" style="26" customWidth="1"/>
    <col min="4110" max="4110" width="25.77734375" style="26" customWidth="1"/>
    <col min="4111" max="4128" width="9.77734375" style="26" customWidth="1"/>
    <col min="4129" max="4130" width="12" style="26" customWidth="1"/>
    <col min="4131" max="4131" width="8.77734375" style="26" customWidth="1"/>
    <col min="4132" max="4132" width="9" style="26" customWidth="1"/>
    <col min="4133" max="4133" width="6" style="26" customWidth="1"/>
    <col min="4134" max="4134" width="7.5546875" style="26" customWidth="1"/>
    <col min="4135" max="4135" width="10.21875" style="26" customWidth="1"/>
    <col min="4136" max="4364" width="9" style="26"/>
    <col min="4365" max="4365" width="2" style="26" customWidth="1"/>
    <col min="4366" max="4366" width="25.77734375" style="26" customWidth="1"/>
    <col min="4367" max="4384" width="9.77734375" style="26" customWidth="1"/>
    <col min="4385" max="4386" width="12" style="26" customWidth="1"/>
    <col min="4387" max="4387" width="8.77734375" style="26" customWidth="1"/>
    <col min="4388" max="4388" width="9" style="26" customWidth="1"/>
    <col min="4389" max="4389" width="6" style="26" customWidth="1"/>
    <col min="4390" max="4390" width="7.5546875" style="26" customWidth="1"/>
    <col min="4391" max="4391" width="10.21875" style="26" customWidth="1"/>
    <col min="4392" max="4620" width="9" style="26"/>
    <col min="4621" max="4621" width="2" style="26" customWidth="1"/>
    <col min="4622" max="4622" width="25.77734375" style="26" customWidth="1"/>
    <col min="4623" max="4640" width="9.77734375" style="26" customWidth="1"/>
    <col min="4641" max="4642" width="12" style="26" customWidth="1"/>
    <col min="4643" max="4643" width="8.77734375" style="26" customWidth="1"/>
    <col min="4644" max="4644" width="9" style="26" customWidth="1"/>
    <col min="4645" max="4645" width="6" style="26" customWidth="1"/>
    <col min="4646" max="4646" width="7.5546875" style="26" customWidth="1"/>
    <col min="4647" max="4647" width="10.21875" style="26" customWidth="1"/>
    <col min="4648" max="4876" width="9" style="26"/>
    <col min="4877" max="4877" width="2" style="26" customWidth="1"/>
    <col min="4878" max="4878" width="25.77734375" style="26" customWidth="1"/>
    <col min="4879" max="4896" width="9.77734375" style="26" customWidth="1"/>
    <col min="4897" max="4898" width="12" style="26" customWidth="1"/>
    <col min="4899" max="4899" width="8.77734375" style="26" customWidth="1"/>
    <col min="4900" max="4900" width="9" style="26" customWidth="1"/>
    <col min="4901" max="4901" width="6" style="26" customWidth="1"/>
    <col min="4902" max="4902" width="7.5546875" style="26" customWidth="1"/>
    <col min="4903" max="4903" width="10.21875" style="26" customWidth="1"/>
    <col min="4904" max="5132" width="9" style="26"/>
    <col min="5133" max="5133" width="2" style="26" customWidth="1"/>
    <col min="5134" max="5134" width="25.77734375" style="26" customWidth="1"/>
    <col min="5135" max="5152" width="9.77734375" style="26" customWidth="1"/>
    <col min="5153" max="5154" width="12" style="26" customWidth="1"/>
    <col min="5155" max="5155" width="8.77734375" style="26" customWidth="1"/>
    <col min="5156" max="5156" width="9" style="26" customWidth="1"/>
    <col min="5157" max="5157" width="6" style="26" customWidth="1"/>
    <col min="5158" max="5158" width="7.5546875" style="26" customWidth="1"/>
    <col min="5159" max="5159" width="10.21875" style="26" customWidth="1"/>
    <col min="5160" max="5388" width="9" style="26"/>
    <col min="5389" max="5389" width="2" style="26" customWidth="1"/>
    <col min="5390" max="5390" width="25.77734375" style="26" customWidth="1"/>
    <col min="5391" max="5408" width="9.77734375" style="26" customWidth="1"/>
    <col min="5409" max="5410" width="12" style="26" customWidth="1"/>
    <col min="5411" max="5411" width="8.77734375" style="26" customWidth="1"/>
    <col min="5412" max="5412" width="9" style="26" customWidth="1"/>
    <col min="5413" max="5413" width="6" style="26" customWidth="1"/>
    <col min="5414" max="5414" width="7.5546875" style="26" customWidth="1"/>
    <col min="5415" max="5415" width="10.21875" style="26" customWidth="1"/>
    <col min="5416" max="5644" width="9" style="26"/>
    <col min="5645" max="5645" width="2" style="26" customWidth="1"/>
    <col min="5646" max="5646" width="25.77734375" style="26" customWidth="1"/>
    <col min="5647" max="5664" width="9.77734375" style="26" customWidth="1"/>
    <col min="5665" max="5666" width="12" style="26" customWidth="1"/>
    <col min="5667" max="5667" width="8.77734375" style="26" customWidth="1"/>
    <col min="5668" max="5668" width="9" style="26" customWidth="1"/>
    <col min="5669" max="5669" width="6" style="26" customWidth="1"/>
    <col min="5670" max="5670" width="7.5546875" style="26" customWidth="1"/>
    <col min="5671" max="5671" width="10.21875" style="26" customWidth="1"/>
    <col min="5672" max="5900" width="9" style="26"/>
    <col min="5901" max="5901" width="2" style="26" customWidth="1"/>
    <col min="5902" max="5902" width="25.77734375" style="26" customWidth="1"/>
    <col min="5903" max="5920" width="9.77734375" style="26" customWidth="1"/>
    <col min="5921" max="5922" width="12" style="26" customWidth="1"/>
    <col min="5923" max="5923" width="8.77734375" style="26" customWidth="1"/>
    <col min="5924" max="5924" width="9" style="26" customWidth="1"/>
    <col min="5925" max="5925" width="6" style="26" customWidth="1"/>
    <col min="5926" max="5926" width="7.5546875" style="26" customWidth="1"/>
    <col min="5927" max="5927" width="10.21875" style="26" customWidth="1"/>
    <col min="5928" max="6156" width="9" style="26"/>
    <col min="6157" max="6157" width="2" style="26" customWidth="1"/>
    <col min="6158" max="6158" width="25.77734375" style="26" customWidth="1"/>
    <col min="6159" max="6176" width="9.77734375" style="26" customWidth="1"/>
    <col min="6177" max="6178" width="12" style="26" customWidth="1"/>
    <col min="6179" max="6179" width="8.77734375" style="26" customWidth="1"/>
    <col min="6180" max="6180" width="9" style="26" customWidth="1"/>
    <col min="6181" max="6181" width="6" style="26" customWidth="1"/>
    <col min="6182" max="6182" width="7.5546875" style="26" customWidth="1"/>
    <col min="6183" max="6183" width="10.21875" style="26" customWidth="1"/>
    <col min="6184" max="6412" width="9" style="26"/>
    <col min="6413" max="6413" width="2" style="26" customWidth="1"/>
    <col min="6414" max="6414" width="25.77734375" style="26" customWidth="1"/>
    <col min="6415" max="6432" width="9.77734375" style="26" customWidth="1"/>
    <col min="6433" max="6434" width="12" style="26" customWidth="1"/>
    <col min="6435" max="6435" width="8.77734375" style="26" customWidth="1"/>
    <col min="6436" max="6436" width="9" style="26" customWidth="1"/>
    <col min="6437" max="6437" width="6" style="26" customWidth="1"/>
    <col min="6438" max="6438" width="7.5546875" style="26" customWidth="1"/>
    <col min="6439" max="6439" width="10.21875" style="26" customWidth="1"/>
    <col min="6440" max="6668" width="9" style="26"/>
    <col min="6669" max="6669" width="2" style="26" customWidth="1"/>
    <col min="6670" max="6670" width="25.77734375" style="26" customWidth="1"/>
    <col min="6671" max="6688" width="9.77734375" style="26" customWidth="1"/>
    <col min="6689" max="6690" width="12" style="26" customWidth="1"/>
    <col min="6691" max="6691" width="8.77734375" style="26" customWidth="1"/>
    <col min="6692" max="6692" width="9" style="26" customWidth="1"/>
    <col min="6693" max="6693" width="6" style="26" customWidth="1"/>
    <col min="6694" max="6694" width="7.5546875" style="26" customWidth="1"/>
    <col min="6695" max="6695" width="10.21875" style="26" customWidth="1"/>
    <col min="6696" max="6924" width="9" style="26"/>
    <col min="6925" max="6925" width="2" style="26" customWidth="1"/>
    <col min="6926" max="6926" width="25.77734375" style="26" customWidth="1"/>
    <col min="6927" max="6944" width="9.77734375" style="26" customWidth="1"/>
    <col min="6945" max="6946" width="12" style="26" customWidth="1"/>
    <col min="6947" max="6947" width="8.77734375" style="26" customWidth="1"/>
    <col min="6948" max="6948" width="9" style="26" customWidth="1"/>
    <col min="6949" max="6949" width="6" style="26" customWidth="1"/>
    <col min="6950" max="6950" width="7.5546875" style="26" customWidth="1"/>
    <col min="6951" max="6951" width="10.21875" style="26" customWidth="1"/>
    <col min="6952" max="7180" width="9" style="26"/>
    <col min="7181" max="7181" width="2" style="26" customWidth="1"/>
    <col min="7182" max="7182" width="25.77734375" style="26" customWidth="1"/>
    <col min="7183" max="7200" width="9.77734375" style="26" customWidth="1"/>
    <col min="7201" max="7202" width="12" style="26" customWidth="1"/>
    <col min="7203" max="7203" width="8.77734375" style="26" customWidth="1"/>
    <col min="7204" max="7204" width="9" style="26" customWidth="1"/>
    <col min="7205" max="7205" width="6" style="26" customWidth="1"/>
    <col min="7206" max="7206" width="7.5546875" style="26" customWidth="1"/>
    <col min="7207" max="7207" width="10.21875" style="26" customWidth="1"/>
    <col min="7208" max="7436" width="9" style="26"/>
    <col min="7437" max="7437" width="2" style="26" customWidth="1"/>
    <col min="7438" max="7438" width="25.77734375" style="26" customWidth="1"/>
    <col min="7439" max="7456" width="9.77734375" style="26" customWidth="1"/>
    <col min="7457" max="7458" width="12" style="26" customWidth="1"/>
    <col min="7459" max="7459" width="8.77734375" style="26" customWidth="1"/>
    <col min="7460" max="7460" width="9" style="26" customWidth="1"/>
    <col min="7461" max="7461" width="6" style="26" customWidth="1"/>
    <col min="7462" max="7462" width="7.5546875" style="26" customWidth="1"/>
    <col min="7463" max="7463" width="10.21875" style="26" customWidth="1"/>
    <col min="7464" max="7692" width="9" style="26"/>
    <col min="7693" max="7693" width="2" style="26" customWidth="1"/>
    <col min="7694" max="7694" width="25.77734375" style="26" customWidth="1"/>
    <col min="7695" max="7712" width="9.77734375" style="26" customWidth="1"/>
    <col min="7713" max="7714" width="12" style="26" customWidth="1"/>
    <col min="7715" max="7715" width="8.77734375" style="26" customWidth="1"/>
    <col min="7716" max="7716" width="9" style="26" customWidth="1"/>
    <col min="7717" max="7717" width="6" style="26" customWidth="1"/>
    <col min="7718" max="7718" width="7.5546875" style="26" customWidth="1"/>
    <col min="7719" max="7719" width="10.21875" style="26" customWidth="1"/>
    <col min="7720" max="7948" width="9" style="26"/>
    <col min="7949" max="7949" width="2" style="26" customWidth="1"/>
    <col min="7950" max="7950" width="25.77734375" style="26" customWidth="1"/>
    <col min="7951" max="7968" width="9.77734375" style="26" customWidth="1"/>
    <col min="7969" max="7970" width="12" style="26" customWidth="1"/>
    <col min="7971" max="7971" width="8.77734375" style="26" customWidth="1"/>
    <col min="7972" max="7972" width="9" style="26" customWidth="1"/>
    <col min="7973" max="7973" width="6" style="26" customWidth="1"/>
    <col min="7974" max="7974" width="7.5546875" style="26" customWidth="1"/>
    <col min="7975" max="7975" width="10.21875" style="26" customWidth="1"/>
    <col min="7976" max="8204" width="9" style="26"/>
    <col min="8205" max="8205" width="2" style="26" customWidth="1"/>
    <col min="8206" max="8206" width="25.77734375" style="26" customWidth="1"/>
    <col min="8207" max="8224" width="9.77734375" style="26" customWidth="1"/>
    <col min="8225" max="8226" width="12" style="26" customWidth="1"/>
    <col min="8227" max="8227" width="8.77734375" style="26" customWidth="1"/>
    <col min="8228" max="8228" width="9" style="26" customWidth="1"/>
    <col min="8229" max="8229" width="6" style="26" customWidth="1"/>
    <col min="8230" max="8230" width="7.5546875" style="26" customWidth="1"/>
    <col min="8231" max="8231" width="10.21875" style="26" customWidth="1"/>
    <col min="8232" max="8460" width="9" style="26"/>
    <col min="8461" max="8461" width="2" style="26" customWidth="1"/>
    <col min="8462" max="8462" width="25.77734375" style="26" customWidth="1"/>
    <col min="8463" max="8480" width="9.77734375" style="26" customWidth="1"/>
    <col min="8481" max="8482" width="12" style="26" customWidth="1"/>
    <col min="8483" max="8483" width="8.77734375" style="26" customWidth="1"/>
    <col min="8484" max="8484" width="9" style="26" customWidth="1"/>
    <col min="8485" max="8485" width="6" style="26" customWidth="1"/>
    <col min="8486" max="8486" width="7.5546875" style="26" customWidth="1"/>
    <col min="8487" max="8487" width="10.21875" style="26" customWidth="1"/>
    <col min="8488" max="8716" width="9" style="26"/>
    <col min="8717" max="8717" width="2" style="26" customWidth="1"/>
    <col min="8718" max="8718" width="25.77734375" style="26" customWidth="1"/>
    <col min="8719" max="8736" width="9.77734375" style="26" customWidth="1"/>
    <col min="8737" max="8738" width="12" style="26" customWidth="1"/>
    <col min="8739" max="8739" width="8.77734375" style="26" customWidth="1"/>
    <col min="8740" max="8740" width="9" style="26" customWidth="1"/>
    <col min="8741" max="8741" width="6" style="26" customWidth="1"/>
    <col min="8742" max="8742" width="7.5546875" style="26" customWidth="1"/>
    <col min="8743" max="8743" width="10.21875" style="26" customWidth="1"/>
    <col min="8744" max="8972" width="9" style="26"/>
    <col min="8973" max="8973" width="2" style="26" customWidth="1"/>
    <col min="8974" max="8974" width="25.77734375" style="26" customWidth="1"/>
    <col min="8975" max="8992" width="9.77734375" style="26" customWidth="1"/>
    <col min="8993" max="8994" width="12" style="26" customWidth="1"/>
    <col min="8995" max="8995" width="8.77734375" style="26" customWidth="1"/>
    <col min="8996" max="8996" width="9" style="26" customWidth="1"/>
    <col min="8997" max="8997" width="6" style="26" customWidth="1"/>
    <col min="8998" max="8998" width="7.5546875" style="26" customWidth="1"/>
    <col min="8999" max="8999" width="10.21875" style="26" customWidth="1"/>
    <col min="9000" max="9228" width="9" style="26"/>
    <col min="9229" max="9229" width="2" style="26" customWidth="1"/>
    <col min="9230" max="9230" width="25.77734375" style="26" customWidth="1"/>
    <col min="9231" max="9248" width="9.77734375" style="26" customWidth="1"/>
    <col min="9249" max="9250" width="12" style="26" customWidth="1"/>
    <col min="9251" max="9251" width="8.77734375" style="26" customWidth="1"/>
    <col min="9252" max="9252" width="9" style="26" customWidth="1"/>
    <col min="9253" max="9253" width="6" style="26" customWidth="1"/>
    <col min="9254" max="9254" width="7.5546875" style="26" customWidth="1"/>
    <col min="9255" max="9255" width="10.21875" style="26" customWidth="1"/>
    <col min="9256" max="9484" width="9" style="26"/>
    <col min="9485" max="9485" width="2" style="26" customWidth="1"/>
    <col min="9486" max="9486" width="25.77734375" style="26" customWidth="1"/>
    <col min="9487" max="9504" width="9.77734375" style="26" customWidth="1"/>
    <col min="9505" max="9506" width="12" style="26" customWidth="1"/>
    <col min="9507" max="9507" width="8.77734375" style="26" customWidth="1"/>
    <col min="9508" max="9508" width="9" style="26" customWidth="1"/>
    <col min="9509" max="9509" width="6" style="26" customWidth="1"/>
    <col min="9510" max="9510" width="7.5546875" style="26" customWidth="1"/>
    <col min="9511" max="9511" width="10.21875" style="26" customWidth="1"/>
    <col min="9512" max="9740" width="9" style="26"/>
    <col min="9741" max="9741" width="2" style="26" customWidth="1"/>
    <col min="9742" max="9742" width="25.77734375" style="26" customWidth="1"/>
    <col min="9743" max="9760" width="9.77734375" style="26" customWidth="1"/>
    <col min="9761" max="9762" width="12" style="26" customWidth="1"/>
    <col min="9763" max="9763" width="8.77734375" style="26" customWidth="1"/>
    <col min="9764" max="9764" width="9" style="26" customWidth="1"/>
    <col min="9765" max="9765" width="6" style="26" customWidth="1"/>
    <col min="9766" max="9766" width="7.5546875" style="26" customWidth="1"/>
    <col min="9767" max="9767" width="10.21875" style="26" customWidth="1"/>
    <col min="9768" max="9996" width="9" style="26"/>
    <col min="9997" max="9997" width="2" style="26" customWidth="1"/>
    <col min="9998" max="9998" width="25.77734375" style="26" customWidth="1"/>
    <col min="9999" max="10016" width="9.77734375" style="26" customWidth="1"/>
    <col min="10017" max="10018" width="12" style="26" customWidth="1"/>
    <col min="10019" max="10019" width="8.77734375" style="26" customWidth="1"/>
    <col min="10020" max="10020" width="9" style="26" customWidth="1"/>
    <col min="10021" max="10021" width="6" style="26" customWidth="1"/>
    <col min="10022" max="10022" width="7.5546875" style="26" customWidth="1"/>
    <col min="10023" max="10023" width="10.21875" style="26" customWidth="1"/>
    <col min="10024" max="10252" width="9" style="26"/>
    <col min="10253" max="10253" width="2" style="26" customWidth="1"/>
    <col min="10254" max="10254" width="25.77734375" style="26" customWidth="1"/>
    <col min="10255" max="10272" width="9.77734375" style="26" customWidth="1"/>
    <col min="10273" max="10274" width="12" style="26" customWidth="1"/>
    <col min="10275" max="10275" width="8.77734375" style="26" customWidth="1"/>
    <col min="10276" max="10276" width="9" style="26" customWidth="1"/>
    <col min="10277" max="10277" width="6" style="26" customWidth="1"/>
    <col min="10278" max="10278" width="7.5546875" style="26" customWidth="1"/>
    <col min="10279" max="10279" width="10.21875" style="26" customWidth="1"/>
    <col min="10280" max="10508" width="9" style="26"/>
    <col min="10509" max="10509" width="2" style="26" customWidth="1"/>
    <col min="10510" max="10510" width="25.77734375" style="26" customWidth="1"/>
    <col min="10511" max="10528" width="9.77734375" style="26" customWidth="1"/>
    <col min="10529" max="10530" width="12" style="26" customWidth="1"/>
    <col min="10531" max="10531" width="8.77734375" style="26" customWidth="1"/>
    <col min="10532" max="10532" width="9" style="26" customWidth="1"/>
    <col min="10533" max="10533" width="6" style="26" customWidth="1"/>
    <col min="10534" max="10534" width="7.5546875" style="26" customWidth="1"/>
    <col min="10535" max="10535" width="10.21875" style="26" customWidth="1"/>
    <col min="10536" max="10764" width="9" style="26"/>
    <col min="10765" max="10765" width="2" style="26" customWidth="1"/>
    <col min="10766" max="10766" width="25.77734375" style="26" customWidth="1"/>
    <col min="10767" max="10784" width="9.77734375" style="26" customWidth="1"/>
    <col min="10785" max="10786" width="12" style="26" customWidth="1"/>
    <col min="10787" max="10787" width="8.77734375" style="26" customWidth="1"/>
    <col min="10788" max="10788" width="9" style="26" customWidth="1"/>
    <col min="10789" max="10789" width="6" style="26" customWidth="1"/>
    <col min="10790" max="10790" width="7.5546875" style="26" customWidth="1"/>
    <col min="10791" max="10791" width="10.21875" style="26" customWidth="1"/>
    <col min="10792" max="11020" width="9" style="26"/>
    <col min="11021" max="11021" width="2" style="26" customWidth="1"/>
    <col min="11022" max="11022" width="25.77734375" style="26" customWidth="1"/>
    <col min="11023" max="11040" width="9.77734375" style="26" customWidth="1"/>
    <col min="11041" max="11042" width="12" style="26" customWidth="1"/>
    <col min="11043" max="11043" width="8.77734375" style="26" customWidth="1"/>
    <col min="11044" max="11044" width="9" style="26" customWidth="1"/>
    <col min="11045" max="11045" width="6" style="26" customWidth="1"/>
    <col min="11046" max="11046" width="7.5546875" style="26" customWidth="1"/>
    <col min="11047" max="11047" width="10.21875" style="26" customWidth="1"/>
    <col min="11048" max="11276" width="9" style="26"/>
    <col min="11277" max="11277" width="2" style="26" customWidth="1"/>
    <col min="11278" max="11278" width="25.77734375" style="26" customWidth="1"/>
    <col min="11279" max="11296" width="9.77734375" style="26" customWidth="1"/>
    <col min="11297" max="11298" width="12" style="26" customWidth="1"/>
    <col min="11299" max="11299" width="8.77734375" style="26" customWidth="1"/>
    <col min="11300" max="11300" width="9" style="26" customWidth="1"/>
    <col min="11301" max="11301" width="6" style="26" customWidth="1"/>
    <col min="11302" max="11302" width="7.5546875" style="26" customWidth="1"/>
    <col min="11303" max="11303" width="10.21875" style="26" customWidth="1"/>
    <col min="11304" max="11532" width="9" style="26"/>
    <col min="11533" max="11533" width="2" style="26" customWidth="1"/>
    <col min="11534" max="11534" width="25.77734375" style="26" customWidth="1"/>
    <col min="11535" max="11552" width="9.77734375" style="26" customWidth="1"/>
    <col min="11553" max="11554" width="12" style="26" customWidth="1"/>
    <col min="11555" max="11555" width="8.77734375" style="26" customWidth="1"/>
    <col min="11556" max="11556" width="9" style="26" customWidth="1"/>
    <col min="11557" max="11557" width="6" style="26" customWidth="1"/>
    <col min="11558" max="11558" width="7.5546875" style="26" customWidth="1"/>
    <col min="11559" max="11559" width="10.21875" style="26" customWidth="1"/>
    <col min="11560" max="11788" width="9" style="26"/>
    <col min="11789" max="11789" width="2" style="26" customWidth="1"/>
    <col min="11790" max="11790" width="25.77734375" style="26" customWidth="1"/>
    <col min="11791" max="11808" width="9.77734375" style="26" customWidth="1"/>
    <col min="11809" max="11810" width="12" style="26" customWidth="1"/>
    <col min="11811" max="11811" width="8.77734375" style="26" customWidth="1"/>
    <col min="11812" max="11812" width="9" style="26" customWidth="1"/>
    <col min="11813" max="11813" width="6" style="26" customWidth="1"/>
    <col min="11814" max="11814" width="7.5546875" style="26" customWidth="1"/>
    <col min="11815" max="11815" width="10.21875" style="26" customWidth="1"/>
    <col min="11816" max="12044" width="9" style="26"/>
    <col min="12045" max="12045" width="2" style="26" customWidth="1"/>
    <col min="12046" max="12046" width="25.77734375" style="26" customWidth="1"/>
    <col min="12047" max="12064" width="9.77734375" style="26" customWidth="1"/>
    <col min="12065" max="12066" width="12" style="26" customWidth="1"/>
    <col min="12067" max="12067" width="8.77734375" style="26" customWidth="1"/>
    <col min="12068" max="12068" width="9" style="26" customWidth="1"/>
    <col min="12069" max="12069" width="6" style="26" customWidth="1"/>
    <col min="12070" max="12070" width="7.5546875" style="26" customWidth="1"/>
    <col min="12071" max="12071" width="10.21875" style="26" customWidth="1"/>
    <col min="12072" max="12300" width="9" style="26"/>
    <col min="12301" max="12301" width="2" style="26" customWidth="1"/>
    <col min="12302" max="12302" width="25.77734375" style="26" customWidth="1"/>
    <col min="12303" max="12320" width="9.77734375" style="26" customWidth="1"/>
    <col min="12321" max="12322" width="12" style="26" customWidth="1"/>
    <col min="12323" max="12323" width="8.77734375" style="26" customWidth="1"/>
    <col min="12324" max="12324" width="9" style="26" customWidth="1"/>
    <col min="12325" max="12325" width="6" style="26" customWidth="1"/>
    <col min="12326" max="12326" width="7.5546875" style="26" customWidth="1"/>
    <col min="12327" max="12327" width="10.21875" style="26" customWidth="1"/>
    <col min="12328" max="12556" width="9" style="26"/>
    <col min="12557" max="12557" width="2" style="26" customWidth="1"/>
    <col min="12558" max="12558" width="25.77734375" style="26" customWidth="1"/>
    <col min="12559" max="12576" width="9.77734375" style="26" customWidth="1"/>
    <col min="12577" max="12578" width="12" style="26" customWidth="1"/>
    <col min="12579" max="12579" width="8.77734375" style="26" customWidth="1"/>
    <col min="12580" max="12580" width="9" style="26" customWidth="1"/>
    <col min="12581" max="12581" width="6" style="26" customWidth="1"/>
    <col min="12582" max="12582" width="7.5546875" style="26" customWidth="1"/>
    <col min="12583" max="12583" width="10.21875" style="26" customWidth="1"/>
    <col min="12584" max="12812" width="9" style="26"/>
    <col min="12813" max="12813" width="2" style="26" customWidth="1"/>
    <col min="12814" max="12814" width="25.77734375" style="26" customWidth="1"/>
    <col min="12815" max="12832" width="9.77734375" style="26" customWidth="1"/>
    <col min="12833" max="12834" width="12" style="26" customWidth="1"/>
    <col min="12835" max="12835" width="8.77734375" style="26" customWidth="1"/>
    <col min="12836" max="12836" width="9" style="26" customWidth="1"/>
    <col min="12837" max="12837" width="6" style="26" customWidth="1"/>
    <col min="12838" max="12838" width="7.5546875" style="26" customWidth="1"/>
    <col min="12839" max="12839" width="10.21875" style="26" customWidth="1"/>
    <col min="12840" max="13068" width="9" style="26"/>
    <col min="13069" max="13069" width="2" style="26" customWidth="1"/>
    <col min="13070" max="13070" width="25.77734375" style="26" customWidth="1"/>
    <col min="13071" max="13088" width="9.77734375" style="26" customWidth="1"/>
    <col min="13089" max="13090" width="12" style="26" customWidth="1"/>
    <col min="13091" max="13091" width="8.77734375" style="26" customWidth="1"/>
    <col min="13092" max="13092" width="9" style="26" customWidth="1"/>
    <col min="13093" max="13093" width="6" style="26" customWidth="1"/>
    <col min="13094" max="13094" width="7.5546875" style="26" customWidth="1"/>
    <col min="13095" max="13095" width="10.21875" style="26" customWidth="1"/>
    <col min="13096" max="13324" width="9" style="26"/>
    <col min="13325" max="13325" width="2" style="26" customWidth="1"/>
    <col min="13326" max="13326" width="25.77734375" style="26" customWidth="1"/>
    <col min="13327" max="13344" width="9.77734375" style="26" customWidth="1"/>
    <col min="13345" max="13346" width="12" style="26" customWidth="1"/>
    <col min="13347" max="13347" width="8.77734375" style="26" customWidth="1"/>
    <col min="13348" max="13348" width="9" style="26" customWidth="1"/>
    <col min="13349" max="13349" width="6" style="26" customWidth="1"/>
    <col min="13350" max="13350" width="7.5546875" style="26" customWidth="1"/>
    <col min="13351" max="13351" width="10.21875" style="26" customWidth="1"/>
    <col min="13352" max="13580" width="9" style="26"/>
    <col min="13581" max="13581" width="2" style="26" customWidth="1"/>
    <col min="13582" max="13582" width="25.77734375" style="26" customWidth="1"/>
    <col min="13583" max="13600" width="9.77734375" style="26" customWidth="1"/>
    <col min="13601" max="13602" width="12" style="26" customWidth="1"/>
    <col min="13603" max="13603" width="8.77734375" style="26" customWidth="1"/>
    <col min="13604" max="13604" width="9" style="26" customWidth="1"/>
    <col min="13605" max="13605" width="6" style="26" customWidth="1"/>
    <col min="13606" max="13606" width="7.5546875" style="26" customWidth="1"/>
    <col min="13607" max="13607" width="10.21875" style="26" customWidth="1"/>
    <col min="13608" max="13836" width="9" style="26"/>
    <col min="13837" max="13837" width="2" style="26" customWidth="1"/>
    <col min="13838" max="13838" width="25.77734375" style="26" customWidth="1"/>
    <col min="13839" max="13856" width="9.77734375" style="26" customWidth="1"/>
    <col min="13857" max="13858" width="12" style="26" customWidth="1"/>
    <col min="13859" max="13859" width="8.77734375" style="26" customWidth="1"/>
    <col min="13860" max="13860" width="9" style="26" customWidth="1"/>
    <col min="13861" max="13861" width="6" style="26" customWidth="1"/>
    <col min="13862" max="13862" width="7.5546875" style="26" customWidth="1"/>
    <col min="13863" max="13863" width="10.21875" style="26" customWidth="1"/>
    <col min="13864" max="14092" width="9" style="26"/>
    <col min="14093" max="14093" width="2" style="26" customWidth="1"/>
    <col min="14094" max="14094" width="25.77734375" style="26" customWidth="1"/>
    <col min="14095" max="14112" width="9.77734375" style="26" customWidth="1"/>
    <col min="14113" max="14114" width="12" style="26" customWidth="1"/>
    <col min="14115" max="14115" width="8.77734375" style="26" customWidth="1"/>
    <col min="14116" max="14116" width="9" style="26" customWidth="1"/>
    <col min="14117" max="14117" width="6" style="26" customWidth="1"/>
    <col min="14118" max="14118" width="7.5546875" style="26" customWidth="1"/>
    <col min="14119" max="14119" width="10.21875" style="26" customWidth="1"/>
    <col min="14120" max="14348" width="9" style="26"/>
    <col min="14349" max="14349" width="2" style="26" customWidth="1"/>
    <col min="14350" max="14350" width="25.77734375" style="26" customWidth="1"/>
    <col min="14351" max="14368" width="9.77734375" style="26" customWidth="1"/>
    <col min="14369" max="14370" width="12" style="26" customWidth="1"/>
    <col min="14371" max="14371" width="8.77734375" style="26" customWidth="1"/>
    <col min="14372" max="14372" width="9" style="26" customWidth="1"/>
    <col min="14373" max="14373" width="6" style="26" customWidth="1"/>
    <col min="14374" max="14374" width="7.5546875" style="26" customWidth="1"/>
    <col min="14375" max="14375" width="10.21875" style="26" customWidth="1"/>
    <col min="14376" max="14604" width="9" style="26"/>
    <col min="14605" max="14605" width="2" style="26" customWidth="1"/>
    <col min="14606" max="14606" width="25.77734375" style="26" customWidth="1"/>
    <col min="14607" max="14624" width="9.77734375" style="26" customWidth="1"/>
    <col min="14625" max="14626" width="12" style="26" customWidth="1"/>
    <col min="14627" max="14627" width="8.77734375" style="26" customWidth="1"/>
    <col min="14628" max="14628" width="9" style="26" customWidth="1"/>
    <col min="14629" max="14629" width="6" style="26" customWidth="1"/>
    <col min="14630" max="14630" width="7.5546875" style="26" customWidth="1"/>
    <col min="14631" max="14631" width="10.21875" style="26" customWidth="1"/>
    <col min="14632" max="14860" width="9" style="26"/>
    <col min="14861" max="14861" width="2" style="26" customWidth="1"/>
    <col min="14862" max="14862" width="25.77734375" style="26" customWidth="1"/>
    <col min="14863" max="14880" width="9.77734375" style="26" customWidth="1"/>
    <col min="14881" max="14882" width="12" style="26" customWidth="1"/>
    <col min="14883" max="14883" width="8.77734375" style="26" customWidth="1"/>
    <col min="14884" max="14884" width="9" style="26" customWidth="1"/>
    <col min="14885" max="14885" width="6" style="26" customWidth="1"/>
    <col min="14886" max="14886" width="7.5546875" style="26" customWidth="1"/>
    <col min="14887" max="14887" width="10.21875" style="26" customWidth="1"/>
    <col min="14888" max="15116" width="9" style="26"/>
    <col min="15117" max="15117" width="2" style="26" customWidth="1"/>
    <col min="15118" max="15118" width="25.77734375" style="26" customWidth="1"/>
    <col min="15119" max="15136" width="9.77734375" style="26" customWidth="1"/>
    <col min="15137" max="15138" width="12" style="26" customWidth="1"/>
    <col min="15139" max="15139" width="8.77734375" style="26" customWidth="1"/>
    <col min="15140" max="15140" width="9" style="26" customWidth="1"/>
    <col min="15141" max="15141" width="6" style="26" customWidth="1"/>
    <col min="15142" max="15142" width="7.5546875" style="26" customWidth="1"/>
    <col min="15143" max="15143" width="10.21875" style="26" customWidth="1"/>
    <col min="15144" max="15372" width="9" style="26"/>
    <col min="15373" max="15373" width="2" style="26" customWidth="1"/>
    <col min="15374" max="15374" width="25.77734375" style="26" customWidth="1"/>
    <col min="15375" max="15392" width="9.77734375" style="26" customWidth="1"/>
    <col min="15393" max="15394" width="12" style="26" customWidth="1"/>
    <col min="15395" max="15395" width="8.77734375" style="26" customWidth="1"/>
    <col min="15396" max="15396" width="9" style="26" customWidth="1"/>
    <col min="15397" max="15397" width="6" style="26" customWidth="1"/>
    <col min="15398" max="15398" width="7.5546875" style="26" customWidth="1"/>
    <col min="15399" max="15399" width="10.21875" style="26" customWidth="1"/>
    <col min="15400" max="15628" width="9" style="26"/>
    <col min="15629" max="15629" width="2" style="26" customWidth="1"/>
    <col min="15630" max="15630" width="25.77734375" style="26" customWidth="1"/>
    <col min="15631" max="15648" width="9.77734375" style="26" customWidth="1"/>
    <col min="15649" max="15650" width="12" style="26" customWidth="1"/>
    <col min="15651" max="15651" width="8.77734375" style="26" customWidth="1"/>
    <col min="15652" max="15652" width="9" style="26" customWidth="1"/>
    <col min="15653" max="15653" width="6" style="26" customWidth="1"/>
    <col min="15654" max="15654" width="7.5546875" style="26" customWidth="1"/>
    <col min="15655" max="15655" width="10.21875" style="26" customWidth="1"/>
    <col min="15656" max="15884" width="9" style="26"/>
    <col min="15885" max="15885" width="2" style="26" customWidth="1"/>
    <col min="15886" max="15886" width="25.77734375" style="26" customWidth="1"/>
    <col min="15887" max="15904" width="9.77734375" style="26" customWidth="1"/>
    <col min="15905" max="15906" width="12" style="26" customWidth="1"/>
    <col min="15907" max="15907" width="8.77734375" style="26" customWidth="1"/>
    <col min="15908" max="15908" width="9" style="26" customWidth="1"/>
    <col min="15909" max="15909" width="6" style="26" customWidth="1"/>
    <col min="15910" max="15910" width="7.5546875" style="26" customWidth="1"/>
    <col min="15911" max="15911" width="10.21875" style="26" customWidth="1"/>
    <col min="15912" max="16140" width="9" style="26"/>
    <col min="16141" max="16141" width="2" style="26" customWidth="1"/>
    <col min="16142" max="16142" width="25.77734375" style="26" customWidth="1"/>
    <col min="16143" max="16160" width="9.77734375" style="26" customWidth="1"/>
    <col min="16161" max="16162" width="12" style="26" customWidth="1"/>
    <col min="16163" max="16163" width="8.77734375" style="26" customWidth="1"/>
    <col min="16164" max="16164" width="9" style="26" customWidth="1"/>
    <col min="16165" max="16165" width="6" style="26" customWidth="1"/>
    <col min="16166" max="16166" width="7.5546875" style="26" customWidth="1"/>
    <col min="16167" max="16167" width="10.21875" style="26" customWidth="1"/>
    <col min="16168" max="16384" width="9" style="26"/>
  </cols>
  <sheetData>
    <row r="1" spans="1:32" ht="23.4" x14ac:dyDescent="0.45">
      <c r="A1" s="251" t="s">
        <v>158</v>
      </c>
      <c r="N1" s="27"/>
      <c r="AB1" s="30"/>
      <c r="AC1" s="30"/>
      <c r="AD1" s="30"/>
      <c r="AE1" s="30"/>
      <c r="AF1" s="30"/>
    </row>
    <row r="2" spans="1:32" ht="14.4" x14ac:dyDescent="0.3">
      <c r="N2" s="34"/>
      <c r="AB2" s="30"/>
      <c r="AC2" s="30"/>
      <c r="AD2" s="30"/>
      <c r="AE2" s="30"/>
      <c r="AF2" s="30"/>
    </row>
    <row r="3" spans="1:32" ht="22.5" customHeight="1" x14ac:dyDescent="0.3">
      <c r="N3" s="28"/>
      <c r="O3" s="30"/>
      <c r="P3" s="30"/>
      <c r="Q3" s="30"/>
      <c r="R3" s="30"/>
      <c r="S3" s="30"/>
      <c r="T3" s="30"/>
      <c r="U3" s="30"/>
      <c r="V3" s="30"/>
      <c r="W3" s="30"/>
      <c r="X3" s="30"/>
      <c r="Y3" s="30"/>
      <c r="Z3" s="30"/>
      <c r="AA3" s="30"/>
    </row>
    <row r="4" spans="1:32" ht="22.5" customHeight="1" x14ac:dyDescent="0.45">
      <c r="B4" s="27" t="s">
        <v>159</v>
      </c>
      <c r="N4" s="28" t="s">
        <v>160</v>
      </c>
      <c r="O4" s="30"/>
      <c r="P4" s="30"/>
      <c r="Q4" s="30"/>
      <c r="R4" s="30"/>
      <c r="S4" s="30"/>
      <c r="T4" s="30"/>
      <c r="U4" s="30"/>
      <c r="V4" s="30"/>
      <c r="W4" s="30"/>
      <c r="X4" s="30"/>
      <c r="Y4" s="30"/>
      <c r="Z4" s="30"/>
      <c r="AA4" s="30"/>
      <c r="AB4" s="32"/>
      <c r="AC4" s="32"/>
      <c r="AD4" s="32"/>
      <c r="AE4" s="32"/>
      <c r="AF4" s="32"/>
    </row>
    <row r="5" spans="1:32" ht="22.5" customHeight="1" x14ac:dyDescent="0.3">
      <c r="N5" s="458" t="s">
        <v>161</v>
      </c>
      <c r="O5" s="30"/>
      <c r="P5" s="30"/>
      <c r="Q5" s="30"/>
      <c r="R5" s="30"/>
      <c r="S5" s="30"/>
      <c r="T5" s="30"/>
      <c r="U5" s="30"/>
      <c r="V5" s="30"/>
      <c r="W5" s="30"/>
      <c r="X5" s="30"/>
      <c r="Y5" s="30"/>
      <c r="Z5" s="30"/>
      <c r="AA5" s="30"/>
      <c r="AB5" s="32"/>
      <c r="AC5" s="32"/>
      <c r="AD5" s="32"/>
      <c r="AE5" s="32"/>
      <c r="AF5" s="32"/>
    </row>
    <row r="6" spans="1:32" ht="22.5" customHeight="1" x14ac:dyDescent="0.3">
      <c r="N6" s="856" t="s">
        <v>162</v>
      </c>
      <c r="O6" s="856" t="s">
        <v>163</v>
      </c>
      <c r="P6" s="856" t="s">
        <v>164</v>
      </c>
      <c r="Q6" s="30"/>
      <c r="R6" s="30"/>
      <c r="S6" s="30"/>
      <c r="T6" s="30"/>
      <c r="U6" s="30"/>
      <c r="V6" s="30"/>
      <c r="W6" s="30"/>
      <c r="X6" s="30"/>
      <c r="Y6" s="30"/>
      <c r="Z6" s="30"/>
      <c r="AA6" s="30"/>
      <c r="AB6" s="32"/>
      <c r="AC6" s="32"/>
      <c r="AD6" s="32"/>
      <c r="AE6" s="32"/>
      <c r="AF6" s="32"/>
    </row>
    <row r="7" spans="1:32" ht="22.5" customHeight="1" x14ac:dyDescent="0.3">
      <c r="N7" s="857" t="s">
        <v>92</v>
      </c>
      <c r="O7" s="858">
        <f>Summary!AA20+Summary!AA34</f>
        <v>8.8490569179836811</v>
      </c>
      <c r="P7" s="859">
        <f>O7/SUM($O$7:$O$12)</f>
        <v>0.30929357899378973</v>
      </c>
      <c r="Q7" s="469"/>
      <c r="R7" s="30"/>
      <c r="S7" s="30"/>
      <c r="T7" s="30"/>
      <c r="U7" s="30"/>
      <c r="V7" s="30"/>
      <c r="W7" s="30"/>
      <c r="X7" s="30"/>
      <c r="Y7" s="30"/>
      <c r="Z7" s="30"/>
      <c r="AA7" s="30"/>
      <c r="AB7" s="32"/>
      <c r="AC7" s="32"/>
      <c r="AD7" s="32"/>
      <c r="AE7" s="32"/>
      <c r="AF7" s="32"/>
    </row>
    <row r="8" spans="1:32" ht="22.5" customHeight="1" x14ac:dyDescent="0.3">
      <c r="B8" s="34"/>
      <c r="C8" s="34"/>
      <c r="N8" s="857" t="s">
        <v>165</v>
      </c>
      <c r="O8" s="858">
        <f>Summary!AA31+Summary!AA35</f>
        <v>9.4590200154111006</v>
      </c>
      <c r="P8" s="859">
        <f t="shared" ref="P8:P12" si="0">O8/SUM($O$7:$O$12)</f>
        <v>0.33061310165095115</v>
      </c>
      <c r="Q8" s="465"/>
      <c r="R8" s="30"/>
      <c r="S8" s="30"/>
      <c r="T8" s="30"/>
      <c r="U8" s="30"/>
      <c r="V8" s="30"/>
      <c r="W8" s="30"/>
      <c r="X8" s="30"/>
      <c r="Y8" s="30"/>
      <c r="Z8" s="30"/>
      <c r="AA8" s="30"/>
      <c r="AB8" s="32"/>
      <c r="AC8" s="32"/>
      <c r="AD8" s="32"/>
      <c r="AE8" s="32"/>
      <c r="AF8" s="32"/>
    </row>
    <row r="9" spans="1:32" ht="22.5" customHeight="1" x14ac:dyDescent="0.3">
      <c r="B9" s="34"/>
      <c r="N9" s="857" t="s">
        <v>166</v>
      </c>
      <c r="O9" s="858">
        <f>Summary!AA46</f>
        <v>8.7199879350515541</v>
      </c>
      <c r="P9" s="859">
        <f t="shared" si="0"/>
        <v>0.30478234033433016</v>
      </c>
      <c r="Q9" s="466"/>
      <c r="R9" s="30"/>
      <c r="S9" s="30"/>
      <c r="T9" s="30"/>
      <c r="U9" s="30"/>
      <c r="V9" s="30"/>
      <c r="W9" s="30"/>
      <c r="X9" s="30"/>
      <c r="Y9" s="30"/>
      <c r="Z9" s="30"/>
      <c r="AA9" s="30"/>
      <c r="AB9" s="32"/>
      <c r="AC9" s="32"/>
      <c r="AD9" s="32"/>
      <c r="AE9" s="32"/>
      <c r="AF9" s="32"/>
    </row>
    <row r="10" spans="1:32" ht="22.5" customHeight="1" x14ac:dyDescent="0.3">
      <c r="N10" s="857" t="s">
        <v>142</v>
      </c>
      <c r="O10" s="858">
        <f>Summary!AA56</f>
        <v>1.0101036196923097</v>
      </c>
      <c r="P10" s="859">
        <f t="shared" si="0"/>
        <v>3.5305294856257184E-2</v>
      </c>
      <c r="Q10" s="30"/>
      <c r="R10" s="30"/>
      <c r="S10" s="30"/>
      <c r="T10" s="30"/>
      <c r="U10" s="30"/>
      <c r="V10" s="30"/>
      <c r="W10" s="30"/>
      <c r="X10" s="30"/>
      <c r="Y10" s="30"/>
      <c r="Z10" s="30"/>
      <c r="AA10" s="30"/>
      <c r="AB10" s="32"/>
      <c r="AC10" s="32"/>
      <c r="AD10" s="32"/>
      <c r="AE10" s="32"/>
      <c r="AF10" s="32"/>
    </row>
    <row r="11" spans="1:32" ht="22.5" customHeight="1" x14ac:dyDescent="0.3">
      <c r="N11" s="857" t="s">
        <v>144</v>
      </c>
      <c r="O11" s="858">
        <f>Summary!AA52</f>
        <v>0.44454284258542998</v>
      </c>
      <c r="P11" s="859">
        <f t="shared" si="0"/>
        <v>1.5537728830729403E-2</v>
      </c>
      <c r="Q11" s="659"/>
      <c r="R11" s="30"/>
      <c r="S11" s="30"/>
      <c r="T11" s="30"/>
      <c r="U11" s="30"/>
      <c r="V11" s="30"/>
      <c r="W11" s="30"/>
      <c r="X11" s="30"/>
      <c r="Y11" s="30"/>
      <c r="Z11" s="30"/>
      <c r="AA11" s="30"/>
      <c r="AB11" s="32"/>
      <c r="AC11" s="32"/>
      <c r="AD11" s="32"/>
      <c r="AE11" s="32"/>
      <c r="AF11" s="32"/>
    </row>
    <row r="12" spans="1:32" ht="22.5" customHeight="1" x14ac:dyDescent="0.3">
      <c r="N12" s="857" t="s">
        <v>143</v>
      </c>
      <c r="O12" s="858">
        <f>Summary!AA62</f>
        <v>0.12783062353149721</v>
      </c>
      <c r="P12" s="860">
        <f t="shared" si="0"/>
        <v>4.4679553339423373E-3</v>
      </c>
      <c r="Q12" s="30"/>
      <c r="R12" s="30"/>
      <c r="S12" s="30"/>
      <c r="T12" s="30"/>
      <c r="U12" s="30"/>
      <c r="V12" s="30"/>
      <c r="W12" s="30"/>
      <c r="X12" s="30"/>
      <c r="Y12" s="30"/>
      <c r="Z12" s="30"/>
      <c r="AA12" s="30"/>
      <c r="AB12" s="32"/>
      <c r="AC12" s="32"/>
      <c r="AD12" s="32"/>
      <c r="AE12" s="32"/>
      <c r="AF12" s="32"/>
    </row>
    <row r="13" spans="1:32" ht="22.5" customHeight="1" x14ac:dyDescent="0.3">
      <c r="P13" s="659"/>
      <c r="Q13" s="30"/>
      <c r="R13" s="30"/>
      <c r="S13" s="30"/>
      <c r="T13" s="30"/>
      <c r="U13" s="30"/>
      <c r="V13" s="30"/>
      <c r="W13" s="30"/>
      <c r="X13" s="30"/>
      <c r="Y13" s="30"/>
      <c r="Z13" s="30"/>
      <c r="AA13" s="30"/>
      <c r="AB13" s="32"/>
      <c r="AC13" s="32"/>
      <c r="AD13" s="32"/>
      <c r="AE13" s="32"/>
      <c r="AF13" s="32"/>
    </row>
    <row r="14" spans="1:32" ht="22.5" customHeight="1" x14ac:dyDescent="0.3">
      <c r="P14" s="30"/>
      <c r="Q14" s="30"/>
      <c r="R14" s="30"/>
      <c r="S14" s="30"/>
      <c r="T14" s="30"/>
      <c r="U14" s="30"/>
      <c r="V14" s="30"/>
      <c r="W14" s="30"/>
      <c r="X14" s="30"/>
      <c r="Y14" s="30"/>
      <c r="Z14" s="30"/>
      <c r="AA14" s="30"/>
      <c r="AB14" s="32"/>
      <c r="AC14" s="32"/>
      <c r="AD14" s="32"/>
      <c r="AE14" s="32"/>
      <c r="AF14" s="32"/>
    </row>
    <row r="15" spans="1:32" ht="22.5" customHeight="1" x14ac:dyDescent="0.3">
      <c r="P15" s="30"/>
      <c r="Q15" s="30"/>
      <c r="R15" s="30"/>
      <c r="S15" s="30"/>
      <c r="T15" s="30"/>
      <c r="U15" s="30"/>
      <c r="V15" s="30"/>
      <c r="W15" s="30"/>
      <c r="X15" s="30"/>
      <c r="Y15" s="30"/>
      <c r="Z15" s="30"/>
      <c r="AA15" s="30"/>
      <c r="AB15" s="32"/>
      <c r="AC15" s="32"/>
      <c r="AD15" s="32"/>
      <c r="AE15" s="32"/>
      <c r="AF15" s="32"/>
    </row>
    <row r="16" spans="1:32" ht="22.5" customHeight="1" x14ac:dyDescent="0.3">
      <c r="P16" s="30"/>
      <c r="Q16" s="30"/>
      <c r="R16" s="30"/>
      <c r="S16" s="30"/>
      <c r="T16" s="30"/>
      <c r="U16" s="30"/>
      <c r="V16" s="30"/>
      <c r="W16" s="30"/>
      <c r="X16" s="30"/>
      <c r="Y16" s="30"/>
      <c r="Z16" s="30"/>
      <c r="AA16" s="30"/>
      <c r="AB16" s="32"/>
      <c r="AC16" s="32"/>
      <c r="AD16" s="32"/>
      <c r="AE16" s="32"/>
      <c r="AF16" s="32"/>
    </row>
    <row r="17" spans="2:32" ht="22.5" customHeight="1" x14ac:dyDescent="0.3">
      <c r="N17" s="28"/>
      <c r="O17" s="30"/>
      <c r="P17" s="30"/>
      <c r="Q17" s="30"/>
      <c r="R17" s="30"/>
      <c r="S17" s="30"/>
      <c r="T17" s="30"/>
      <c r="U17" s="30"/>
      <c r="V17" s="30"/>
      <c r="W17" s="30"/>
      <c r="X17" s="30"/>
      <c r="Y17" s="30"/>
      <c r="Z17" s="30"/>
      <c r="AA17" s="30"/>
      <c r="AB17" s="32"/>
      <c r="AC17" s="32"/>
      <c r="AD17" s="32"/>
      <c r="AE17" s="32"/>
      <c r="AF17" s="32"/>
    </row>
    <row r="18" spans="2:32" ht="22.5" customHeight="1" x14ac:dyDescent="0.45">
      <c r="B18" s="27" t="s">
        <v>167</v>
      </c>
      <c r="N18" s="28" t="s">
        <v>168</v>
      </c>
      <c r="O18" s="30"/>
      <c r="P18" s="30"/>
      <c r="Q18" s="30"/>
      <c r="R18" s="30"/>
      <c r="S18" s="30"/>
      <c r="T18" s="30"/>
      <c r="U18" s="30"/>
      <c r="V18" s="30"/>
      <c r="W18" s="30"/>
      <c r="X18" s="30"/>
      <c r="Y18" s="30"/>
      <c r="Z18" s="30"/>
      <c r="AA18" s="30"/>
      <c r="AB18" s="32"/>
      <c r="AC18" s="32"/>
      <c r="AD18" s="32"/>
      <c r="AE18" s="32"/>
      <c r="AF18" s="32"/>
    </row>
    <row r="19" spans="2:32" ht="22.5" customHeight="1" x14ac:dyDescent="0.35">
      <c r="B19" s="27"/>
      <c r="N19" s="458" t="s">
        <v>169</v>
      </c>
      <c r="O19" s="34"/>
      <c r="P19" s="30"/>
      <c r="Q19" s="30"/>
      <c r="R19" s="30"/>
      <c r="S19" s="30"/>
      <c r="T19" s="30"/>
      <c r="U19" s="30"/>
      <c r="V19" s="30"/>
      <c r="W19" s="30"/>
      <c r="X19" s="30"/>
      <c r="Y19" s="30"/>
      <c r="Z19" s="30"/>
      <c r="AA19" s="30"/>
      <c r="AB19" s="32"/>
      <c r="AC19" s="32"/>
      <c r="AD19" s="32"/>
      <c r="AE19" s="32"/>
      <c r="AF19" s="32"/>
    </row>
    <row r="20" spans="2:32" ht="22.5" customHeight="1" x14ac:dyDescent="0.3">
      <c r="N20" s="856" t="str">
        <f>Summary!B13</f>
        <v>I. ENERGY DOMESTIC</v>
      </c>
      <c r="O20" s="856" t="s">
        <v>170</v>
      </c>
      <c r="P20" s="856" t="s">
        <v>164</v>
      </c>
      <c r="Q20" s="30"/>
      <c r="R20" s="30"/>
      <c r="S20" s="30"/>
      <c r="T20" s="30"/>
      <c r="U20" s="30"/>
      <c r="V20" s="30"/>
      <c r="W20" s="30"/>
      <c r="X20" s="30"/>
      <c r="Y20" s="30"/>
      <c r="Z20" s="30"/>
      <c r="AA20" s="30"/>
      <c r="AB20" s="32"/>
      <c r="AC20" s="32"/>
      <c r="AD20" s="32"/>
      <c r="AE20" s="32"/>
      <c r="AF20" s="32"/>
    </row>
    <row r="21" spans="2:32" ht="22.5" customHeight="1" x14ac:dyDescent="0.3">
      <c r="N21" s="857" t="str">
        <f>Summary!B14</f>
        <v>Gas</v>
      </c>
      <c r="O21" s="861">
        <f>Summary!AA14</f>
        <v>6.1728838576789107</v>
      </c>
      <c r="P21" s="859">
        <f>O21/SUM($O$21:$O$25)</f>
        <v>0.70601451228200762</v>
      </c>
      <c r="Q21" s="30"/>
      <c r="R21" s="30"/>
      <c r="S21" s="30"/>
      <c r="T21" s="30"/>
      <c r="U21" s="30"/>
      <c r="V21" s="30"/>
      <c r="W21" s="30"/>
      <c r="X21" s="30"/>
      <c r="Y21" s="30"/>
      <c r="Z21" s="30"/>
      <c r="AA21" s="30"/>
      <c r="AB21" s="32"/>
      <c r="AC21" s="32"/>
      <c r="AD21" s="32"/>
      <c r="AE21" s="32"/>
      <c r="AF21" s="32"/>
    </row>
    <row r="22" spans="2:32" ht="22.5" customHeight="1" x14ac:dyDescent="0.3">
      <c r="N22" s="857" t="str">
        <f>Summary!B15</f>
        <v>Electricity</v>
      </c>
      <c r="O22" s="861">
        <f>Summary!AA15</f>
        <v>2.3269511832391832</v>
      </c>
      <c r="P22" s="859">
        <f>O22/SUM($O$21:$O$25)</f>
        <v>0.26614161915503637</v>
      </c>
      <c r="Q22" s="30"/>
      <c r="R22" s="30"/>
      <c r="S22" s="30"/>
      <c r="T22" s="30"/>
      <c r="U22" s="30"/>
      <c r="V22" s="30"/>
      <c r="W22" s="30"/>
      <c r="X22" s="30"/>
      <c r="Y22" s="30"/>
      <c r="Z22" s="30"/>
      <c r="AA22" s="30"/>
      <c r="AB22" s="32"/>
      <c r="AC22" s="32"/>
      <c r="AD22" s="32"/>
      <c r="AE22" s="32"/>
      <c r="AF22" s="32"/>
    </row>
    <row r="23" spans="2:32" ht="22.5" customHeight="1" x14ac:dyDescent="0.3">
      <c r="N23" s="857" t="str">
        <f>Summary!B17</f>
        <v>Coal</v>
      </c>
      <c r="O23" s="861">
        <f>Summary!AA17</f>
        <v>8.4403921176574068E-2</v>
      </c>
      <c r="P23" s="860">
        <f>O23/SUM($O$21:$O$25)</f>
        <v>9.653574345164298E-3</v>
      </c>
      <c r="Q23" s="30"/>
      <c r="R23" s="30"/>
      <c r="S23" s="30"/>
      <c r="T23" s="30"/>
      <c r="U23" s="30"/>
      <c r="V23" s="30"/>
      <c r="W23" s="30"/>
      <c r="X23" s="30"/>
      <c r="Y23" s="30"/>
      <c r="Z23" s="30"/>
      <c r="AA23" s="30"/>
      <c r="AB23" s="32"/>
      <c r="AC23" s="32"/>
      <c r="AD23" s="32"/>
      <c r="AE23" s="32"/>
      <c r="AF23" s="32"/>
    </row>
    <row r="24" spans="2:32" ht="22.5" customHeight="1" x14ac:dyDescent="0.3">
      <c r="N24" s="857" t="s">
        <v>34</v>
      </c>
      <c r="O24" s="861">
        <f>Summary!AA19</f>
        <v>0.11313979331810628</v>
      </c>
      <c r="P24" s="860">
        <f>O24/SUM($O$21:$O$25)</f>
        <v>1.2940197457271665E-2</v>
      </c>
      <c r="Q24" s="30"/>
      <c r="R24" s="30"/>
      <c r="S24" s="30"/>
      <c r="T24" s="30"/>
      <c r="U24" s="30"/>
      <c r="V24" s="30"/>
      <c r="W24" s="30"/>
      <c r="X24" s="30"/>
      <c r="Y24" s="30"/>
      <c r="Z24" s="30"/>
      <c r="AA24" s="30"/>
      <c r="AB24" s="32"/>
      <c r="AC24" s="32"/>
      <c r="AD24" s="32"/>
      <c r="AE24" s="32"/>
      <c r="AF24" s="32"/>
    </row>
    <row r="25" spans="2:32" ht="22.5" customHeight="1" x14ac:dyDescent="0.3">
      <c r="N25" s="857" t="str">
        <f>Summary!B18</f>
        <v>Oil</v>
      </c>
      <c r="O25" s="861">
        <f>Summary!AA18</f>
        <v>4.5903075617407127E-2</v>
      </c>
      <c r="P25" s="859">
        <f>O25/SUM($O$21:$O$25)</f>
        <v>5.2500967605202528E-3</v>
      </c>
      <c r="Q25" s="30"/>
      <c r="R25" s="30"/>
      <c r="S25" s="30"/>
      <c r="T25" s="30"/>
      <c r="U25" s="30"/>
      <c r="V25" s="30"/>
      <c r="W25" s="30"/>
      <c r="X25" s="30"/>
      <c r="Y25" s="30"/>
      <c r="Z25" s="30"/>
      <c r="AA25" s="30"/>
      <c r="AB25" s="32"/>
      <c r="AC25" s="32"/>
      <c r="AD25" s="32"/>
      <c r="AE25" s="32"/>
      <c r="AF25" s="32"/>
    </row>
    <row r="26" spans="2:32" ht="22.5" customHeight="1" x14ac:dyDescent="0.3">
      <c r="P26" s="30"/>
      <c r="Q26" s="30"/>
      <c r="R26" s="30"/>
      <c r="S26" s="30"/>
      <c r="T26" s="30"/>
      <c r="U26" s="30"/>
      <c r="V26" s="30"/>
      <c r="W26" s="30"/>
      <c r="X26" s="30"/>
      <c r="Y26" s="30"/>
      <c r="Z26" s="30"/>
      <c r="AA26" s="30"/>
      <c r="AB26" s="32"/>
      <c r="AC26" s="32"/>
      <c r="AD26" s="32"/>
      <c r="AE26" s="32"/>
      <c r="AF26" s="32"/>
    </row>
    <row r="27" spans="2:32" ht="22.5" customHeight="1" x14ac:dyDescent="0.3">
      <c r="N27" s="28"/>
      <c r="O27" s="30"/>
      <c r="P27" s="30"/>
      <c r="Q27" s="30"/>
      <c r="R27" s="30"/>
      <c r="S27" s="30"/>
      <c r="T27" s="30"/>
      <c r="U27" s="30"/>
      <c r="V27" s="30"/>
      <c r="W27" s="30"/>
      <c r="X27" s="30"/>
      <c r="Y27" s="30"/>
      <c r="Z27" s="30"/>
      <c r="AA27" s="30"/>
      <c r="AB27" s="32"/>
      <c r="AC27" s="32"/>
      <c r="AD27" s="32"/>
      <c r="AE27" s="32"/>
      <c r="AF27" s="32"/>
    </row>
    <row r="28" spans="2:32" ht="22.5" customHeight="1" x14ac:dyDescent="0.3">
      <c r="N28" s="28"/>
      <c r="O28" s="30"/>
      <c r="P28" s="30"/>
      <c r="Q28" s="30"/>
      <c r="R28" s="30"/>
      <c r="S28" s="30"/>
      <c r="T28" s="30"/>
      <c r="U28" s="30"/>
      <c r="V28" s="30"/>
      <c r="W28" s="30"/>
      <c r="X28" s="30"/>
      <c r="Y28" s="30"/>
      <c r="Z28" s="30"/>
      <c r="AA28" s="30"/>
      <c r="AB28" s="32"/>
      <c r="AC28" s="32"/>
      <c r="AD28" s="32"/>
      <c r="AE28" s="32"/>
      <c r="AF28" s="32"/>
    </row>
    <row r="29" spans="2:32" ht="22.5" customHeight="1" x14ac:dyDescent="0.3">
      <c r="N29" s="28"/>
      <c r="O29" s="30"/>
      <c r="P29" s="30"/>
      <c r="Q29" s="30"/>
      <c r="R29" s="30"/>
      <c r="S29" s="30"/>
      <c r="T29" s="30"/>
      <c r="U29" s="30"/>
      <c r="V29" s="30"/>
      <c r="W29" s="30"/>
      <c r="X29" s="30"/>
      <c r="Y29" s="30"/>
      <c r="Z29" s="30"/>
      <c r="AA29" s="30"/>
      <c r="AB29" s="32"/>
      <c r="AC29" s="32"/>
      <c r="AD29" s="32"/>
      <c r="AE29" s="32"/>
      <c r="AF29" s="32"/>
    </row>
    <row r="30" spans="2:32" ht="22.5" customHeight="1" x14ac:dyDescent="0.3">
      <c r="N30" s="28"/>
      <c r="O30" s="30"/>
      <c r="P30" s="30"/>
      <c r="Q30" s="30"/>
      <c r="R30" s="30"/>
      <c r="S30" s="30"/>
      <c r="T30" s="30"/>
      <c r="U30" s="30"/>
      <c r="V30" s="30"/>
      <c r="W30" s="30"/>
      <c r="X30" s="30"/>
      <c r="Y30" s="30"/>
      <c r="Z30" s="30"/>
      <c r="AA30" s="30"/>
      <c r="AB30" s="32"/>
      <c r="AC30" s="32"/>
      <c r="AD30" s="32"/>
      <c r="AE30" s="32"/>
      <c r="AF30" s="32"/>
    </row>
    <row r="31" spans="2:32" ht="22.5" customHeight="1" x14ac:dyDescent="0.3">
      <c r="N31" s="28"/>
      <c r="O31" s="30"/>
      <c r="P31" s="30"/>
      <c r="Q31" s="30"/>
      <c r="R31" s="30"/>
      <c r="S31" s="30"/>
      <c r="T31" s="30"/>
      <c r="U31" s="30"/>
      <c r="V31" s="30"/>
      <c r="W31" s="30"/>
      <c r="X31" s="30"/>
      <c r="Y31" s="30"/>
      <c r="Z31" s="30"/>
      <c r="AA31" s="30"/>
      <c r="AB31" s="32"/>
      <c r="AC31" s="32"/>
      <c r="AD31" s="32"/>
      <c r="AE31" s="32"/>
      <c r="AF31" s="32"/>
    </row>
    <row r="32" spans="2:32" ht="22.5" customHeight="1" x14ac:dyDescent="0.45">
      <c r="B32" s="27" t="s">
        <v>171</v>
      </c>
      <c r="C32" s="34"/>
      <c r="N32" s="27" t="s">
        <v>172</v>
      </c>
      <c r="O32" s="30"/>
      <c r="P32" s="30"/>
      <c r="Q32" s="30"/>
      <c r="R32" s="30"/>
      <c r="S32" s="30"/>
      <c r="T32" s="30"/>
      <c r="U32" s="30"/>
      <c r="V32" s="30"/>
      <c r="W32" s="30"/>
      <c r="X32" s="30"/>
      <c r="Y32" s="30"/>
      <c r="Z32" s="30"/>
      <c r="AA32" s="30"/>
      <c r="AB32" s="32"/>
      <c r="AC32" s="32"/>
      <c r="AD32" s="32"/>
      <c r="AE32" s="32"/>
      <c r="AF32" s="32"/>
    </row>
    <row r="33" spans="2:36" ht="22.5" customHeight="1" x14ac:dyDescent="0.3">
      <c r="N33" s="458" t="s">
        <v>169</v>
      </c>
      <c r="AB33" s="32"/>
      <c r="AC33" s="32"/>
      <c r="AD33" s="32"/>
      <c r="AE33" s="32"/>
      <c r="AF33" s="32"/>
    </row>
    <row r="34" spans="2:36" s="32" customFormat="1" ht="22.5" customHeight="1" x14ac:dyDescent="0.3">
      <c r="N34" s="856" t="str">
        <f>Summary!B22</f>
        <v>I. ENERGY INDUSTRIAL AND COMMERCIAL</v>
      </c>
      <c r="O34" s="856" t="s">
        <v>170</v>
      </c>
      <c r="P34" s="856" t="s">
        <v>164</v>
      </c>
      <c r="AB34" s="26"/>
      <c r="AC34" s="26"/>
      <c r="AD34" s="26"/>
      <c r="AE34" s="26"/>
      <c r="AF34" s="26"/>
    </row>
    <row r="35" spans="2:36" s="32" customFormat="1" ht="22.5" customHeight="1" x14ac:dyDescent="0.3">
      <c r="N35" s="857" t="s">
        <v>30</v>
      </c>
      <c r="O35" s="861">
        <f>Summary!AA24</f>
        <v>3.871271704707905</v>
      </c>
      <c r="P35" s="859">
        <f t="shared" ref="P35:P40" si="1">O35/SUM($O$35:$O$40)</f>
        <v>0.41176145232444877</v>
      </c>
      <c r="AB35" s="30"/>
      <c r="AC35" s="30"/>
      <c r="AD35" s="30"/>
      <c r="AE35" s="30"/>
      <c r="AF35" s="30"/>
    </row>
    <row r="36" spans="2:36" ht="22.5" customHeight="1" x14ac:dyDescent="0.3">
      <c r="N36" s="857" t="s">
        <v>29</v>
      </c>
      <c r="O36" s="861">
        <f>Summary!AA23</f>
        <v>3.3333827661945787</v>
      </c>
      <c r="P36" s="859">
        <f t="shared" si="1"/>
        <v>0.35454977941547772</v>
      </c>
      <c r="AB36" s="30"/>
      <c r="AC36" s="30"/>
      <c r="AD36" s="30"/>
      <c r="AE36" s="30"/>
      <c r="AF36" s="30"/>
    </row>
    <row r="37" spans="2:36" ht="22.5" customHeight="1" x14ac:dyDescent="0.3">
      <c r="B37" s="32"/>
      <c r="N37" s="857" t="s">
        <v>33</v>
      </c>
      <c r="O37" s="861">
        <f>Summary!AA28</f>
        <v>2.045964127509619</v>
      </c>
      <c r="P37" s="859">
        <f t="shared" si="1"/>
        <v>0.21761561182145153</v>
      </c>
    </row>
    <row r="38" spans="2:36" ht="22.5" customHeight="1" x14ac:dyDescent="0.3">
      <c r="N38" s="857" t="s">
        <v>34</v>
      </c>
      <c r="O38" s="861">
        <f>Summary!AA29</f>
        <v>8.3124726585061565E-2</v>
      </c>
      <c r="P38" s="859">
        <f t="shared" si="1"/>
        <v>8.8414249253321794E-3</v>
      </c>
      <c r="AB38" s="32"/>
      <c r="AC38" s="32"/>
      <c r="AD38" s="32"/>
      <c r="AE38" s="32"/>
      <c r="AF38" s="32"/>
    </row>
    <row r="39" spans="2:36" ht="22.5" customHeight="1" x14ac:dyDescent="0.3">
      <c r="N39" s="857" t="s">
        <v>38</v>
      </c>
      <c r="O39" s="861">
        <f>Summary!AA25</f>
        <v>9.7394471076800004E-3</v>
      </c>
      <c r="P39" s="859">
        <f t="shared" si="1"/>
        <v>1.0359202845458908E-3</v>
      </c>
      <c r="AB39" s="32"/>
      <c r="AC39" s="32"/>
      <c r="AD39" s="32"/>
      <c r="AE39" s="32"/>
      <c r="AF39" s="32"/>
    </row>
    <row r="40" spans="2:36" ht="18.75" customHeight="1" x14ac:dyDescent="0.3">
      <c r="N40" s="857" t="s">
        <v>32</v>
      </c>
      <c r="O40" s="861">
        <f>Summary!AA27</f>
        <v>5.8251369967112845E-2</v>
      </c>
      <c r="P40" s="859">
        <f t="shared" si="1"/>
        <v>6.1958112287437408E-3</v>
      </c>
    </row>
    <row r="41" spans="2:36" ht="14.4" x14ac:dyDescent="0.3">
      <c r="N41" s="70"/>
      <c r="O41" s="70"/>
    </row>
    <row r="42" spans="2:36" ht="14.4" x14ac:dyDescent="0.3">
      <c r="N42" s="32"/>
      <c r="O42" s="33"/>
    </row>
    <row r="43" spans="2:36" ht="14.4" x14ac:dyDescent="0.3">
      <c r="N43" s="32"/>
      <c r="O43" s="33"/>
    </row>
    <row r="44" spans="2:36" s="36" customFormat="1" ht="14.4" x14ac:dyDescent="0.3">
      <c r="N44" s="32"/>
      <c r="O44" s="33"/>
      <c r="P44" s="26"/>
      <c r="Q44" s="26"/>
      <c r="R44" s="26"/>
      <c r="S44" s="26"/>
      <c r="T44" s="26"/>
      <c r="U44" s="26"/>
      <c r="V44" s="26"/>
      <c r="W44" s="26"/>
      <c r="X44" s="26"/>
      <c r="Y44" s="26"/>
      <c r="Z44" s="26"/>
      <c r="AA44" s="26"/>
      <c r="AB44" s="26"/>
      <c r="AC44" s="26"/>
      <c r="AD44" s="26"/>
      <c r="AE44" s="26"/>
      <c r="AF44" s="26"/>
      <c r="AG44" s="26"/>
      <c r="AH44" s="26"/>
    </row>
    <row r="47" spans="2:36" x14ac:dyDescent="0.3">
      <c r="AI47" s="39"/>
      <c r="AJ47" s="39"/>
    </row>
    <row r="48" spans="2:36" ht="20.399999999999999" x14ac:dyDescent="0.45">
      <c r="B48" s="27" t="s">
        <v>173</v>
      </c>
      <c r="C48" s="34"/>
      <c r="N48" s="27" t="s">
        <v>174</v>
      </c>
      <c r="O48" s="249"/>
      <c r="AI48" s="39"/>
      <c r="AJ48" s="39"/>
    </row>
    <row r="49" spans="2:36" x14ac:dyDescent="0.3">
      <c r="AI49" s="39"/>
      <c r="AJ49" s="39"/>
    </row>
    <row r="51" spans="2:36" ht="22.35" customHeight="1" x14ac:dyDescent="0.3">
      <c r="N51" s="856" t="str">
        <f>Summary!B38</f>
        <v>II. TRANSPORT</v>
      </c>
      <c r="O51" s="856" t="s">
        <v>170</v>
      </c>
      <c r="P51" s="856" t="s">
        <v>164</v>
      </c>
      <c r="AI51" s="43"/>
    </row>
    <row r="52" spans="2:36" ht="22.35" customHeight="1" x14ac:dyDescent="0.3">
      <c r="N52" s="857" t="str">
        <f>Summary!B39</f>
        <v>Road transport (non electric)</v>
      </c>
      <c r="O52" s="861">
        <f>Summary!AA39</f>
        <v>6.6461606833228482</v>
      </c>
      <c r="P52" s="859">
        <f t="shared" ref="P52:P57" si="2">O52/SUM($O$52:$O$57)</f>
        <v>0.77284238804241745</v>
      </c>
    </row>
    <row r="53" spans="2:36" ht="22.35" customHeight="1" x14ac:dyDescent="0.3">
      <c r="N53" s="857" t="str">
        <f>Summary!B43</f>
        <v>Aviation</v>
      </c>
      <c r="O53" s="861">
        <f>Summary!AA43</f>
        <v>0.811172142917164</v>
      </c>
      <c r="P53" s="859">
        <f t="shared" si="2"/>
        <v>9.4326370654667036E-2</v>
      </c>
    </row>
    <row r="54" spans="2:36" ht="22.35" customHeight="1" x14ac:dyDescent="0.3">
      <c r="N54" s="857" t="s">
        <v>175</v>
      </c>
      <c r="O54" s="861">
        <f>Summary!AA41</f>
        <v>0.45528490903400487</v>
      </c>
      <c r="P54" s="859">
        <f t="shared" si="2"/>
        <v>5.2942366744223174E-2</v>
      </c>
    </row>
    <row r="55" spans="2:36" ht="22.35" customHeight="1" x14ac:dyDescent="0.3">
      <c r="N55" s="857" t="str">
        <f>Summary!B45</f>
        <v>NRMM</v>
      </c>
      <c r="O55" s="861">
        <f>Summary!AA45</f>
        <v>0.54355991228994216</v>
      </c>
      <c r="P55" s="859">
        <f t="shared" si="2"/>
        <v>6.3207340399157708E-2</v>
      </c>
    </row>
    <row r="56" spans="2:36" ht="22.35" customHeight="1" x14ac:dyDescent="0.3">
      <c r="N56" s="857" t="s">
        <v>176</v>
      </c>
      <c r="O56" s="861">
        <f>Summary!AA40</f>
        <v>8.461915754137074E-2</v>
      </c>
      <c r="P56" s="859">
        <f t="shared" si="2"/>
        <v>9.8398571603168263E-3</v>
      </c>
    </row>
    <row r="57" spans="2:36" ht="22.35" customHeight="1" x14ac:dyDescent="0.3">
      <c r="N57" s="857" t="str">
        <f>Summary!B44</f>
        <v>Shipping</v>
      </c>
      <c r="O57" s="861">
        <f>Summary!AA44</f>
        <v>5.8835909344170566E-2</v>
      </c>
      <c r="P57" s="859">
        <f t="shared" si="2"/>
        <v>6.8416769992178566E-3</v>
      </c>
    </row>
    <row r="58" spans="2:36" ht="14.4" x14ac:dyDescent="0.3">
      <c r="N58" s="34"/>
      <c r="O58" s="33"/>
      <c r="P58" s="34"/>
    </row>
    <row r="59" spans="2:36" ht="14.4" x14ac:dyDescent="0.3">
      <c r="N59" s="34"/>
      <c r="O59" s="33"/>
      <c r="P59" s="34"/>
    </row>
    <row r="60" spans="2:36" ht="14.4" x14ac:dyDescent="0.3">
      <c r="N60" s="34"/>
      <c r="O60" s="33"/>
      <c r="P60" s="34"/>
    </row>
    <row r="61" spans="2:36" ht="14.4" x14ac:dyDescent="0.3">
      <c r="N61" s="34"/>
      <c r="O61" s="33"/>
      <c r="P61" s="34"/>
    </row>
    <row r="62" spans="2:36" ht="14.4" x14ac:dyDescent="0.3">
      <c r="N62" s="34"/>
      <c r="O62" s="33"/>
      <c r="P62" s="34"/>
    </row>
    <row r="63" spans="2:36" ht="14.4" x14ac:dyDescent="0.3">
      <c r="N63" s="34"/>
      <c r="O63" s="648"/>
      <c r="P63" s="34"/>
    </row>
    <row r="64" spans="2:36" x14ac:dyDescent="0.3">
      <c r="B64" s="35"/>
      <c r="C64" s="34"/>
    </row>
    <row r="69" spans="2:35" ht="20.399999999999999" x14ac:dyDescent="0.45">
      <c r="B69" s="27" t="s">
        <v>177</v>
      </c>
      <c r="C69" s="34"/>
      <c r="N69" s="27" t="s">
        <v>178</v>
      </c>
      <c r="O69" s="34"/>
    </row>
    <row r="70" spans="2:35" ht="18" x14ac:dyDescent="0.35">
      <c r="N70" s="27"/>
      <c r="O70" s="34"/>
    </row>
    <row r="71" spans="2:35" x14ac:dyDescent="0.3">
      <c r="O71" s="34"/>
    </row>
    <row r="72" spans="2:35" ht="21.45" customHeight="1" x14ac:dyDescent="0.3">
      <c r="B72" s="35"/>
      <c r="C72" s="34"/>
      <c r="N72" s="856" t="str">
        <f>Summary!B48</f>
        <v>III. WASTE</v>
      </c>
      <c r="O72" s="856" t="s">
        <v>170</v>
      </c>
      <c r="P72" s="856" t="s">
        <v>164</v>
      </c>
    </row>
    <row r="73" spans="2:35" ht="21.45" customHeight="1" x14ac:dyDescent="0.3">
      <c r="N73" s="857" t="s">
        <v>179</v>
      </c>
      <c r="O73" s="862">
        <f>Summary!AA49</f>
        <v>0.1963694469334564</v>
      </c>
      <c r="P73" s="859">
        <f>O73/SUM($O$73:$O$75)</f>
        <v>0.44173345766042588</v>
      </c>
      <c r="AI73" s="34"/>
    </row>
    <row r="74" spans="2:35" ht="21.45" customHeight="1" x14ac:dyDescent="0.3">
      <c r="N74" s="857" t="str">
        <f>Summary!B50</f>
        <v>Biological treatment of waste</v>
      </c>
      <c r="O74" s="862">
        <f>Summary!AA50</f>
        <v>5.6420457063199994E-2</v>
      </c>
      <c r="P74" s="859">
        <f>O74/SUM($O$73:$O$75)</f>
        <v>0.1269179292935245</v>
      </c>
    </row>
    <row r="75" spans="2:35" ht="21.45" customHeight="1" x14ac:dyDescent="0.3">
      <c r="N75" s="857" t="str">
        <f>Summary!B51</f>
        <v>Wastewater treatment and discharge</v>
      </c>
      <c r="O75" s="862">
        <f>Summary!AA51</f>
        <v>0.19175293858877354</v>
      </c>
      <c r="P75" s="859">
        <f>O75/SUM($O$73:$O$75)</f>
        <v>0.43134861304604954</v>
      </c>
    </row>
    <row r="88" spans="2:16" x14ac:dyDescent="0.3">
      <c r="N88" s="34"/>
      <c r="O88" s="249"/>
    </row>
    <row r="89" spans="2:16" x14ac:dyDescent="0.3">
      <c r="N89" s="34"/>
      <c r="O89" s="249"/>
    </row>
    <row r="90" spans="2:16" ht="20.399999999999999" x14ac:dyDescent="0.45">
      <c r="B90" s="27" t="s">
        <v>180</v>
      </c>
      <c r="N90" s="27" t="s">
        <v>181</v>
      </c>
      <c r="O90" s="249"/>
      <c r="P90" s="34"/>
    </row>
    <row r="91" spans="2:16" ht="24" customHeight="1" x14ac:dyDescent="0.3">
      <c r="N91" s="34"/>
      <c r="O91" s="249"/>
      <c r="P91" s="34"/>
    </row>
    <row r="92" spans="2:16" ht="24" customHeight="1" x14ac:dyDescent="0.3">
      <c r="O92" s="249"/>
      <c r="P92" s="34"/>
    </row>
    <row r="93" spans="2:16" ht="24" customHeight="1" x14ac:dyDescent="0.3">
      <c r="N93" s="856" t="str">
        <f>Summary!B53</f>
        <v xml:space="preserve">IV. INDUSTRIAL PROCESSES &amp; PRODUCT USE </v>
      </c>
      <c r="O93" s="856" t="s">
        <v>170</v>
      </c>
      <c r="P93" s="856" t="s">
        <v>164</v>
      </c>
    </row>
    <row r="94" spans="2:16" ht="24" customHeight="1" x14ac:dyDescent="0.3">
      <c r="N94" s="857" t="s">
        <v>182</v>
      </c>
      <c r="O94" s="863">
        <f>SUM('IV. IPPU'!$R$18:$R$36)/1000000</f>
        <v>0.77678647558747604</v>
      </c>
      <c r="P94" s="859">
        <f>O94/SUM($O$94:$O$104)</f>
        <v>0.76901662408070082</v>
      </c>
    </row>
    <row r="95" spans="2:16" ht="24" customHeight="1" x14ac:dyDescent="0.3">
      <c r="N95" s="857" t="s">
        <v>183</v>
      </c>
      <c r="O95" s="863">
        <f>SUM('IV. IPPU'!$R$44:$R$47)/1000000</f>
        <v>0.12502489009588588</v>
      </c>
      <c r="P95" s="859">
        <f t="shared" ref="P95:P104" si="3">O95/SUM($O$94:$O$104)</f>
        <v>0.12377432142453865</v>
      </c>
    </row>
    <row r="96" spans="2:16" ht="24" customHeight="1" x14ac:dyDescent="0.3">
      <c r="N96" s="857" t="s">
        <v>184</v>
      </c>
      <c r="O96" s="863">
        <f>SUM('IV. IPPU'!$R$37:$R$41)/1000000</f>
        <v>3.9034976656129629E-2</v>
      </c>
      <c r="P96" s="859">
        <f t="shared" si="3"/>
        <v>3.8644527051610977E-2</v>
      </c>
    </row>
    <row r="97" spans="2:39" ht="24" customHeight="1" x14ac:dyDescent="0.3">
      <c r="N97" s="857" t="s">
        <v>185</v>
      </c>
      <c r="O97" s="863">
        <f>(SUM('IV. IPPU'!$R$58:$R$64)+'IV. IPPU'!$R$42)/1000000</f>
        <v>1.2402772901675387E-2</v>
      </c>
      <c r="P97" s="859">
        <f t="shared" si="3"/>
        <v>1.227871345065908E-2</v>
      </c>
    </row>
    <row r="98" spans="2:39" ht="24" customHeight="1" x14ac:dyDescent="0.3">
      <c r="N98" s="857" t="s">
        <v>186</v>
      </c>
      <c r="O98" s="863">
        <f>'IV. IPPU'!$R$43/1000000</f>
        <v>1.7434131336777427E-2</v>
      </c>
      <c r="P98" s="859">
        <f t="shared" si="3"/>
        <v>1.7259745432936954E-2</v>
      </c>
    </row>
    <row r="99" spans="2:39" ht="24" customHeight="1" x14ac:dyDescent="0.3">
      <c r="N99" s="857" t="s">
        <v>187</v>
      </c>
      <c r="O99" s="863">
        <f>'IV. IPPU'!$R$57/1000000</f>
        <v>3.3758261783626814E-2</v>
      </c>
      <c r="P99" s="859">
        <f t="shared" si="3"/>
        <v>3.3420592823843166E-2</v>
      </c>
    </row>
    <row r="100" spans="2:39" ht="24" customHeight="1" x14ac:dyDescent="0.3">
      <c r="N100" s="857" t="s">
        <v>188</v>
      </c>
      <c r="O100" s="863">
        <f>SUM('IV. IPPU'!$R$49:$R$54)/1000000</f>
        <v>3.0307895619103714E-3</v>
      </c>
      <c r="P100" s="859">
        <f t="shared" si="3"/>
        <v>3.0004739145807519E-3</v>
      </c>
    </row>
    <row r="101" spans="2:39" ht="24" customHeight="1" x14ac:dyDescent="0.3">
      <c r="N101" s="857" t="s">
        <v>189</v>
      </c>
      <c r="O101" s="863">
        <f>SUM('IV. IPPU'!$R$16:$R$17)/1000000</f>
        <v>8.7911901423959804E-4</v>
      </c>
      <c r="P101" s="859">
        <f t="shared" si="3"/>
        <v>8.7032557561509262E-4</v>
      </c>
    </row>
    <row r="102" spans="2:39" ht="24" customHeight="1" x14ac:dyDescent="0.3">
      <c r="C102" s="34"/>
      <c r="N102" s="857" t="s">
        <v>190</v>
      </c>
      <c r="O102" s="863">
        <f>'IV. IPPU'!$R$48/1000000</f>
        <v>1.6323686884873608E-3</v>
      </c>
      <c r="P102" s="859">
        <f t="shared" si="3"/>
        <v>1.6160408265684673E-3</v>
      </c>
    </row>
    <row r="103" spans="2:39" ht="24" customHeight="1" x14ac:dyDescent="0.3">
      <c r="N103" s="857" t="s">
        <v>191</v>
      </c>
      <c r="O103" s="863">
        <f>'IV. IPPU'!$R$55/1000000</f>
        <v>1.0250980883835962E-4</v>
      </c>
      <c r="P103" s="859">
        <f t="shared" si="3"/>
        <v>1.0148444856537134E-4</v>
      </c>
      <c r="AL103" s="35"/>
      <c r="AM103" s="35"/>
    </row>
    <row r="104" spans="2:39" ht="24" customHeight="1" x14ac:dyDescent="0.3">
      <c r="N104" s="857" t="s">
        <v>192</v>
      </c>
      <c r="O104" s="863">
        <f>'IV. IPPU'!$R$56/1000000</f>
        <v>1.732425726277853E-5</v>
      </c>
      <c r="P104" s="859">
        <f t="shared" si="3"/>
        <v>1.7150970380697891E-5</v>
      </c>
    </row>
    <row r="105" spans="2:39" x14ac:dyDescent="0.3">
      <c r="P105" s="34"/>
    </row>
    <row r="106" spans="2:39" x14ac:dyDescent="0.3">
      <c r="P106" s="34"/>
    </row>
    <row r="107" spans="2:39" x14ac:dyDescent="0.3">
      <c r="P107" s="34"/>
    </row>
    <row r="109" spans="2:39" x14ac:dyDescent="0.3">
      <c r="N109" s="34"/>
      <c r="O109" s="34"/>
    </row>
    <row r="110" spans="2:39" x14ac:dyDescent="0.3">
      <c r="B110" s="35"/>
      <c r="O110" s="34"/>
    </row>
    <row r="111" spans="2:39" ht="20.399999999999999" x14ac:dyDescent="0.45">
      <c r="B111" s="27" t="s">
        <v>193</v>
      </c>
      <c r="N111" s="27" t="s">
        <v>194</v>
      </c>
      <c r="O111" s="34"/>
    </row>
    <row r="112" spans="2:39" x14ac:dyDescent="0.3">
      <c r="N112" s="34"/>
      <c r="O112" s="249"/>
    </row>
    <row r="113" spans="2:16" x14ac:dyDescent="0.3">
      <c r="N113" s="34"/>
      <c r="O113" s="249"/>
    </row>
    <row r="114" spans="2:16" x14ac:dyDescent="0.3">
      <c r="O114" s="249"/>
    </row>
    <row r="115" spans="2:16" ht="25.35" customHeight="1" x14ac:dyDescent="0.3">
      <c r="N115" s="856" t="str">
        <f>Summary!B57</f>
        <v>V. AGRICULTURE</v>
      </c>
      <c r="O115" s="856" t="s">
        <v>170</v>
      </c>
      <c r="P115" s="856" t="s">
        <v>164</v>
      </c>
    </row>
    <row r="116" spans="2:16" ht="25.35" customHeight="1" x14ac:dyDescent="0.3">
      <c r="N116" s="857" t="str">
        <f>Summary!B58</f>
        <v>Livestock</v>
      </c>
      <c r="O116" s="861">
        <f>Summary!AA58</f>
        <v>1.191474395566804E-2</v>
      </c>
      <c r="P116" s="859">
        <f>O116/SUM($O$116:$O$119)</f>
        <v>9.3207274020158951E-2</v>
      </c>
    </row>
    <row r="117" spans="2:16" ht="25.35" customHeight="1" x14ac:dyDescent="0.3">
      <c r="N117" s="857" t="str">
        <f>Summary!B59</f>
        <v>Land</v>
      </c>
      <c r="O117" s="861">
        <f>Summary!AA59</f>
        <v>0.10901989537494816</v>
      </c>
      <c r="P117" s="859">
        <f>O117/SUM($O$116:$O$119)</f>
        <v>0.85284646482292936</v>
      </c>
    </row>
    <row r="118" spans="2:16" ht="25.35" customHeight="1" x14ac:dyDescent="0.3">
      <c r="B118" s="35"/>
      <c r="C118" s="35"/>
      <c r="N118" s="857" t="str">
        <f>Summary!B60</f>
        <v>Aggregate Sources and Non-CO2 Emissions Sources on Land</v>
      </c>
      <c r="O118" s="861">
        <f>Summary!AA60</f>
        <v>0</v>
      </c>
      <c r="P118" s="859">
        <f>O118/SUM($O$116:$O$119)</f>
        <v>0</v>
      </c>
    </row>
    <row r="119" spans="2:16" ht="25.35" customHeight="1" x14ac:dyDescent="0.3">
      <c r="N119" s="857" t="str">
        <f>Summary!B61</f>
        <v>Other</v>
      </c>
      <c r="O119" s="861">
        <f>Summary!AA61</f>
        <v>6.8959842008810149E-3</v>
      </c>
      <c r="P119" s="859">
        <f>O119/SUM($O$116:$O$119)</f>
        <v>5.3946261156911736E-2</v>
      </c>
    </row>
    <row r="120" spans="2:16" x14ac:dyDescent="0.3">
      <c r="N120" s="34"/>
      <c r="O120" s="34"/>
    </row>
    <row r="123" spans="2:16" ht="18" x14ac:dyDescent="0.35">
      <c r="N123" s="27"/>
      <c r="O123" s="34"/>
    </row>
    <row r="124" spans="2:16" ht="18" x14ac:dyDescent="0.35">
      <c r="N124" s="27"/>
      <c r="O124" s="34"/>
    </row>
    <row r="125" spans="2:16" ht="18" x14ac:dyDescent="0.35">
      <c r="N125" s="27"/>
      <c r="O125" s="34"/>
    </row>
    <row r="126" spans="2:16" ht="18" x14ac:dyDescent="0.35">
      <c r="N126" s="27"/>
      <c r="O126" s="34"/>
    </row>
    <row r="128" spans="2:16" ht="20.399999999999999" x14ac:dyDescent="0.45">
      <c r="B128" s="27" t="s">
        <v>195</v>
      </c>
      <c r="N128" s="27" t="s">
        <v>196</v>
      </c>
    </row>
    <row r="129" spans="2:39" x14ac:dyDescent="0.3">
      <c r="O129" s="34"/>
    </row>
    <row r="130" spans="2:39" ht="15.6" x14ac:dyDescent="0.3">
      <c r="N130" s="856" t="s">
        <v>90</v>
      </c>
      <c r="O130" s="856">
        <f>Summary!C12</f>
        <v>1990</v>
      </c>
      <c r="P130" s="856">
        <f>Summary!D12</f>
        <v>2000</v>
      </c>
      <c r="Q130" s="856">
        <f>Summary!E12</f>
        <v>2001</v>
      </c>
      <c r="R130" s="856">
        <f>Summary!F12</f>
        <v>2002</v>
      </c>
      <c r="S130" s="856">
        <f>Summary!G12</f>
        <v>2003</v>
      </c>
      <c r="T130" s="856">
        <f>Summary!H12</f>
        <v>2004</v>
      </c>
      <c r="U130" s="856">
        <f>Summary!I12</f>
        <v>2005</v>
      </c>
      <c r="V130" s="856">
        <f>Summary!J12</f>
        <v>2006</v>
      </c>
      <c r="W130" s="856">
        <f>Summary!K12</f>
        <v>2007</v>
      </c>
      <c r="X130" s="856">
        <f>Summary!L12</f>
        <v>2008</v>
      </c>
      <c r="Y130" s="856">
        <f>Summary!M12</f>
        <v>2009</v>
      </c>
      <c r="Z130" s="856">
        <f>Summary!N12</f>
        <v>2010</v>
      </c>
      <c r="AA130" s="856">
        <f>Summary!O12</f>
        <v>2011</v>
      </c>
      <c r="AB130" s="856">
        <f>Summary!P12</f>
        <v>2012</v>
      </c>
      <c r="AC130" s="856">
        <f>Summary!Q12</f>
        <v>2013</v>
      </c>
      <c r="AD130" s="856">
        <f>Summary!R12</f>
        <v>2014</v>
      </c>
      <c r="AE130" s="856">
        <f>Summary!S12</f>
        <v>2015</v>
      </c>
      <c r="AF130" s="856">
        <f>Summary!T12</f>
        <v>2016</v>
      </c>
      <c r="AG130" s="856">
        <f>Summary!U12</f>
        <v>2017</v>
      </c>
      <c r="AH130" s="856">
        <v>2018</v>
      </c>
      <c r="AI130" s="856">
        <v>2019</v>
      </c>
      <c r="AJ130" s="856">
        <v>2020</v>
      </c>
      <c r="AK130" s="856">
        <v>2021</v>
      </c>
      <c r="AL130" s="856">
        <v>2022</v>
      </c>
      <c r="AM130" s="856">
        <v>2023</v>
      </c>
    </row>
    <row r="131" spans="2:39" x14ac:dyDescent="0.3">
      <c r="N131" s="857" t="s">
        <v>92</v>
      </c>
      <c r="O131" s="864">
        <f>Summary!C20</f>
        <v>15.84</v>
      </c>
      <c r="P131" s="864">
        <f>Summary!D20</f>
        <v>17.536663452518578</v>
      </c>
      <c r="Q131" s="864">
        <f>Summary!E20</f>
        <v>17.791542439466198</v>
      </c>
      <c r="R131" s="864">
        <f>Summary!F20</f>
        <v>17.950073834644932</v>
      </c>
      <c r="S131" s="864">
        <f>Summary!G20</f>
        <v>18.108605229823667</v>
      </c>
      <c r="T131" s="864">
        <f>Summary!H20</f>
        <v>16.848706487438324</v>
      </c>
      <c r="U131" s="864">
        <f>Summary!I20</f>
        <v>17.05598737580986</v>
      </c>
      <c r="V131" s="864">
        <f>Summary!J20</f>
        <v>17.063393566340995</v>
      </c>
      <c r="W131" s="864">
        <f>Summary!K20</f>
        <v>16.881881023061112</v>
      </c>
      <c r="X131" s="864">
        <f>Summary!L20</f>
        <v>16.32148006296735</v>
      </c>
      <c r="Y131" s="864">
        <f>Summary!M20</f>
        <v>15.162295398731635</v>
      </c>
      <c r="Z131" s="864">
        <f>Summary!N20</f>
        <v>15.263400503545766</v>
      </c>
      <c r="AA131" s="864">
        <f>Summary!O20</f>
        <v>14.494686854445618</v>
      </c>
      <c r="AB131" s="864">
        <f>Summary!P20</f>
        <v>15.127304464311386</v>
      </c>
      <c r="AC131" s="864">
        <f>Summary!Q20</f>
        <v>14.423926532447513</v>
      </c>
      <c r="AD131" s="864">
        <f>Summary!R20</f>
        <v>13.62653252871066</v>
      </c>
      <c r="AE131" s="864">
        <f>Summary!S20</f>
        <v>12.77167052735617</v>
      </c>
      <c r="AF131" s="864">
        <f>Summary!T20</f>
        <v>11.684991815866766</v>
      </c>
      <c r="AG131" s="864">
        <f>Summary!U20</f>
        <v>11.540912138254475</v>
      </c>
      <c r="AH131" s="864">
        <f>Summary!V20</f>
        <v>10.760612003011536</v>
      </c>
      <c r="AI131" s="864">
        <f>Summary!W20</f>
        <v>10.667596618286421</v>
      </c>
      <c r="AJ131" s="864">
        <f>Summary!X20</f>
        <v>10.92891231563771</v>
      </c>
      <c r="AK131" s="864">
        <f>Summary!Y20</f>
        <v>9.9147756778094589</v>
      </c>
      <c r="AL131" s="864">
        <f>Summary!Z20</f>
        <v>9.2578245722564496</v>
      </c>
      <c r="AM131" s="864">
        <f>Summary!AA20</f>
        <v>8.7432818310301794</v>
      </c>
    </row>
    <row r="132" spans="2:39" x14ac:dyDescent="0.3">
      <c r="N132" s="857" t="s">
        <v>165</v>
      </c>
      <c r="O132" s="864">
        <f>Summary!C31</f>
        <v>19.739999999999998</v>
      </c>
      <c r="P132" s="864">
        <f>Summary!D31</f>
        <v>24.06439736844953</v>
      </c>
      <c r="Q132" s="864">
        <f>Summary!E31</f>
        <v>21.757410238405313</v>
      </c>
      <c r="R132" s="864">
        <f>Summary!F31</f>
        <v>21.102602551810513</v>
      </c>
      <c r="S132" s="864">
        <f>Summary!G31</f>
        <v>20.447794865215712</v>
      </c>
      <c r="T132" s="864">
        <f>Summary!H31</f>
        <v>20.054620596406679</v>
      </c>
      <c r="U132" s="864">
        <f>Summary!I31</f>
        <v>21.123873663924968</v>
      </c>
      <c r="V132" s="864">
        <f>Summary!J31</f>
        <v>22.52722263412938</v>
      </c>
      <c r="W132" s="864">
        <f>Summary!K31</f>
        <v>21.883621502471946</v>
      </c>
      <c r="X132" s="864">
        <f>Summary!L31</f>
        <v>20.700806420998443</v>
      </c>
      <c r="Y132" s="864">
        <f>Summary!M31</f>
        <v>18.81454782182195</v>
      </c>
      <c r="Z132" s="864">
        <f>Summary!N31</f>
        <v>19.497102619621394</v>
      </c>
      <c r="AA132" s="864">
        <f>Summary!O31</f>
        <v>17.892947547778604</v>
      </c>
      <c r="AB132" s="864">
        <f>Summary!P31</f>
        <v>19.915679544840248</v>
      </c>
      <c r="AC132" s="864">
        <f>Summary!Q31</f>
        <v>18.651883527714627</v>
      </c>
      <c r="AD132" s="864">
        <f>Summary!R31</f>
        <v>17.095911562589375</v>
      </c>
      <c r="AE132" s="864">
        <f>Summary!S31</f>
        <v>15.24432879858654</v>
      </c>
      <c r="AF132" s="864">
        <f>Summary!T31</f>
        <v>13.111546111489591</v>
      </c>
      <c r="AG132" s="864">
        <f>Summary!U31</f>
        <v>12.508284323916932</v>
      </c>
      <c r="AH132" s="864">
        <f>Summary!V31</f>
        <v>11.927329418741669</v>
      </c>
      <c r="AI132" s="864">
        <f>Summary!W31</f>
        <v>11.135200941439491</v>
      </c>
      <c r="AJ132" s="864">
        <f>Summary!X31</f>
        <v>9.8895912354500481</v>
      </c>
      <c r="AK132" s="864">
        <f>Summary!Y31</f>
        <v>10.265803769976372</v>
      </c>
      <c r="AL132" s="864">
        <f>Summary!Z31</f>
        <v>10.267417009376775</v>
      </c>
      <c r="AM132" s="864">
        <f>Summary!AA31</f>
        <v>9.4017341420719589</v>
      </c>
    </row>
    <row r="133" spans="2:39" x14ac:dyDescent="0.3">
      <c r="N133" s="857" t="s">
        <v>145</v>
      </c>
      <c r="O133" s="864">
        <f>Summary!C36</f>
        <v>0</v>
      </c>
      <c r="P133" s="864">
        <f>Summary!D36</f>
        <v>0.2809162933714287</v>
      </c>
      <c r="Q133" s="864">
        <f>Summary!E36</f>
        <v>0.3083770543918769</v>
      </c>
      <c r="R133" s="864">
        <f>Summary!F36</f>
        <v>0.19115925451712604</v>
      </c>
      <c r="S133" s="864">
        <f>Summary!G36</f>
        <v>0.26230957595885718</v>
      </c>
      <c r="T133" s="864">
        <f>Summary!H36</f>
        <v>0.26341696718310414</v>
      </c>
      <c r="U133" s="864">
        <f>Summary!I36</f>
        <v>0.25033518665221166</v>
      </c>
      <c r="V133" s="864">
        <f>Summary!J36</f>
        <v>0.24124637625226192</v>
      </c>
      <c r="W133" s="864">
        <f>Summary!K36</f>
        <v>0.23309259905832047</v>
      </c>
      <c r="X133" s="864">
        <f>Summary!L36</f>
        <v>0.22823342680094158</v>
      </c>
      <c r="Y133" s="864">
        <f>Summary!M36</f>
        <v>0.21126547006954527</v>
      </c>
      <c r="Z133" s="864">
        <f>Summary!N36</f>
        <v>0.2113784745428065</v>
      </c>
      <c r="AA133" s="864">
        <f>Summary!O36</f>
        <v>0.20037989726941119</v>
      </c>
      <c r="AB133" s="864">
        <f>Summary!P36</f>
        <v>0.19763006091990004</v>
      </c>
      <c r="AC133" s="864">
        <f>Summary!Q36</f>
        <v>0.19420836441977452</v>
      </c>
      <c r="AD133" s="864">
        <f>Summary!R36</f>
        <v>0.19366109273103849</v>
      </c>
      <c r="AE133" s="864">
        <f>Summary!S36</f>
        <v>0.19126152053118339</v>
      </c>
      <c r="AF133" s="864">
        <f>Summary!T36</f>
        <v>0.18921565270888568</v>
      </c>
      <c r="AG133" s="864">
        <f>Summary!U36</f>
        <v>0.1954936133811766</v>
      </c>
      <c r="AH133" s="864">
        <f>Summary!V36</f>
        <v>0.18689031227370992</v>
      </c>
      <c r="AI133" s="864">
        <f>Summary!W36</f>
        <v>0.18975702335720107</v>
      </c>
      <c r="AJ133" s="864">
        <f>Summary!X36</f>
        <v>0.20103385135763113</v>
      </c>
      <c r="AK133" s="864">
        <f>Summary!Y36</f>
        <v>0.180320764082782</v>
      </c>
      <c r="AL133" s="864">
        <f>Summary!Z36</f>
        <v>0.16938590870789028</v>
      </c>
      <c r="AM133" s="864">
        <f>Summary!AA36</f>
        <v>0.16306096029264466</v>
      </c>
    </row>
    <row r="134" spans="2:39" x14ac:dyDescent="0.3">
      <c r="N134" s="857" t="s">
        <v>94</v>
      </c>
      <c r="O134" s="864">
        <f>Summary!C46</f>
        <v>9.4742967447756588</v>
      </c>
      <c r="P134" s="864">
        <f>Summary!D46</f>
        <v>8.7129081507520318</v>
      </c>
      <c r="Q134" s="864">
        <f>Summary!E46</f>
        <v>9.3089775989662691</v>
      </c>
      <c r="R134" s="864">
        <f>Summary!F46</f>
        <v>9.8815826110178921</v>
      </c>
      <c r="S134" s="864">
        <f>Summary!G46</f>
        <v>10.454187623069517</v>
      </c>
      <c r="T134" s="864">
        <f>Summary!H46</f>
        <v>9.6540478556220997</v>
      </c>
      <c r="U134" s="864">
        <f>Summary!I46</f>
        <v>10.209513682865666</v>
      </c>
      <c r="V134" s="864">
        <f>Summary!J46</f>
        <v>10.20657632968971</v>
      </c>
      <c r="W134" s="864">
        <f>Summary!K46</f>
        <v>10.125153831054471</v>
      </c>
      <c r="X134" s="864">
        <f>Summary!L46</f>
        <v>10.423091814980966</v>
      </c>
      <c r="Y134" s="864">
        <f>Summary!M46</f>
        <v>10.106326195811096</v>
      </c>
      <c r="Z134" s="864">
        <f>Summary!N46</f>
        <v>9.0620838953600185</v>
      </c>
      <c r="AA134" s="864">
        <f>Summary!O46</f>
        <v>9.3019540551942637</v>
      </c>
      <c r="AB134" s="864">
        <f>Summary!P46</f>
        <v>9.5418242150285177</v>
      </c>
      <c r="AC134" s="864">
        <f>Summary!Q46</f>
        <v>10.194781081020372</v>
      </c>
      <c r="AD134" s="864">
        <f>Summary!R46</f>
        <v>10.107607959035661</v>
      </c>
      <c r="AE134" s="864">
        <f>Summary!S46</f>
        <v>9.9908493169165844</v>
      </c>
      <c r="AF134" s="864">
        <f>Summary!T46</f>
        <v>9.9772025323678335</v>
      </c>
      <c r="AG134" s="864">
        <f>Summary!U46</f>
        <v>9.6741537346547499</v>
      </c>
      <c r="AH134" s="864">
        <f>Summary!V46</f>
        <v>9.4551471229502351</v>
      </c>
      <c r="AI134" s="864">
        <f>Summary!W46</f>
        <v>9.2798547816445982</v>
      </c>
      <c r="AJ134" s="864">
        <f>Summary!X46</f>
        <v>7.315478095923952</v>
      </c>
      <c r="AK134" s="864">
        <f>Summary!Y46</f>
        <v>7.6821912741902416</v>
      </c>
      <c r="AL134" s="864">
        <f>Summary!Z46</f>
        <v>8.7437724856285453</v>
      </c>
      <c r="AM134" s="864">
        <f>Summary!AA46</f>
        <v>8.7199879350515541</v>
      </c>
    </row>
    <row r="135" spans="2:39" x14ac:dyDescent="0.3">
      <c r="B135" s="34"/>
      <c r="C135" s="34"/>
      <c r="N135" s="857" t="s">
        <v>142</v>
      </c>
      <c r="O135" s="864">
        <f>Summary!C56</f>
        <v>0.1353614480747207</v>
      </c>
      <c r="P135" s="864">
        <f>Summary!D56</f>
        <v>0</v>
      </c>
      <c r="Q135" s="864">
        <f>Summary!E56</f>
        <v>0</v>
      </c>
      <c r="R135" s="864">
        <f>Summary!F56</f>
        <v>0</v>
      </c>
      <c r="S135" s="864">
        <f>Summary!G56</f>
        <v>1.504689896339201</v>
      </c>
      <c r="T135" s="864">
        <f>Summary!H56</f>
        <v>1.647091885301589</v>
      </c>
      <c r="U135" s="864">
        <f>Summary!I56</f>
        <v>1.3478075577165298</v>
      </c>
      <c r="V135" s="864">
        <f>Summary!J56</f>
        <v>1.4228268474304844</v>
      </c>
      <c r="W135" s="864">
        <f>Summary!K56</f>
        <v>1.4942821173568854</v>
      </c>
      <c r="X135" s="864">
        <f>Summary!L56</f>
        <v>1.5405997371985132</v>
      </c>
      <c r="Y135" s="864">
        <f>Summary!M56</f>
        <v>1.601377555897356</v>
      </c>
      <c r="Z135" s="864">
        <f>Summary!N56</f>
        <v>1.6958504527482541</v>
      </c>
      <c r="AA135" s="864">
        <f>Summary!O56</f>
        <v>1.5359551758618681</v>
      </c>
      <c r="AB135" s="864">
        <f>Summary!P56</f>
        <v>1.5911152665929975</v>
      </c>
      <c r="AC135" s="864">
        <f>Summary!Q56</f>
        <v>1.6194730422196957</v>
      </c>
      <c r="AD135" s="864">
        <f>Summary!R56</f>
        <v>1.6410260581370324</v>
      </c>
      <c r="AE135" s="864">
        <f>Summary!S56</f>
        <v>1.6399106691237726</v>
      </c>
      <c r="AF135" s="864">
        <f>Summary!T56</f>
        <v>1.5662243644616147</v>
      </c>
      <c r="AG135" s="864">
        <f>Summary!U56</f>
        <v>1.4601118642782793</v>
      </c>
      <c r="AH135" s="864">
        <f>Summary!V56</f>
        <v>1.3807014001316174</v>
      </c>
      <c r="AI135" s="864">
        <f>Summary!W56</f>
        <v>1.3189410652313553</v>
      </c>
      <c r="AJ135" s="864">
        <f>Summary!X56</f>
        <v>1.2605780554340531</v>
      </c>
      <c r="AK135" s="864">
        <f>Summary!Y56</f>
        <v>1.1576058347976375</v>
      </c>
      <c r="AL135" s="864">
        <f>Summary!Z56</f>
        <v>1.0144399493149179</v>
      </c>
      <c r="AM135" s="864">
        <f>Summary!AA56</f>
        <v>1.0101036196923097</v>
      </c>
    </row>
    <row r="136" spans="2:39" x14ac:dyDescent="0.3">
      <c r="N136" s="857" t="s">
        <v>143</v>
      </c>
      <c r="O136" s="864">
        <f>Summary!C62</f>
        <v>0.17513570513644833</v>
      </c>
      <c r="P136" s="864">
        <f>Summary!D62</f>
        <v>0.15914202664467167</v>
      </c>
      <c r="Q136" s="864">
        <f>Summary!E62</f>
        <v>0.15495609776081309</v>
      </c>
      <c r="R136" s="864">
        <f>Summary!F62</f>
        <v>0.15179331585624331</v>
      </c>
      <c r="S136" s="864">
        <f>Summary!G62</f>
        <v>0.14886983526806588</v>
      </c>
      <c r="T136" s="864">
        <f>Summary!H62</f>
        <v>0.14524754403292892</v>
      </c>
      <c r="U136" s="864">
        <f>Summary!I62</f>
        <v>0.13978790895125826</v>
      </c>
      <c r="V136" s="864">
        <f>Summary!J62</f>
        <v>0.13786641788568846</v>
      </c>
      <c r="W136" s="864">
        <f>Summary!K62</f>
        <v>0.1328227661071083</v>
      </c>
      <c r="X136" s="864">
        <f>Summary!L62</f>
        <v>0.131763405602009</v>
      </c>
      <c r="Y136" s="864">
        <f>Summary!M62</f>
        <v>0.13008770028517147</v>
      </c>
      <c r="Z136" s="864">
        <f>Summary!N62</f>
        <v>0.13167993598647706</v>
      </c>
      <c r="AA136" s="864">
        <f>Summary!O62</f>
        <v>0.13005865724441698</v>
      </c>
      <c r="AB136" s="864">
        <f>Summary!P62</f>
        <v>0.12859199072580074</v>
      </c>
      <c r="AC136" s="864">
        <f>Summary!Q62</f>
        <v>0.12498550225121033</v>
      </c>
      <c r="AD136" s="864">
        <f>Summary!R62</f>
        <v>0.12768741401616332</v>
      </c>
      <c r="AE136" s="864">
        <f>Summary!S62</f>
        <v>0.12203970530081183</v>
      </c>
      <c r="AF136" s="864">
        <f>Summary!T62</f>
        <v>0.12233576616739357</v>
      </c>
      <c r="AG136" s="864">
        <f>Summary!U62</f>
        <v>0.11934517704304023</v>
      </c>
      <c r="AH136" s="864">
        <f>Summary!V62</f>
        <v>0.11915600985532634</v>
      </c>
      <c r="AI136" s="864">
        <f>Summary!W62</f>
        <v>0.11915600985532634</v>
      </c>
      <c r="AJ136" s="864">
        <f>Summary!X62</f>
        <v>0.11915600985532634</v>
      </c>
      <c r="AK136" s="864">
        <f>Summary!Y62</f>
        <v>0.11915600985532634</v>
      </c>
      <c r="AL136" s="864">
        <f>Summary!Z62</f>
        <v>0.12783062353149721</v>
      </c>
      <c r="AM136" s="864">
        <f>Summary!AA62</f>
        <v>0.12783062353149721</v>
      </c>
    </row>
    <row r="137" spans="2:39" x14ac:dyDescent="0.3">
      <c r="N137" s="857" t="s">
        <v>144</v>
      </c>
      <c r="O137" s="864">
        <f>Summary!C52</f>
        <v>0</v>
      </c>
      <c r="P137" s="864">
        <f>Summary!D52</f>
        <v>0</v>
      </c>
      <c r="Q137" s="864">
        <f>Summary!E52</f>
        <v>0</v>
      </c>
      <c r="R137" s="864">
        <f>Summary!F52</f>
        <v>0</v>
      </c>
      <c r="S137" s="864">
        <f>Summary!G52</f>
        <v>0</v>
      </c>
      <c r="T137" s="864">
        <f>Summary!H52</f>
        <v>0</v>
      </c>
      <c r="U137" s="864">
        <f>Summary!I52</f>
        <v>0</v>
      </c>
      <c r="V137" s="864">
        <f>Summary!J52</f>
        <v>0</v>
      </c>
      <c r="W137" s="864">
        <f>Summary!K52</f>
        <v>0</v>
      </c>
      <c r="X137" s="864">
        <f>Summary!L52</f>
        <v>0</v>
      </c>
      <c r="Y137" s="864">
        <f>Summary!M52</f>
        <v>0</v>
      </c>
      <c r="Z137" s="864">
        <f>Summary!N52</f>
        <v>0</v>
      </c>
      <c r="AA137" s="864">
        <f>Summary!O52</f>
        <v>0</v>
      </c>
      <c r="AB137" s="864">
        <f>Summary!P52</f>
        <v>0</v>
      </c>
      <c r="AC137" s="864">
        <f>Summary!Q52</f>
        <v>0.54805689245910394</v>
      </c>
      <c r="AD137" s="864">
        <f>Summary!R52</f>
        <v>0.55805668433436284</v>
      </c>
      <c r="AE137" s="864">
        <f>Summary!S52</f>
        <v>0.53068181178408591</v>
      </c>
      <c r="AF137" s="864">
        <f>Summary!T52</f>
        <v>0.5630259259419732</v>
      </c>
      <c r="AG137" s="864">
        <f>Summary!U52</f>
        <v>0.54682889647476174</v>
      </c>
      <c r="AH137" s="864">
        <f>Summary!V52</f>
        <v>0.51222461394800844</v>
      </c>
      <c r="AI137" s="864">
        <f>Summary!W52</f>
        <v>0.53342250419087145</v>
      </c>
      <c r="AJ137" s="864">
        <f>Summary!X52</f>
        <v>0.47426474038801469</v>
      </c>
      <c r="AK137" s="864">
        <f>Summary!Y52</f>
        <v>0.45583664889088882</v>
      </c>
      <c r="AL137" s="864">
        <f>Summary!Z52</f>
        <v>0.43228946494919085</v>
      </c>
      <c r="AM137" s="864">
        <f>Summary!AA52</f>
        <v>0.44454284258542998</v>
      </c>
    </row>
    <row r="138" spans="2:39" x14ac:dyDescent="0.3">
      <c r="N138" s="865" t="s">
        <v>96</v>
      </c>
      <c r="O138" s="866">
        <f t="shared" ref="O138:AG138" si="4">SUM(O131:O137)</f>
        <v>45.364793897986821</v>
      </c>
      <c r="P138" s="866">
        <f t="shared" si="4"/>
        <v>50.754027291736236</v>
      </c>
      <c r="Q138" s="866">
        <f t="shared" si="4"/>
        <v>49.321263428990477</v>
      </c>
      <c r="R138" s="866">
        <f t="shared" si="4"/>
        <v>49.277211567846706</v>
      </c>
      <c r="S138" s="866">
        <f t="shared" si="4"/>
        <v>50.92645702567502</v>
      </c>
      <c r="T138" s="866">
        <f t="shared" si="4"/>
        <v>48.613131335984718</v>
      </c>
      <c r="U138" s="866">
        <f t="shared" si="4"/>
        <v>50.127305375920486</v>
      </c>
      <c r="V138" s="866">
        <f t="shared" si="4"/>
        <v>51.599132171728527</v>
      </c>
      <c r="W138" s="866">
        <f t="shared" si="4"/>
        <v>50.750853839109851</v>
      </c>
      <c r="X138" s="866">
        <f t="shared" si="4"/>
        <v>49.345974868548218</v>
      </c>
      <c r="Y138" s="866">
        <f t="shared" si="4"/>
        <v>46.025900142616763</v>
      </c>
      <c r="Z138" s="866">
        <f t="shared" si="4"/>
        <v>45.861495881804714</v>
      </c>
      <c r="AA138" s="866">
        <f t="shared" si="4"/>
        <v>43.555982187794186</v>
      </c>
      <c r="AB138" s="866">
        <f t="shared" si="4"/>
        <v>46.502145542418859</v>
      </c>
      <c r="AC138" s="866">
        <f t="shared" si="4"/>
        <v>45.757314942532297</v>
      </c>
      <c r="AD138" s="866">
        <f t="shared" si="4"/>
        <v>43.350483299554284</v>
      </c>
      <c r="AE138" s="866">
        <f t="shared" si="4"/>
        <v>40.490742349599152</v>
      </c>
      <c r="AF138" s="866">
        <f t="shared" si="4"/>
        <v>37.214542169004062</v>
      </c>
      <c r="AG138" s="866">
        <f t="shared" si="4"/>
        <v>36.045129748003419</v>
      </c>
      <c r="AH138" s="866">
        <f t="shared" ref="AH138:AM138" si="5">SUM(AH131:AH137)</f>
        <v>34.342060880912101</v>
      </c>
      <c r="AI138" s="866">
        <f t="shared" si="5"/>
        <v>33.243928944005262</v>
      </c>
      <c r="AJ138" s="867">
        <f t="shared" si="5"/>
        <v>30.18901430404674</v>
      </c>
      <c r="AK138" s="867">
        <f t="shared" si="5"/>
        <v>29.775689979602706</v>
      </c>
      <c r="AL138" s="867">
        <f t="shared" si="5"/>
        <v>30.012960013765266</v>
      </c>
      <c r="AM138" s="867">
        <f t="shared" si="5"/>
        <v>28.610541954255574</v>
      </c>
    </row>
    <row r="139" spans="2:39" x14ac:dyDescent="0.3">
      <c r="N139" s="250"/>
      <c r="O139" s="250"/>
      <c r="P139" s="250"/>
      <c r="Q139" s="250"/>
      <c r="R139" s="250"/>
      <c r="S139" s="250"/>
      <c r="T139" s="250"/>
      <c r="U139" s="250"/>
      <c r="V139" s="250"/>
      <c r="W139" s="250"/>
      <c r="X139" s="250"/>
      <c r="Y139" s="250"/>
      <c r="Z139" s="250"/>
      <c r="AA139" s="250"/>
      <c r="AB139" s="250"/>
      <c r="AC139" s="250"/>
      <c r="AD139" s="250"/>
      <c r="AE139" s="250"/>
      <c r="AF139" s="250"/>
      <c r="AG139" s="250"/>
      <c r="AH139" s="250"/>
      <c r="AJ139" s="653"/>
      <c r="AK139" s="653"/>
      <c r="AL139" s="653"/>
    </row>
    <row r="140" spans="2:39" x14ac:dyDescent="0.3">
      <c r="N140" s="250"/>
      <c r="O140" s="250"/>
      <c r="P140" s="250"/>
      <c r="Q140" s="250"/>
      <c r="R140" s="250"/>
      <c r="S140" s="250"/>
      <c r="T140" s="250"/>
      <c r="U140" s="250"/>
      <c r="V140" s="250"/>
      <c r="W140" s="250"/>
      <c r="X140" s="250"/>
      <c r="Y140" s="250"/>
      <c r="Z140" s="250"/>
      <c r="AA140" s="250"/>
      <c r="AB140" s="250"/>
      <c r="AC140" s="250"/>
      <c r="AD140" s="250"/>
      <c r="AE140" s="250"/>
      <c r="AF140" s="250"/>
      <c r="AG140" s="250"/>
      <c r="AH140" s="250"/>
      <c r="AL140" s="161"/>
    </row>
    <row r="141" spans="2:39" x14ac:dyDescent="0.3">
      <c r="N141" s="250"/>
      <c r="O141" s="250"/>
      <c r="P141" s="250"/>
      <c r="Q141" s="250"/>
      <c r="R141" s="250"/>
      <c r="S141" s="250"/>
      <c r="T141" s="250"/>
      <c r="U141" s="250"/>
      <c r="V141" s="250"/>
      <c r="W141" s="250"/>
      <c r="X141" s="250"/>
      <c r="Y141" s="250"/>
      <c r="Z141" s="250"/>
      <c r="AA141" s="250"/>
      <c r="AB141" s="250"/>
      <c r="AC141" s="250"/>
      <c r="AD141" s="250"/>
      <c r="AE141" s="250"/>
      <c r="AF141" s="250"/>
      <c r="AG141" s="250"/>
      <c r="AH141" s="250"/>
      <c r="AL141" s="492"/>
    </row>
    <row r="142" spans="2:39" x14ac:dyDescent="0.3">
      <c r="N142" s="250"/>
      <c r="O142" s="250"/>
      <c r="P142" s="250"/>
      <c r="Q142" s="250"/>
      <c r="R142" s="250"/>
      <c r="S142" s="250"/>
      <c r="T142" s="250"/>
      <c r="U142" s="250"/>
      <c r="V142" s="250"/>
      <c r="W142" s="250"/>
      <c r="X142" s="250"/>
      <c r="Y142" s="250"/>
      <c r="Z142" s="250"/>
      <c r="AA142" s="250"/>
      <c r="AB142" s="250"/>
      <c r="AC142" s="250"/>
      <c r="AD142" s="250"/>
      <c r="AE142" s="250"/>
      <c r="AF142" s="250"/>
      <c r="AG142" s="250"/>
      <c r="AH142" s="250"/>
      <c r="AL142" s="496"/>
    </row>
    <row r="143" spans="2:39" x14ac:dyDescent="0.3">
      <c r="N143" s="250"/>
      <c r="O143" s="250"/>
      <c r="P143" s="250"/>
      <c r="Q143" s="250"/>
      <c r="R143" s="250"/>
      <c r="S143" s="250"/>
      <c r="T143" s="250"/>
      <c r="U143" s="250"/>
      <c r="V143" s="250"/>
      <c r="W143" s="250"/>
      <c r="X143" s="250"/>
      <c r="Y143" s="250"/>
      <c r="Z143" s="250"/>
      <c r="AA143" s="250"/>
      <c r="AB143" s="250"/>
      <c r="AC143" s="250"/>
      <c r="AD143" s="250"/>
      <c r="AE143" s="250"/>
      <c r="AF143" s="250"/>
      <c r="AG143" s="250"/>
      <c r="AH143" s="250"/>
    </row>
    <row r="144" spans="2:39" x14ac:dyDescent="0.3">
      <c r="N144" s="250"/>
      <c r="O144" s="250"/>
      <c r="P144" s="250"/>
      <c r="Q144" s="250"/>
      <c r="R144" s="250"/>
      <c r="S144" s="250"/>
      <c r="T144" s="250"/>
      <c r="U144" s="250"/>
      <c r="V144" s="250"/>
      <c r="W144" s="250"/>
      <c r="X144" s="250"/>
      <c r="Y144" s="250"/>
      <c r="Z144" s="250"/>
      <c r="AA144" s="250"/>
      <c r="AB144" s="250"/>
      <c r="AC144" s="250"/>
      <c r="AD144" s="250"/>
      <c r="AE144" s="250"/>
      <c r="AF144" s="250"/>
      <c r="AG144" s="250"/>
      <c r="AH144" s="250"/>
    </row>
    <row r="145" spans="2:38" x14ac:dyDescent="0.3">
      <c r="N145" s="250"/>
      <c r="O145" s="250"/>
      <c r="P145" s="250"/>
      <c r="Q145" s="250"/>
      <c r="R145" s="250"/>
      <c r="S145" s="250"/>
      <c r="T145" s="250"/>
      <c r="U145" s="250"/>
      <c r="V145" s="250"/>
      <c r="W145" s="250"/>
      <c r="X145" s="250"/>
      <c r="Y145" s="250"/>
      <c r="Z145" s="250"/>
      <c r="AA145" s="250"/>
      <c r="AB145" s="250"/>
      <c r="AC145" s="250"/>
      <c r="AD145" s="250"/>
      <c r="AE145" s="250"/>
      <c r="AF145" s="250"/>
      <c r="AG145" s="250"/>
      <c r="AH145" s="250"/>
    </row>
    <row r="146" spans="2:38" x14ac:dyDescent="0.3">
      <c r="N146" s="250"/>
      <c r="O146" s="250"/>
      <c r="P146" s="250"/>
      <c r="Q146" s="250"/>
      <c r="R146" s="250"/>
      <c r="S146" s="250"/>
      <c r="T146" s="250"/>
      <c r="U146" s="250"/>
      <c r="V146" s="250"/>
      <c r="W146" s="250"/>
      <c r="X146" s="250"/>
      <c r="Y146" s="250"/>
      <c r="Z146" s="250"/>
      <c r="AA146" s="250"/>
      <c r="AB146" s="250"/>
      <c r="AC146" s="250"/>
      <c r="AD146" s="250"/>
      <c r="AE146" s="250"/>
      <c r="AF146" s="250"/>
      <c r="AG146" s="250"/>
      <c r="AH146" s="250"/>
    </row>
    <row r="147" spans="2:38" x14ac:dyDescent="0.3">
      <c r="N147" s="250"/>
      <c r="O147" s="250"/>
      <c r="P147" s="250"/>
      <c r="Q147" s="250"/>
      <c r="R147" s="250"/>
      <c r="S147" s="250"/>
      <c r="T147" s="250"/>
      <c r="U147" s="250"/>
      <c r="V147" s="250"/>
      <c r="W147" s="250"/>
      <c r="X147" s="250"/>
      <c r="Y147" s="250"/>
      <c r="Z147" s="250"/>
      <c r="AA147" s="250"/>
      <c r="AB147" s="250"/>
      <c r="AC147" s="250"/>
      <c r="AD147" s="250"/>
      <c r="AE147" s="250"/>
      <c r="AF147" s="250"/>
      <c r="AG147" s="250"/>
      <c r="AH147" s="250"/>
    </row>
    <row r="148" spans="2:38" ht="18" x14ac:dyDescent="0.35">
      <c r="N148" s="27"/>
      <c r="O148" s="34"/>
    </row>
    <row r="149" spans="2:38" ht="18" x14ac:dyDescent="0.35">
      <c r="N149" s="27"/>
      <c r="O149" s="34"/>
    </row>
    <row r="150" spans="2:38" ht="18" x14ac:dyDescent="0.35">
      <c r="N150" s="27"/>
      <c r="O150" s="34"/>
    </row>
    <row r="151" spans="2:38" ht="18" x14ac:dyDescent="0.35">
      <c r="N151" s="27"/>
      <c r="O151" s="34"/>
    </row>
    <row r="152" spans="2:38" ht="18" x14ac:dyDescent="0.35">
      <c r="N152" s="27"/>
      <c r="O152" s="34"/>
    </row>
    <row r="153" spans="2:38" ht="18" x14ac:dyDescent="0.35">
      <c r="N153" s="27"/>
      <c r="O153" s="34"/>
    </row>
    <row r="154" spans="2:38" ht="18" x14ac:dyDescent="0.35">
      <c r="B154" s="34"/>
      <c r="N154" s="27"/>
      <c r="O154" s="34"/>
    </row>
    <row r="155" spans="2:38" ht="18" x14ac:dyDescent="0.35">
      <c r="N155" s="34"/>
      <c r="O155" s="27"/>
      <c r="AA155" s="68"/>
    </row>
    <row r="157" spans="2:38" x14ac:dyDescent="0.3">
      <c r="N157" s="316"/>
      <c r="O157" s="316"/>
      <c r="P157" s="316"/>
      <c r="Q157" s="316"/>
      <c r="R157" s="316"/>
      <c r="S157" s="316"/>
      <c r="T157" s="316"/>
      <c r="U157" s="316"/>
      <c r="V157" s="316"/>
      <c r="W157" s="316"/>
      <c r="X157" s="316"/>
      <c r="Y157" s="316"/>
      <c r="Z157" s="316"/>
      <c r="AA157" s="316"/>
      <c r="AB157" s="316"/>
      <c r="AC157" s="316"/>
      <c r="AD157" s="316"/>
      <c r="AE157" s="316"/>
      <c r="AF157" s="316"/>
      <c r="AG157" s="316"/>
      <c r="AH157" s="316"/>
    </row>
    <row r="158" spans="2:38" ht="14.4" x14ac:dyDescent="0.3">
      <c r="N158" s="316"/>
      <c r="O158" s="316"/>
      <c r="P158" s="316"/>
      <c r="Q158" s="316"/>
      <c r="R158" s="316"/>
      <c r="S158" s="316"/>
      <c r="T158" s="316"/>
      <c r="U158" s="316"/>
      <c r="V158" s="316"/>
      <c r="W158" s="316"/>
      <c r="X158" s="316"/>
      <c r="Y158" s="316"/>
      <c r="Z158" s="316"/>
      <c r="AA158" s="316"/>
      <c r="AB158" s="316"/>
      <c r="AC158" s="316"/>
      <c r="AD158" s="316"/>
      <c r="AE158" s="316"/>
      <c r="AF158" s="316"/>
      <c r="AG158" s="316"/>
      <c r="AH158" s="316"/>
      <c r="AL158" s="317"/>
    </row>
    <row r="159" spans="2:38" ht="14.4" x14ac:dyDescent="0.3">
      <c r="B159" s="34"/>
      <c r="N159" s="316"/>
      <c r="O159" s="316"/>
      <c r="P159" s="316"/>
      <c r="Q159" s="316"/>
      <c r="R159" s="316"/>
      <c r="S159" s="316"/>
      <c r="T159" s="316"/>
      <c r="U159" s="316"/>
      <c r="V159" s="316"/>
      <c r="W159" s="316"/>
      <c r="X159" s="316"/>
      <c r="Y159" s="316"/>
      <c r="Z159" s="316"/>
      <c r="AA159" s="316"/>
      <c r="AB159" s="316"/>
      <c r="AC159" s="316"/>
      <c r="AD159" s="316"/>
      <c r="AE159" s="316"/>
      <c r="AF159" s="316"/>
      <c r="AG159" s="316"/>
      <c r="AH159" s="316"/>
      <c r="AL159" s="317"/>
    </row>
    <row r="160" spans="2:38" ht="14.4" x14ac:dyDescent="0.3">
      <c r="N160" s="316"/>
      <c r="O160" s="316"/>
      <c r="P160" s="316"/>
      <c r="Q160" s="316"/>
      <c r="R160" s="316"/>
      <c r="S160" s="316"/>
      <c r="T160" s="316"/>
      <c r="U160" s="316"/>
      <c r="V160" s="316"/>
      <c r="W160" s="316"/>
      <c r="X160" s="316"/>
      <c r="Y160" s="316"/>
      <c r="Z160" s="316"/>
      <c r="AA160" s="316"/>
      <c r="AB160" s="316"/>
      <c r="AC160" s="316"/>
      <c r="AD160" s="316"/>
      <c r="AE160" s="316"/>
      <c r="AF160" s="316"/>
      <c r="AG160" s="316"/>
      <c r="AH160" s="316"/>
      <c r="AL160" s="317"/>
    </row>
    <row r="161" spans="2:38" ht="14.4" x14ac:dyDescent="0.3">
      <c r="N161" s="316"/>
      <c r="O161" s="316"/>
      <c r="P161" s="316"/>
      <c r="Q161" s="316"/>
      <c r="R161" s="316"/>
      <c r="S161" s="316"/>
      <c r="T161" s="316"/>
      <c r="U161" s="316"/>
      <c r="V161" s="316"/>
      <c r="W161" s="316"/>
      <c r="X161" s="316"/>
      <c r="Y161" s="316"/>
      <c r="Z161" s="316"/>
      <c r="AA161" s="316"/>
      <c r="AB161" s="316"/>
      <c r="AC161" s="316"/>
      <c r="AD161" s="316"/>
      <c r="AE161" s="316"/>
      <c r="AF161" s="316"/>
      <c r="AG161" s="316"/>
      <c r="AH161" s="316"/>
      <c r="AL161" s="317"/>
    </row>
    <row r="162" spans="2:38" ht="14.4" x14ac:dyDescent="0.3">
      <c r="N162" s="316"/>
      <c r="O162" s="316"/>
      <c r="P162" s="316"/>
      <c r="Q162" s="316"/>
      <c r="R162" s="316"/>
      <c r="S162" s="316"/>
      <c r="T162" s="316"/>
      <c r="U162" s="316"/>
      <c r="V162" s="316"/>
      <c r="W162" s="316"/>
      <c r="X162" s="316"/>
      <c r="Y162" s="316"/>
      <c r="Z162" s="316"/>
      <c r="AA162" s="316"/>
      <c r="AB162" s="316"/>
      <c r="AC162" s="316"/>
      <c r="AD162" s="316"/>
      <c r="AE162" s="316"/>
      <c r="AF162" s="316"/>
      <c r="AG162" s="316"/>
      <c r="AH162" s="316"/>
      <c r="AL162" s="317"/>
    </row>
    <row r="163" spans="2:38" ht="14.4" x14ac:dyDescent="0.3">
      <c r="O163" s="38"/>
      <c r="P163" s="38"/>
      <c r="Q163" s="38"/>
      <c r="R163" s="38"/>
      <c r="S163" s="38"/>
      <c r="T163" s="38"/>
      <c r="U163" s="298"/>
      <c r="V163" s="298"/>
      <c r="W163" s="298"/>
      <c r="X163" s="298"/>
      <c r="Y163" s="298"/>
      <c r="AL163" s="317"/>
    </row>
    <row r="164" spans="2:38" ht="14.4" x14ac:dyDescent="0.3">
      <c r="O164" s="38"/>
      <c r="P164" s="38"/>
      <c r="Q164" s="38"/>
      <c r="R164" s="38"/>
      <c r="S164" s="38"/>
      <c r="T164" s="38"/>
      <c r="U164" s="298"/>
      <c r="V164" s="298"/>
      <c r="W164" s="298"/>
      <c r="X164" s="298"/>
      <c r="Y164" s="298"/>
      <c r="AL164" s="317"/>
    </row>
    <row r="165" spans="2:38" ht="14.4" x14ac:dyDescent="0.3">
      <c r="O165" s="38"/>
      <c r="P165" s="38"/>
      <c r="Q165" s="38"/>
      <c r="R165" s="38"/>
      <c r="S165" s="38"/>
      <c r="T165" s="38"/>
      <c r="U165" s="298"/>
      <c r="V165" s="298"/>
      <c r="W165" s="298"/>
      <c r="X165" s="298"/>
      <c r="Y165" s="298"/>
      <c r="AL165" s="317"/>
    </row>
    <row r="166" spans="2:38" ht="14.25" customHeight="1" x14ac:dyDescent="0.3">
      <c r="N166" s="50"/>
      <c r="O166" s="42"/>
      <c r="P166" s="42"/>
      <c r="Q166" s="42"/>
      <c r="R166" s="42"/>
      <c r="S166" s="42"/>
      <c r="T166" s="42"/>
      <c r="U166" s="299"/>
      <c r="V166" s="299"/>
      <c r="W166" s="299"/>
      <c r="X166" s="299"/>
      <c r="Y166" s="299"/>
      <c r="AL166" s="317"/>
    </row>
    <row r="167" spans="2:38" ht="14.25" customHeight="1" x14ac:dyDescent="0.3">
      <c r="N167" s="318"/>
      <c r="O167" s="42"/>
      <c r="P167" s="42"/>
      <c r="Q167" s="44"/>
      <c r="R167" s="44"/>
      <c r="S167" s="44"/>
      <c r="T167" s="44"/>
      <c r="U167" s="44"/>
      <c r="V167" s="44"/>
      <c r="W167" s="44"/>
      <c r="X167" s="44"/>
      <c r="Y167" s="44"/>
      <c r="AL167" s="67"/>
    </row>
    <row r="168" spans="2:38" ht="14.25" customHeight="1" x14ac:dyDescent="0.3">
      <c r="N168" s="319"/>
      <c r="O168" s="320"/>
      <c r="P168" s="226"/>
      <c r="Q168" s="226"/>
      <c r="R168" s="226"/>
      <c r="S168" s="226"/>
      <c r="T168" s="226"/>
      <c r="U168" s="226"/>
      <c r="V168" s="226"/>
      <c r="W168" s="226"/>
      <c r="X168" s="226"/>
      <c r="Y168" s="226"/>
      <c r="AL168" s="67"/>
    </row>
    <row r="169" spans="2:38" ht="14.25" customHeight="1" x14ac:dyDescent="0.3">
      <c r="N169" s="318"/>
      <c r="O169" s="38"/>
      <c r="P169" s="38"/>
      <c r="Q169" s="38"/>
      <c r="R169" s="38"/>
      <c r="S169" s="38"/>
      <c r="T169" s="38"/>
      <c r="U169" s="298"/>
      <c r="V169" s="298"/>
      <c r="W169" s="298"/>
      <c r="X169" s="298"/>
      <c r="Y169" s="298"/>
      <c r="AL169" s="67"/>
    </row>
    <row r="170" spans="2:38" ht="14.25" customHeight="1" x14ac:dyDescent="0.3">
      <c r="N170" s="318"/>
      <c r="O170" s="38"/>
      <c r="P170" s="38"/>
      <c r="Q170" s="38"/>
      <c r="R170" s="38"/>
      <c r="S170" s="38"/>
      <c r="T170" s="38"/>
      <c r="U170" s="298"/>
      <c r="V170" s="298"/>
      <c r="W170" s="298"/>
      <c r="X170" s="298"/>
      <c r="Y170" s="298"/>
      <c r="AL170" s="67"/>
    </row>
    <row r="171" spans="2:38" ht="14.25" customHeight="1" x14ac:dyDescent="0.3">
      <c r="B171" s="34"/>
      <c r="C171" s="34"/>
      <c r="N171" s="318"/>
      <c r="O171" s="38"/>
      <c r="P171" s="38"/>
      <c r="Q171" s="38"/>
      <c r="R171" s="38"/>
      <c r="S171" s="38"/>
      <c r="T171" s="38"/>
      <c r="U171" s="298"/>
      <c r="V171" s="298"/>
      <c r="W171" s="298"/>
      <c r="X171" s="298"/>
      <c r="Y171" s="298"/>
      <c r="AL171" s="67"/>
    </row>
    <row r="172" spans="2:38" ht="14.25" customHeight="1" x14ac:dyDescent="0.3">
      <c r="P172" s="38"/>
      <c r="Q172" s="38"/>
      <c r="R172" s="38"/>
      <c r="S172" s="38"/>
      <c r="T172" s="38"/>
      <c r="U172" s="298"/>
      <c r="V172" s="298"/>
      <c r="W172" s="298"/>
      <c r="X172" s="298"/>
      <c r="Y172" s="298"/>
      <c r="AL172" s="67"/>
    </row>
    <row r="173" spans="2:38" ht="14.25" customHeight="1" x14ac:dyDescent="0.3">
      <c r="AL173" s="67"/>
    </row>
    <row r="174" spans="2:38" ht="14.25" customHeight="1" x14ac:dyDescent="0.3">
      <c r="AJ174" s="67"/>
      <c r="AK174" s="67"/>
      <c r="AL174" s="67"/>
    </row>
    <row r="175" spans="2:38" ht="14.25" customHeight="1" x14ac:dyDescent="0.3">
      <c r="AI175" s="67"/>
      <c r="AJ175" s="67"/>
      <c r="AK175" s="67"/>
      <c r="AL175" s="67"/>
    </row>
    <row r="176" spans="2:38" ht="14.25" customHeight="1" x14ac:dyDescent="0.3">
      <c r="N176" s="50"/>
      <c r="O176" s="42"/>
      <c r="P176" s="42"/>
      <c r="Q176" s="42"/>
      <c r="R176" s="42"/>
      <c r="S176" s="42"/>
      <c r="T176" s="42"/>
      <c r="U176" s="299"/>
      <c r="V176" s="299"/>
      <c r="W176" s="299"/>
      <c r="X176" s="299"/>
      <c r="Y176" s="299"/>
      <c r="Z176" s="299"/>
      <c r="AA176" s="299"/>
      <c r="AB176" s="299"/>
      <c r="AC176" s="299"/>
      <c r="AD176" s="299"/>
      <c r="AE176" s="299"/>
      <c r="AF176" s="299"/>
      <c r="AG176" s="299"/>
      <c r="AH176" s="321"/>
      <c r="AI176" s="67"/>
      <c r="AJ176" s="67"/>
      <c r="AK176" s="67"/>
      <c r="AL176" s="67"/>
    </row>
    <row r="177" spans="2:38" ht="14.25" customHeight="1" x14ac:dyDescent="0.3">
      <c r="N177" s="318"/>
      <c r="O177" s="42"/>
      <c r="P177" s="42"/>
      <c r="Q177" s="44"/>
      <c r="R177" s="44"/>
      <c r="S177" s="44"/>
      <c r="T177" s="44"/>
      <c r="U177" s="44"/>
      <c r="V177" s="44"/>
      <c r="W177" s="44"/>
      <c r="X177" s="44"/>
      <c r="Y177" s="44"/>
      <c r="Z177" s="44"/>
      <c r="AA177" s="44"/>
      <c r="AB177" s="44"/>
      <c r="AC177" s="44"/>
      <c r="AD177" s="44"/>
      <c r="AE177" s="44"/>
      <c r="AF177" s="44"/>
      <c r="AG177" s="44"/>
      <c r="AH177" s="322"/>
      <c r="AI177" s="67"/>
      <c r="AJ177" s="67"/>
      <c r="AK177" s="67"/>
      <c r="AL177" s="67"/>
    </row>
    <row r="178" spans="2:38" ht="14.25" customHeight="1" x14ac:dyDescent="0.3">
      <c r="N178" s="319"/>
      <c r="O178" s="320"/>
      <c r="P178" s="226"/>
      <c r="Q178" s="226"/>
      <c r="R178" s="226"/>
      <c r="S178" s="226"/>
      <c r="T178" s="226"/>
      <c r="U178" s="226"/>
      <c r="V178" s="226"/>
      <c r="W178" s="226"/>
      <c r="X178" s="226"/>
      <c r="Y178" s="226"/>
      <c r="Z178" s="320"/>
      <c r="AA178" s="226"/>
      <c r="AB178" s="226"/>
      <c r="AC178" s="226"/>
      <c r="AD178" s="226"/>
      <c r="AE178" s="226"/>
      <c r="AF178" s="226"/>
      <c r="AG178" s="226"/>
      <c r="AH178" s="323"/>
      <c r="AI178" s="67"/>
      <c r="AJ178" s="67"/>
      <c r="AK178" s="67"/>
      <c r="AL178" s="67"/>
    </row>
    <row r="179" spans="2:38" ht="14.25" customHeight="1" x14ac:dyDescent="0.3">
      <c r="B179" s="305"/>
      <c r="N179" s="318"/>
      <c r="O179" s="38"/>
      <c r="P179" s="38"/>
      <c r="Q179" s="38"/>
      <c r="R179" s="38"/>
      <c r="S179" s="38"/>
      <c r="T179" s="38"/>
      <c r="U179" s="38"/>
      <c r="V179" s="38"/>
      <c r="W179" s="38"/>
      <c r="X179" s="38"/>
      <c r="Y179" s="38"/>
      <c r="Z179" s="298"/>
      <c r="AA179" s="298"/>
      <c r="AB179" s="298"/>
      <c r="AC179" s="298"/>
      <c r="AD179" s="298"/>
      <c r="AE179" s="298"/>
      <c r="AF179" s="298"/>
      <c r="AG179" s="298"/>
      <c r="AH179" s="324"/>
      <c r="AI179" s="67"/>
      <c r="AJ179" s="67"/>
      <c r="AK179" s="67"/>
      <c r="AL179" s="67"/>
    </row>
    <row r="180" spans="2:38" ht="14.25" customHeight="1" x14ac:dyDescent="0.3">
      <c r="N180" s="305"/>
      <c r="O180" s="38"/>
      <c r="P180" s="38"/>
      <c r="Q180" s="38"/>
      <c r="R180" s="38"/>
      <c r="S180" s="38"/>
      <c r="T180" s="38"/>
      <c r="U180" s="38"/>
      <c r="V180" s="38"/>
      <c r="W180" s="38"/>
      <c r="X180" s="38"/>
      <c r="Y180" s="38"/>
      <c r="Z180" s="298"/>
      <c r="AA180" s="298"/>
      <c r="AB180" s="298"/>
      <c r="AC180" s="298"/>
      <c r="AD180" s="298"/>
      <c r="AE180" s="298"/>
      <c r="AF180" s="298"/>
      <c r="AG180" s="298"/>
      <c r="AH180" s="324"/>
      <c r="AI180" s="67"/>
      <c r="AJ180" s="67"/>
      <c r="AK180" s="67"/>
      <c r="AL180" s="67"/>
    </row>
    <row r="181" spans="2:38" ht="14.25" customHeight="1" x14ac:dyDescent="0.3">
      <c r="N181" s="318"/>
      <c r="P181" s="38"/>
      <c r="Q181" s="38"/>
      <c r="R181" s="38"/>
      <c r="S181" s="38"/>
      <c r="T181" s="38"/>
      <c r="U181" s="38"/>
      <c r="V181" s="38"/>
      <c r="W181" s="38"/>
      <c r="X181" s="38"/>
      <c r="Y181" s="38"/>
      <c r="Z181" s="298"/>
      <c r="AA181" s="298"/>
      <c r="AB181" s="298"/>
      <c r="AC181" s="298"/>
      <c r="AD181" s="298"/>
      <c r="AE181" s="298"/>
      <c r="AF181" s="298"/>
      <c r="AG181" s="298"/>
      <c r="AH181" s="325"/>
      <c r="AI181" s="67"/>
      <c r="AJ181" s="67"/>
      <c r="AK181" s="67"/>
      <c r="AL181" s="67"/>
    </row>
    <row r="182" spans="2:38" ht="14.25" customHeight="1" x14ac:dyDescent="0.3">
      <c r="AI182" s="67"/>
      <c r="AJ182" s="67"/>
      <c r="AK182" s="67"/>
      <c r="AL182" s="67"/>
    </row>
    <row r="183" spans="2:38" ht="14.25" customHeight="1" x14ac:dyDescent="0.3">
      <c r="AI183" s="67"/>
      <c r="AJ183" s="67"/>
      <c r="AK183" s="67"/>
      <c r="AL183" s="67"/>
    </row>
    <row r="184" spans="2:38" ht="14.25" customHeight="1" x14ac:dyDescent="0.3">
      <c r="N184" s="318"/>
      <c r="AI184" s="67"/>
      <c r="AJ184" s="67"/>
      <c r="AK184" s="67"/>
      <c r="AL184" s="67"/>
    </row>
    <row r="185" spans="2:38" ht="18.75" customHeight="1" x14ac:dyDescent="0.3">
      <c r="N185" s="326"/>
      <c r="O185" s="326"/>
      <c r="P185" s="326"/>
      <c r="Q185" s="326"/>
      <c r="R185" s="326"/>
      <c r="S185" s="326"/>
      <c r="T185" s="326"/>
      <c r="U185" s="326"/>
      <c r="V185" s="326"/>
      <c r="W185" s="326"/>
      <c r="X185" s="326"/>
      <c r="Y185" s="326"/>
      <c r="Z185" s="326"/>
      <c r="AA185" s="326"/>
      <c r="AB185" s="326"/>
      <c r="AC185" s="326"/>
      <c r="AD185" s="326"/>
      <c r="AE185" s="326"/>
      <c r="AF185" s="326"/>
      <c r="AG185" s="326"/>
      <c r="AH185" s="326"/>
      <c r="AI185" s="67"/>
      <c r="AJ185" s="67"/>
      <c r="AK185" s="67"/>
      <c r="AL185" s="67"/>
    </row>
    <row r="186" spans="2:38" ht="18.75" customHeight="1" x14ac:dyDescent="0.3">
      <c r="N186" s="326"/>
      <c r="O186" s="326"/>
      <c r="P186" s="326"/>
      <c r="Q186" s="326"/>
      <c r="R186" s="326"/>
      <c r="S186" s="326"/>
      <c r="T186" s="326"/>
      <c r="U186" s="326"/>
      <c r="V186" s="326"/>
      <c r="W186" s="326"/>
      <c r="X186" s="326"/>
      <c r="Y186" s="326"/>
      <c r="Z186" s="326"/>
      <c r="AA186" s="326"/>
      <c r="AB186" s="326"/>
      <c r="AC186" s="326"/>
      <c r="AD186" s="326"/>
      <c r="AE186" s="326"/>
      <c r="AF186" s="326"/>
      <c r="AG186" s="326"/>
      <c r="AH186" s="326"/>
      <c r="AI186" s="67"/>
      <c r="AJ186" s="67"/>
      <c r="AK186" s="67"/>
      <c r="AL186" s="67"/>
    </row>
    <row r="187" spans="2:38" ht="18.75" customHeight="1" x14ac:dyDescent="0.3">
      <c r="B187" s="34"/>
      <c r="C187" s="34"/>
      <c r="N187" s="50"/>
      <c r="O187" s="42"/>
      <c r="P187" s="42"/>
      <c r="Q187" s="44"/>
      <c r="R187" s="44"/>
      <c r="S187" s="44"/>
      <c r="T187" s="44"/>
      <c r="U187" s="44"/>
      <c r="V187" s="44"/>
      <c r="W187" s="44"/>
      <c r="X187" s="44"/>
      <c r="Y187" s="44"/>
      <c r="Z187" s="44"/>
      <c r="AA187" s="44"/>
      <c r="AB187" s="44"/>
      <c r="AC187" s="44"/>
      <c r="AD187" s="44"/>
      <c r="AE187" s="44"/>
      <c r="AF187" s="44"/>
      <c r="AG187" s="44"/>
      <c r="AH187" s="67"/>
      <c r="AI187" s="67"/>
      <c r="AJ187" s="67"/>
      <c r="AK187" s="67"/>
      <c r="AL187" s="67"/>
    </row>
    <row r="188" spans="2:38" ht="18.75" customHeight="1" x14ac:dyDescent="0.3">
      <c r="N188" s="34"/>
      <c r="O188" s="38"/>
      <c r="P188" s="38"/>
      <c r="Q188" s="44"/>
      <c r="R188" s="38"/>
      <c r="S188" s="38"/>
      <c r="T188" s="44"/>
      <c r="U188" s="38"/>
      <c r="V188" s="38"/>
      <c r="W188" s="44"/>
      <c r="X188" s="38"/>
      <c r="Y188" s="38"/>
      <c r="Z188" s="44"/>
      <c r="AA188" s="38"/>
      <c r="AB188" s="38"/>
      <c r="AC188" s="44"/>
      <c r="AD188" s="38"/>
      <c r="AE188" s="38"/>
      <c r="AF188" s="44"/>
      <c r="AG188" s="38"/>
      <c r="AH188" s="38"/>
      <c r="AI188" s="67"/>
      <c r="AJ188" s="67"/>
      <c r="AK188" s="67"/>
      <c r="AL188" s="67"/>
    </row>
    <row r="189" spans="2:38" ht="18.75" customHeight="1" x14ac:dyDescent="0.3">
      <c r="AI189" s="67"/>
      <c r="AJ189" s="67"/>
      <c r="AK189" s="67"/>
      <c r="AL189" s="67"/>
    </row>
    <row r="190" spans="2:38" x14ac:dyDescent="0.3">
      <c r="AI190" s="67"/>
    </row>
    <row r="191" spans="2:38" x14ac:dyDescent="0.3">
      <c r="AI191" s="299"/>
    </row>
    <row r="192" spans="2:38" x14ac:dyDescent="0.3">
      <c r="AI192" s="48"/>
    </row>
    <row r="193" spans="2:36" x14ac:dyDescent="0.3">
      <c r="AI193" s="327"/>
    </row>
    <row r="194" spans="2:36" x14ac:dyDescent="0.3">
      <c r="N194" s="318"/>
      <c r="O194" s="42"/>
      <c r="P194" s="42"/>
      <c r="Q194" s="44"/>
      <c r="R194" s="44"/>
      <c r="S194" s="44"/>
      <c r="T194" s="44"/>
      <c r="U194" s="44"/>
      <c r="V194" s="44"/>
      <c r="W194" s="44"/>
      <c r="X194" s="44"/>
      <c r="Y194" s="44"/>
      <c r="Z194" s="44"/>
      <c r="AA194" s="44"/>
      <c r="AB194" s="44"/>
      <c r="AC194" s="44"/>
      <c r="AD194" s="44"/>
      <c r="AE194" s="44"/>
      <c r="AF194" s="44"/>
      <c r="AG194" s="44"/>
      <c r="AH194" s="67"/>
      <c r="AI194" s="327"/>
    </row>
    <row r="195" spans="2:36" x14ac:dyDescent="0.3">
      <c r="N195" s="318"/>
      <c r="O195" s="328"/>
      <c r="P195" s="38"/>
      <c r="Q195" s="38"/>
      <c r="R195" s="38"/>
      <c r="S195" s="38"/>
      <c r="T195" s="38"/>
      <c r="U195" s="38"/>
      <c r="V195" s="38"/>
      <c r="W195" s="38"/>
      <c r="X195" s="38"/>
      <c r="Y195" s="38"/>
      <c r="Z195" s="38"/>
      <c r="AA195" s="38"/>
      <c r="AB195" s="38"/>
      <c r="AC195" s="38"/>
      <c r="AD195" s="38"/>
      <c r="AE195" s="38"/>
      <c r="AF195" s="38"/>
      <c r="AG195" s="38"/>
      <c r="AH195" s="38"/>
    </row>
    <row r="196" spans="2:36" x14ac:dyDescent="0.3">
      <c r="N196" s="318"/>
      <c r="O196" s="314"/>
      <c r="P196" s="314"/>
      <c r="Q196" s="315"/>
      <c r="R196" s="315"/>
      <c r="S196" s="315"/>
      <c r="T196" s="315"/>
      <c r="U196" s="315"/>
      <c r="V196" s="315"/>
      <c r="W196" s="315"/>
      <c r="X196" s="315"/>
      <c r="Y196" s="315"/>
      <c r="Z196" s="315"/>
      <c r="AA196" s="315"/>
      <c r="AB196" s="315"/>
      <c r="AC196" s="315"/>
      <c r="AD196" s="315"/>
      <c r="AE196" s="315"/>
      <c r="AF196" s="315"/>
      <c r="AG196" s="315"/>
      <c r="AH196" s="329"/>
    </row>
    <row r="197" spans="2:36" x14ac:dyDescent="0.3">
      <c r="N197" s="50"/>
      <c r="O197" s="42"/>
      <c r="P197" s="42"/>
      <c r="Q197" s="42"/>
      <c r="R197" s="42"/>
      <c r="S197" s="42"/>
      <c r="T197" s="42"/>
      <c r="U197" s="42"/>
      <c r="V197" s="42"/>
      <c r="W197" s="42"/>
      <c r="X197" s="42"/>
      <c r="Y197" s="42"/>
      <c r="Z197" s="42"/>
      <c r="AA197" s="42"/>
      <c r="AB197" s="42"/>
      <c r="AC197" s="42"/>
      <c r="AD197" s="42"/>
      <c r="AE197" s="42"/>
      <c r="AF197" s="42"/>
      <c r="AG197" s="42"/>
      <c r="AH197" s="42"/>
      <c r="AJ197" s="327"/>
    </row>
    <row r="198" spans="2:36" x14ac:dyDescent="0.3">
      <c r="N198" s="318"/>
      <c r="O198" s="42"/>
      <c r="P198" s="42"/>
      <c r="Q198" s="44"/>
      <c r="R198" s="44"/>
      <c r="S198" s="44"/>
      <c r="T198" s="44"/>
      <c r="U198" s="44"/>
      <c r="V198" s="44"/>
      <c r="W198" s="44"/>
      <c r="X198" s="44"/>
      <c r="Y198" s="44"/>
      <c r="Z198" s="44"/>
      <c r="AA198" s="44"/>
      <c r="AB198" s="44"/>
      <c r="AC198" s="44"/>
      <c r="AD198" s="44"/>
      <c r="AE198" s="44"/>
      <c r="AF198" s="44"/>
      <c r="AG198" s="44"/>
      <c r="AH198" s="44"/>
      <c r="AI198" s="51"/>
      <c r="AJ198" s="327"/>
    </row>
    <row r="199" spans="2:36" ht="18" x14ac:dyDescent="0.35">
      <c r="B199" s="27"/>
      <c r="N199" s="50"/>
      <c r="O199" s="42"/>
      <c r="P199" s="42"/>
      <c r="Q199" s="44"/>
      <c r="R199" s="44"/>
      <c r="S199" s="44"/>
      <c r="T199" s="44"/>
      <c r="U199" s="44"/>
      <c r="V199" s="44"/>
      <c r="W199" s="44"/>
      <c r="X199" s="44"/>
      <c r="Y199" s="44"/>
      <c r="Z199" s="44"/>
      <c r="AA199" s="44"/>
      <c r="AB199" s="44"/>
      <c r="AC199" s="44"/>
      <c r="AD199" s="44"/>
      <c r="AE199" s="44"/>
      <c r="AF199" s="44"/>
      <c r="AG199" s="44"/>
      <c r="AH199" s="67"/>
      <c r="AI199" s="51"/>
      <c r="AJ199" s="327"/>
    </row>
    <row r="200" spans="2:36" ht="18.75" customHeight="1" x14ac:dyDescent="0.3">
      <c r="N200" s="330"/>
      <c r="O200" s="42"/>
      <c r="P200" s="42"/>
      <c r="Q200" s="44"/>
      <c r="R200" s="44"/>
      <c r="S200" s="44"/>
      <c r="T200" s="44"/>
      <c r="U200" s="44"/>
      <c r="V200" s="44"/>
      <c r="W200" s="44"/>
      <c r="X200" s="44"/>
      <c r="Y200" s="44"/>
      <c r="Z200" s="44"/>
      <c r="AA200" s="44"/>
      <c r="AB200" s="44"/>
      <c r="AC200" s="44"/>
      <c r="AD200" s="44"/>
      <c r="AE200" s="44"/>
      <c r="AF200" s="44"/>
      <c r="AG200" s="44"/>
      <c r="AH200" s="67"/>
      <c r="AI200" s="51"/>
    </row>
    <row r="201" spans="2:36" x14ac:dyDescent="0.3">
      <c r="N201" s="318"/>
      <c r="O201" s="42"/>
      <c r="P201" s="42"/>
      <c r="Q201" s="44"/>
      <c r="R201" s="44"/>
      <c r="S201" s="44"/>
      <c r="T201" s="44"/>
      <c r="U201" s="44"/>
      <c r="V201" s="44"/>
      <c r="W201" s="44"/>
      <c r="X201" s="44"/>
      <c r="Y201" s="44"/>
      <c r="Z201" s="44"/>
      <c r="AA201" s="44"/>
      <c r="AB201" s="44"/>
      <c r="AC201" s="44"/>
      <c r="AD201" s="44"/>
      <c r="AE201" s="44"/>
      <c r="AF201" s="44"/>
      <c r="AG201" s="44"/>
      <c r="AH201" s="67"/>
    </row>
    <row r="202" spans="2:36" x14ac:dyDescent="0.3">
      <c r="N202" s="318"/>
      <c r="O202" s="331"/>
      <c r="P202" s="331"/>
      <c r="Q202" s="331"/>
      <c r="R202" s="331"/>
      <c r="S202" s="331"/>
      <c r="T202" s="331"/>
      <c r="U202" s="331"/>
      <c r="V202" s="331"/>
      <c r="W202" s="331"/>
      <c r="X202" s="331"/>
      <c r="Y202" s="331"/>
      <c r="Z202" s="331"/>
      <c r="AA202" s="331"/>
      <c r="AB202" s="331"/>
      <c r="AC202" s="331"/>
      <c r="AD202" s="331"/>
      <c r="AE202" s="331"/>
      <c r="AF202" s="331"/>
      <c r="AG202" s="331"/>
      <c r="AH202" s="331"/>
    </row>
    <row r="203" spans="2:36" x14ac:dyDescent="0.3">
      <c r="N203" s="326"/>
      <c r="O203" s="326"/>
      <c r="P203" s="326"/>
      <c r="Q203" s="326"/>
      <c r="R203" s="326"/>
      <c r="S203" s="326"/>
      <c r="T203" s="326"/>
      <c r="U203" s="326"/>
      <c r="V203" s="326"/>
      <c r="W203" s="326"/>
      <c r="X203" s="326"/>
      <c r="Y203" s="326"/>
      <c r="Z203" s="326"/>
      <c r="AA203" s="326"/>
      <c r="AB203" s="326"/>
      <c r="AC203" s="326"/>
      <c r="AD203" s="326"/>
      <c r="AE203" s="326"/>
      <c r="AF203" s="326"/>
      <c r="AG203" s="326"/>
      <c r="AH203" s="326"/>
    </row>
    <row r="204" spans="2:36" s="55" customFormat="1" x14ac:dyDescent="0.3">
      <c r="B204" s="332"/>
      <c r="C204" s="332"/>
      <c r="N204" s="326"/>
      <c r="O204" s="326"/>
      <c r="P204" s="326"/>
      <c r="Q204" s="326"/>
      <c r="R204" s="326"/>
      <c r="S204" s="326"/>
      <c r="T204" s="326"/>
      <c r="U204" s="326"/>
      <c r="V204" s="326"/>
      <c r="W204" s="326"/>
      <c r="X204" s="326"/>
      <c r="Y204" s="326"/>
      <c r="Z204" s="326"/>
      <c r="AA204" s="326"/>
      <c r="AB204" s="326"/>
      <c r="AC204" s="326"/>
      <c r="AD204" s="326"/>
      <c r="AE204" s="326"/>
      <c r="AF204" s="326"/>
      <c r="AG204" s="326"/>
      <c r="AH204" s="326"/>
      <c r="AI204" s="26"/>
    </row>
    <row r="205" spans="2:36" x14ac:dyDescent="0.3">
      <c r="N205" s="326"/>
      <c r="O205" s="326"/>
      <c r="P205" s="326"/>
      <c r="Q205" s="326"/>
      <c r="R205" s="326"/>
      <c r="S205" s="326"/>
      <c r="T205" s="326"/>
      <c r="U205" s="326"/>
      <c r="V205" s="326"/>
      <c r="W205" s="326"/>
      <c r="X205" s="326"/>
      <c r="Y205" s="326"/>
      <c r="Z205" s="326"/>
      <c r="AA205" s="326"/>
      <c r="AB205" s="326"/>
      <c r="AC205" s="326"/>
      <c r="AD205" s="326"/>
      <c r="AE205" s="326"/>
      <c r="AF205" s="326"/>
      <c r="AG205" s="326"/>
      <c r="AH205" s="326"/>
      <c r="AI205" s="55"/>
    </row>
    <row r="206" spans="2:36" x14ac:dyDescent="0.3">
      <c r="N206" s="326"/>
      <c r="O206" s="326"/>
      <c r="P206" s="326"/>
      <c r="Q206" s="326"/>
      <c r="R206" s="326"/>
      <c r="S206" s="326"/>
      <c r="T206" s="326"/>
      <c r="U206" s="326"/>
      <c r="V206" s="326"/>
      <c r="W206" s="326"/>
      <c r="X206" s="326"/>
      <c r="Y206" s="326"/>
      <c r="Z206" s="326"/>
      <c r="AA206" s="326"/>
      <c r="AB206" s="326"/>
      <c r="AC206" s="326"/>
      <c r="AD206" s="326"/>
      <c r="AE206" s="326"/>
      <c r="AF206" s="326"/>
      <c r="AG206" s="326"/>
      <c r="AH206" s="326"/>
      <c r="AJ206" s="327"/>
    </row>
    <row r="207" spans="2:36" x14ac:dyDescent="0.3">
      <c r="AI207" s="327"/>
    </row>
    <row r="208" spans="2:36" x14ac:dyDescent="0.3">
      <c r="AI208" s="333"/>
    </row>
    <row r="209" spans="2:37" x14ac:dyDescent="0.3">
      <c r="AI209" s="56"/>
    </row>
    <row r="212" spans="2:37" x14ac:dyDescent="0.3">
      <c r="N212" s="318"/>
      <c r="Q212" s="47"/>
      <c r="R212" s="47"/>
      <c r="S212" s="47"/>
      <c r="T212" s="47"/>
      <c r="U212" s="47"/>
      <c r="V212" s="47"/>
      <c r="W212" s="47"/>
      <c r="X212" s="47"/>
      <c r="Y212" s="47"/>
      <c r="Z212" s="47"/>
      <c r="AA212" s="47"/>
      <c r="AB212" s="47"/>
      <c r="AC212" s="47"/>
      <c r="AD212" s="47"/>
      <c r="AE212" s="47"/>
      <c r="AF212" s="47"/>
      <c r="AG212" s="47"/>
      <c r="AH212" s="327"/>
    </row>
    <row r="213" spans="2:37" x14ac:dyDescent="0.3">
      <c r="N213" s="318"/>
      <c r="O213" s="49"/>
      <c r="P213" s="49"/>
      <c r="Q213" s="49"/>
      <c r="R213" s="49"/>
      <c r="S213" s="49"/>
      <c r="T213" s="49"/>
      <c r="U213" s="49"/>
      <c r="V213" s="49"/>
      <c r="W213" s="49"/>
      <c r="X213" s="49"/>
      <c r="Y213" s="49"/>
      <c r="Z213" s="49"/>
      <c r="AA213" s="49"/>
      <c r="AB213" s="49"/>
      <c r="AC213" s="49"/>
      <c r="AD213" s="49"/>
      <c r="AE213" s="49"/>
      <c r="AF213" s="49"/>
      <c r="AG213" s="334"/>
      <c r="AH213" s="327"/>
    </row>
    <row r="214" spans="2:37" x14ac:dyDescent="0.3">
      <c r="N214" s="318"/>
      <c r="O214" s="301"/>
      <c r="P214" s="38"/>
      <c r="Q214" s="38"/>
      <c r="R214" s="38"/>
      <c r="S214" s="38"/>
      <c r="T214" s="38"/>
      <c r="U214" s="38"/>
      <c r="V214" s="38"/>
      <c r="W214" s="38"/>
      <c r="X214" s="38"/>
      <c r="Y214" s="38"/>
      <c r="Z214" s="38"/>
      <c r="AA214" s="38"/>
      <c r="AB214" s="38"/>
      <c r="AC214" s="38"/>
      <c r="AD214" s="38"/>
      <c r="AE214" s="38"/>
      <c r="AF214" s="38"/>
      <c r="AG214" s="38"/>
      <c r="AH214" s="327"/>
      <c r="AI214" s="335"/>
    </row>
    <row r="215" spans="2:37" x14ac:dyDescent="0.3">
      <c r="N215" s="318"/>
      <c r="O215" s="301"/>
      <c r="P215" s="301"/>
      <c r="Q215" s="301"/>
      <c r="R215" s="301"/>
      <c r="S215" s="301"/>
      <c r="T215" s="301"/>
      <c r="U215" s="301"/>
      <c r="V215" s="301"/>
      <c r="W215" s="301"/>
      <c r="X215" s="301"/>
      <c r="Y215" s="301"/>
      <c r="Z215" s="301"/>
      <c r="AA215" s="301"/>
      <c r="AB215" s="301"/>
      <c r="AC215" s="301"/>
      <c r="AD215" s="301"/>
      <c r="AE215" s="301"/>
      <c r="AF215" s="301"/>
      <c r="AG215" s="301"/>
      <c r="AH215" s="47"/>
      <c r="AI215" s="327"/>
    </row>
    <row r="216" spans="2:37" x14ac:dyDescent="0.3">
      <c r="N216" s="50"/>
      <c r="O216" s="42"/>
      <c r="P216" s="42"/>
      <c r="Q216" s="42"/>
      <c r="R216" s="42"/>
      <c r="S216" s="42"/>
      <c r="T216" s="42"/>
      <c r="U216" s="42"/>
      <c r="V216" s="42"/>
      <c r="W216" s="42"/>
      <c r="X216" s="38"/>
      <c r="Y216" s="38"/>
      <c r="AG216" s="47"/>
      <c r="AH216" s="336"/>
    </row>
    <row r="217" spans="2:37" x14ac:dyDescent="0.3">
      <c r="N217" s="1260"/>
      <c r="O217" s="1260"/>
      <c r="P217" s="1260"/>
      <c r="Q217" s="1260"/>
      <c r="R217" s="1260"/>
      <c r="S217" s="1260"/>
      <c r="T217" s="1260"/>
      <c r="U217" s="1260"/>
      <c r="V217" s="1260"/>
      <c r="W217" s="1260"/>
      <c r="X217" s="1260"/>
      <c r="Y217" s="1260"/>
      <c r="Z217" s="1260"/>
      <c r="AA217" s="1260"/>
      <c r="AB217" s="1260"/>
      <c r="AC217" s="1260"/>
      <c r="AD217" s="1260"/>
      <c r="AE217" s="1260"/>
      <c r="AF217" s="1260"/>
      <c r="AG217" s="1260"/>
      <c r="AH217" s="336"/>
      <c r="AI217" s="56"/>
    </row>
    <row r="218" spans="2:37" x14ac:dyDescent="0.3">
      <c r="N218" s="1260"/>
      <c r="O218" s="1260"/>
      <c r="P218" s="1260"/>
      <c r="Q218" s="1260"/>
      <c r="R218" s="1260"/>
      <c r="S218" s="1260"/>
      <c r="T218" s="1260"/>
      <c r="U218" s="1260"/>
      <c r="V218" s="1260"/>
      <c r="W218" s="1260"/>
      <c r="X218" s="1260"/>
      <c r="Y218" s="1260"/>
      <c r="Z218" s="1260"/>
      <c r="AA218" s="1260"/>
      <c r="AB218" s="1260"/>
      <c r="AC218" s="1260"/>
      <c r="AD218" s="1260"/>
      <c r="AE218" s="1260"/>
      <c r="AF218" s="1260"/>
      <c r="AG218" s="1260"/>
      <c r="AH218" s="47"/>
    </row>
    <row r="219" spans="2:37" x14ac:dyDescent="0.3">
      <c r="AG219" s="47"/>
    </row>
    <row r="220" spans="2:37" ht="18" x14ac:dyDescent="0.35">
      <c r="B220" s="27"/>
    </row>
    <row r="221" spans="2:37" ht="18" x14ac:dyDescent="0.35">
      <c r="N221" s="27"/>
      <c r="O221" s="27"/>
    </row>
    <row r="222" spans="2:37" x14ac:dyDescent="0.3">
      <c r="N222" s="50"/>
      <c r="O222" s="42"/>
      <c r="P222" s="52"/>
      <c r="Q222" s="52"/>
      <c r="R222" s="52"/>
      <c r="S222" s="52"/>
      <c r="T222" s="52"/>
      <c r="U222" s="52"/>
      <c r="V222" s="52"/>
      <c r="W222" s="52"/>
      <c r="X222" s="38"/>
      <c r="Y222" s="38"/>
      <c r="AJ222" s="327"/>
    </row>
    <row r="223" spans="2:37" x14ac:dyDescent="0.3">
      <c r="N223" s="337"/>
      <c r="O223" s="338"/>
      <c r="P223" s="338"/>
      <c r="Q223" s="338"/>
      <c r="R223" s="338"/>
      <c r="S223" s="338"/>
      <c r="T223" s="338"/>
      <c r="U223" s="338"/>
      <c r="V223" s="338"/>
      <c r="W223" s="338"/>
      <c r="X223" s="338"/>
      <c r="Y223" s="338"/>
      <c r="Z223" s="338"/>
      <c r="AA223" s="338"/>
      <c r="AB223" s="338"/>
      <c r="AC223" s="338"/>
      <c r="AD223" s="338"/>
      <c r="AE223" s="338"/>
      <c r="AF223" s="338"/>
      <c r="AG223" s="338"/>
      <c r="AH223" s="338"/>
      <c r="AI223" s="327"/>
      <c r="AJ223" s="56"/>
      <c r="AK223" s="43"/>
    </row>
    <row r="224" spans="2:37" x14ac:dyDescent="0.3">
      <c r="N224" s="339"/>
      <c r="O224" s="331"/>
      <c r="P224" s="331"/>
      <c r="Q224" s="331"/>
      <c r="R224" s="331"/>
      <c r="S224" s="331"/>
      <c r="T224" s="331"/>
      <c r="U224" s="331"/>
      <c r="V224" s="331"/>
      <c r="W224" s="331"/>
      <c r="X224" s="331"/>
      <c r="Y224" s="331"/>
      <c r="Z224" s="331"/>
      <c r="AA224" s="331"/>
      <c r="AB224" s="331"/>
      <c r="AC224" s="331"/>
      <c r="AD224" s="331"/>
      <c r="AE224" s="331"/>
      <c r="AF224" s="331"/>
      <c r="AG224" s="331"/>
      <c r="AH224" s="331"/>
    </row>
    <row r="225" spans="14:34" x14ac:dyDescent="0.3">
      <c r="N225" s="340"/>
      <c r="O225" s="340"/>
      <c r="P225" s="340"/>
      <c r="Q225" s="340"/>
      <c r="R225" s="340"/>
      <c r="S225" s="340"/>
      <c r="T225" s="340"/>
      <c r="U225" s="340"/>
      <c r="V225" s="340"/>
      <c r="W225" s="340"/>
      <c r="X225" s="340"/>
      <c r="Y225" s="340"/>
      <c r="Z225" s="340"/>
      <c r="AA225" s="340"/>
      <c r="AB225" s="340"/>
      <c r="AC225" s="340"/>
      <c r="AD225" s="340"/>
      <c r="AE225" s="340"/>
      <c r="AF225" s="340"/>
      <c r="AG225" s="340"/>
      <c r="AH225" s="340"/>
    </row>
    <row r="226" spans="14:34" x14ac:dyDescent="0.3">
      <c r="N226" s="340"/>
      <c r="O226" s="340"/>
      <c r="P226" s="340"/>
      <c r="Q226" s="340"/>
      <c r="R226" s="340"/>
      <c r="S226" s="340"/>
      <c r="T226" s="340"/>
      <c r="U226" s="340"/>
      <c r="V226" s="340"/>
      <c r="W226" s="340"/>
      <c r="X226" s="340"/>
      <c r="Y226" s="340"/>
      <c r="Z226" s="340"/>
      <c r="AA226" s="340"/>
      <c r="AB226" s="340"/>
      <c r="AC226" s="340"/>
      <c r="AD226" s="340"/>
      <c r="AE226" s="340"/>
      <c r="AF226" s="340"/>
      <c r="AG226" s="340"/>
      <c r="AH226" s="340"/>
    </row>
    <row r="227" spans="14:34" x14ac:dyDescent="0.3">
      <c r="N227" s="340"/>
      <c r="O227" s="340"/>
      <c r="P227" s="340"/>
      <c r="Q227" s="340"/>
      <c r="R227" s="340"/>
      <c r="S227" s="340"/>
      <c r="T227" s="340"/>
      <c r="U227" s="340"/>
      <c r="V227" s="340"/>
      <c r="W227" s="340"/>
      <c r="X227" s="340"/>
      <c r="Y227" s="340"/>
      <c r="Z227" s="340"/>
      <c r="AA227" s="340"/>
      <c r="AB227" s="340"/>
      <c r="AC227" s="340"/>
      <c r="AD227" s="340"/>
      <c r="AE227" s="340"/>
      <c r="AF227" s="340"/>
      <c r="AG227" s="340"/>
      <c r="AH227" s="340"/>
    </row>
    <row r="228" spans="14:34" x14ac:dyDescent="0.3">
      <c r="O228" s="49"/>
      <c r="P228" s="341"/>
      <c r="Q228" s="154"/>
      <c r="R228" s="154"/>
      <c r="S228" s="154"/>
      <c r="T228" s="154"/>
      <c r="U228" s="154"/>
      <c r="V228" s="154"/>
      <c r="W228" s="154"/>
      <c r="X228" s="154"/>
      <c r="Y228" s="154"/>
      <c r="Z228" s="154"/>
      <c r="AA228" s="154"/>
      <c r="AB228" s="154"/>
      <c r="AC228" s="154"/>
      <c r="AD228" s="154"/>
      <c r="AE228" s="154"/>
      <c r="AF228" s="154"/>
      <c r="AG228" s="154"/>
      <c r="AH228" s="154"/>
    </row>
    <row r="236" spans="14:34" x14ac:dyDescent="0.3">
      <c r="N236" s="318"/>
      <c r="O236" s="49"/>
      <c r="P236" s="49"/>
      <c r="Q236" s="49"/>
      <c r="R236" s="49"/>
      <c r="S236" s="49"/>
      <c r="T236" s="49"/>
      <c r="U236" s="49"/>
      <c r="V236" s="49"/>
      <c r="W236" s="49"/>
      <c r="X236" s="49"/>
      <c r="Y236" s="49"/>
      <c r="Z236" s="49"/>
      <c r="AA236" s="49"/>
      <c r="AB236" s="49"/>
      <c r="AC236" s="49"/>
      <c r="AD236" s="49"/>
      <c r="AE236" s="49"/>
      <c r="AF236" s="49"/>
      <c r="AG236" s="49"/>
      <c r="AH236" s="56"/>
    </row>
    <row r="237" spans="14:34" x14ac:dyDescent="0.3">
      <c r="N237" s="318"/>
      <c r="O237" s="49"/>
      <c r="P237" s="49"/>
      <c r="Q237" s="49"/>
      <c r="R237" s="49"/>
      <c r="S237" s="49"/>
      <c r="T237" s="49"/>
      <c r="U237" s="49"/>
      <c r="V237" s="49"/>
      <c r="W237" s="49"/>
      <c r="X237" s="49"/>
      <c r="Y237" s="49"/>
      <c r="Z237" s="49"/>
      <c r="AA237" s="49"/>
      <c r="AB237" s="49"/>
      <c r="AC237" s="49"/>
      <c r="AD237" s="49"/>
      <c r="AE237" s="49"/>
      <c r="AF237" s="49"/>
      <c r="AG237" s="49"/>
      <c r="AH237" s="56"/>
    </row>
    <row r="238" spans="14:34" x14ac:dyDescent="0.3">
      <c r="N238" s="318"/>
      <c r="O238" s="49"/>
      <c r="P238" s="49"/>
      <c r="Q238" s="49"/>
      <c r="R238" s="49"/>
      <c r="S238" s="49"/>
      <c r="T238" s="49"/>
      <c r="U238" s="49"/>
      <c r="V238" s="49"/>
      <c r="W238" s="49"/>
      <c r="X238" s="49"/>
      <c r="Y238" s="49"/>
      <c r="Z238" s="49"/>
      <c r="AA238" s="49"/>
      <c r="AB238" s="49"/>
      <c r="AC238" s="49"/>
      <c r="AD238" s="49"/>
      <c r="AE238" s="49"/>
      <c r="AF238" s="49"/>
      <c r="AG238" s="49"/>
      <c r="AH238" s="56"/>
    </row>
    <row r="239" spans="14:34" x14ac:dyDescent="0.3">
      <c r="N239" s="319"/>
      <c r="O239" s="58"/>
      <c r="P239" s="58"/>
      <c r="Q239" s="58"/>
      <c r="R239" s="58"/>
      <c r="S239" s="58"/>
      <c r="T239" s="58"/>
      <c r="U239" s="58"/>
      <c r="V239" s="58"/>
      <c r="W239" s="58"/>
      <c r="X239" s="58"/>
      <c r="Y239" s="58"/>
      <c r="Z239" s="58"/>
      <c r="AA239" s="58"/>
      <c r="AB239" s="58"/>
      <c r="AC239" s="58"/>
      <c r="AD239" s="58"/>
      <c r="AE239" s="58"/>
      <c r="AF239" s="58"/>
      <c r="AG239" s="58"/>
      <c r="AH239" s="58"/>
    </row>
    <row r="240" spans="14:34" x14ac:dyDescent="0.3">
      <c r="N240" s="319"/>
      <c r="Q240" s="342"/>
      <c r="R240" s="320"/>
      <c r="S240" s="320"/>
      <c r="T240" s="320"/>
      <c r="U240" s="320"/>
      <c r="V240" s="320"/>
      <c r="W240" s="320"/>
      <c r="X240" s="38"/>
      <c r="Y240" s="38"/>
      <c r="Z240" s="343"/>
      <c r="AA240" s="343"/>
      <c r="AB240" s="343"/>
      <c r="AC240" s="343"/>
      <c r="AD240" s="343"/>
      <c r="AE240" s="343"/>
      <c r="AF240" s="343"/>
      <c r="AG240" s="343"/>
      <c r="AH240" s="343"/>
    </row>
    <row r="241" spans="14:34" ht="18" x14ac:dyDescent="0.35">
      <c r="N241" s="27"/>
      <c r="O241" s="320"/>
      <c r="P241" s="320"/>
      <c r="Q241" s="342"/>
      <c r="R241" s="49"/>
      <c r="S241" s="49"/>
      <c r="T241" s="49"/>
      <c r="U241" s="49"/>
      <c r="V241" s="49"/>
      <c r="W241" s="49"/>
      <c r="X241" s="49"/>
      <c r="Y241" s="49"/>
      <c r="Z241" s="49"/>
      <c r="AA241" s="49"/>
      <c r="AB241" s="49"/>
      <c r="AC241" s="49"/>
      <c r="AD241" s="49"/>
      <c r="AE241" s="49"/>
      <c r="AF241" s="49"/>
      <c r="AG241" s="49"/>
      <c r="AH241" s="56"/>
    </row>
    <row r="242" spans="14:34" x14ac:dyDescent="0.3">
      <c r="O242" s="344"/>
      <c r="P242" s="344"/>
      <c r="Q242" s="345"/>
      <c r="R242" s="49"/>
      <c r="S242" s="49"/>
      <c r="T242" s="49"/>
      <c r="U242" s="49"/>
      <c r="V242" s="49"/>
      <c r="W242" s="49"/>
      <c r="X242" s="49"/>
      <c r="Y242" s="49"/>
      <c r="Z242" s="49"/>
      <c r="AA242" s="49"/>
      <c r="AB242" s="49"/>
      <c r="AC242" s="49"/>
      <c r="AD242" s="49"/>
      <c r="AE242" s="49"/>
      <c r="AF242" s="49"/>
      <c r="AG242" s="49"/>
      <c r="AH242" s="56"/>
    </row>
    <row r="243" spans="14:34" x14ac:dyDescent="0.3">
      <c r="O243" s="344"/>
      <c r="P243" s="344"/>
      <c r="Q243" s="345"/>
      <c r="R243" s="49"/>
      <c r="S243" s="49"/>
      <c r="T243" s="49"/>
      <c r="U243" s="49"/>
      <c r="V243" s="49"/>
      <c r="W243" s="49"/>
      <c r="X243" s="49"/>
      <c r="Y243" s="49"/>
      <c r="Z243" s="49"/>
      <c r="AA243" s="49"/>
      <c r="AB243" s="49"/>
      <c r="AC243" s="49"/>
      <c r="AD243" s="49"/>
      <c r="AE243" s="49"/>
      <c r="AF243" s="49"/>
      <c r="AG243" s="49"/>
      <c r="AH243" s="56"/>
    </row>
    <row r="244" spans="14:34" x14ac:dyDescent="0.3">
      <c r="O244" s="344"/>
      <c r="P244" s="344"/>
      <c r="Q244" s="345"/>
      <c r="R244" s="49"/>
      <c r="S244" s="49"/>
      <c r="T244" s="49"/>
      <c r="U244" s="49"/>
      <c r="V244" s="49"/>
      <c r="W244" s="49"/>
      <c r="X244" s="49"/>
      <c r="Y244" s="49"/>
      <c r="Z244" s="49"/>
      <c r="AA244" s="49"/>
      <c r="AB244" s="49"/>
      <c r="AC244" s="49"/>
      <c r="AD244" s="49"/>
      <c r="AE244" s="49"/>
      <c r="AF244" s="49"/>
      <c r="AG244" s="49"/>
      <c r="AH244" s="56"/>
    </row>
    <row r="245" spans="14:34" x14ac:dyDescent="0.3">
      <c r="O245" s="344"/>
      <c r="P245" s="344"/>
      <c r="Q245" s="345"/>
      <c r="R245" s="49"/>
      <c r="S245" s="49"/>
      <c r="T245" s="49"/>
      <c r="U245" s="49"/>
      <c r="V245" s="49"/>
      <c r="W245" s="49"/>
      <c r="X245" s="49"/>
      <c r="Y245" s="49"/>
      <c r="Z245" s="49"/>
      <c r="AA245" s="49"/>
      <c r="AB245" s="49"/>
      <c r="AC245" s="49"/>
      <c r="AD245" s="49"/>
      <c r="AE245" s="49"/>
      <c r="AF245" s="49"/>
      <c r="AG245" s="49"/>
      <c r="AH245" s="56"/>
    </row>
    <row r="246" spans="14:34" x14ac:dyDescent="0.3">
      <c r="O246" s="344"/>
      <c r="P246" s="344"/>
      <c r="Q246" s="345"/>
      <c r="R246" s="58"/>
      <c r="S246" s="58"/>
      <c r="T246" s="58"/>
      <c r="U246" s="58"/>
      <c r="V246" s="58"/>
      <c r="W246" s="58"/>
      <c r="X246" s="58"/>
      <c r="Y246" s="58"/>
      <c r="Z246" s="346"/>
      <c r="AA246" s="346"/>
      <c r="AB246" s="346"/>
      <c r="AC246" s="346"/>
      <c r="AD246" s="346"/>
      <c r="AE246" s="346"/>
      <c r="AF246" s="346"/>
      <c r="AG246" s="346"/>
      <c r="AH246" s="346"/>
    </row>
    <row r="247" spans="14:34" x14ac:dyDescent="0.3">
      <c r="O247" s="347"/>
      <c r="P247" s="347"/>
      <c r="Q247" s="345"/>
      <c r="R247" s="348"/>
      <c r="S247" s="348"/>
      <c r="T247" s="348"/>
      <c r="U247" s="348"/>
      <c r="V247" s="348"/>
      <c r="W247" s="348"/>
      <c r="X247" s="348"/>
      <c r="Y247" s="348"/>
      <c r="Z247" s="348"/>
      <c r="AA247" s="348"/>
      <c r="AB247" s="348"/>
      <c r="AC247" s="348"/>
      <c r="AD247" s="348"/>
      <c r="AE247" s="348"/>
      <c r="AF247" s="348"/>
      <c r="AG247" s="348"/>
      <c r="AH247" s="348"/>
    </row>
    <row r="248" spans="14:34" x14ac:dyDescent="0.3">
      <c r="Q248" s="349"/>
      <c r="AG248" s="47"/>
    </row>
    <row r="263" spans="14:34" ht="18" x14ac:dyDescent="0.35">
      <c r="N263" s="27"/>
    </row>
    <row r="264" spans="14:34" x14ac:dyDescent="0.3">
      <c r="O264" s="39"/>
      <c r="P264" s="39"/>
      <c r="Q264" s="39"/>
      <c r="R264" s="39"/>
      <c r="S264" s="39"/>
      <c r="T264" s="39"/>
      <c r="U264" s="39"/>
      <c r="V264" s="39"/>
      <c r="W264" s="39"/>
      <c r="X264" s="39"/>
      <c r="Y264" s="39"/>
      <c r="Z264" s="39"/>
      <c r="AA264" s="39"/>
      <c r="AB264" s="39"/>
      <c r="AC264" s="39"/>
      <c r="AD264" s="39"/>
      <c r="AE264" s="39"/>
      <c r="AF264" s="39"/>
      <c r="AG264" s="39"/>
      <c r="AH264" s="39"/>
    </row>
    <row r="265" spans="14:34" x14ac:dyDescent="0.3">
      <c r="O265" s="39"/>
      <c r="P265" s="39"/>
      <c r="Q265" s="39"/>
      <c r="R265" s="39"/>
      <c r="S265" s="39"/>
      <c r="T265" s="39"/>
      <c r="U265" s="39"/>
      <c r="V265" s="39"/>
      <c r="W265" s="39"/>
      <c r="X265" s="39"/>
      <c r="Y265" s="39"/>
      <c r="Z265" s="39"/>
      <c r="AA265" s="39"/>
      <c r="AB265" s="39"/>
      <c r="AC265" s="39"/>
      <c r="AD265" s="39"/>
      <c r="AE265" s="39"/>
      <c r="AF265" s="39"/>
      <c r="AG265" s="39"/>
      <c r="AH265" s="39"/>
    </row>
    <row r="269" spans="14:34" ht="18" x14ac:dyDescent="0.35">
      <c r="N269" s="27"/>
      <c r="O269" s="39"/>
      <c r="P269" s="39"/>
      <c r="Q269" s="39"/>
      <c r="R269" s="39"/>
      <c r="S269" s="39"/>
      <c r="T269" s="39"/>
      <c r="U269" s="39"/>
      <c r="V269" s="39"/>
      <c r="W269" s="39"/>
      <c r="X269" s="39"/>
      <c r="Y269" s="39"/>
      <c r="Z269" s="39"/>
      <c r="AA269" s="39"/>
      <c r="AB269" s="39"/>
      <c r="AC269" s="39"/>
      <c r="AD269" s="39"/>
      <c r="AE269" s="39"/>
      <c r="AF269" s="39"/>
      <c r="AG269" s="39"/>
      <c r="AH269" s="39"/>
    </row>
  </sheetData>
  <sheetProtection algorithmName="SHA-512" hashValue="Yaw3ehdaeU1xrNKbIHJNcetHGn0w11ZREl43mG12e9k4JwXWHvlvZSGM9wjOxOiDnLG0XuUH642Qm6pa7KgkCA==" saltValue="Zed7yXlRS3LCu+paYmUZog==" spinCount="100000" sheet="1"/>
  <sortState xmlns:xlrd2="http://schemas.microsoft.com/office/spreadsheetml/2017/richdata2" ref="N35:O40">
    <sortCondition descending="1" ref="O35:O40"/>
  </sortState>
  <mergeCells count="1">
    <mergeCell ref="N217:AG218"/>
  </mergeCells>
  <pageMargins left="0.25" right="0.25" top="0.75" bottom="0.75" header="0.3" footer="0.3"/>
  <pageSetup paperSize="8" scale="2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autoPageBreaks="0"/>
  </sheetPr>
  <dimension ref="A1:Q166"/>
  <sheetViews>
    <sheetView zoomScale="90" zoomScaleNormal="90" workbookViewId="0"/>
  </sheetViews>
  <sheetFormatPr defaultRowHeight="13.2" x14ac:dyDescent="0.25"/>
  <cols>
    <col min="1" max="1" width="8.5546875" style="1" customWidth="1"/>
    <col min="2" max="2" width="23" style="1" customWidth="1"/>
    <col min="3" max="3" width="16.88671875" style="1" customWidth="1"/>
    <col min="4" max="4" width="21.21875" style="232" customWidth="1"/>
    <col min="5" max="5" width="21.88671875" style="1" customWidth="1"/>
    <col min="6" max="6" width="20.5546875" style="1" customWidth="1"/>
    <col min="7" max="7" width="15.5546875" style="1" customWidth="1"/>
    <col min="8" max="8" width="18" style="1" customWidth="1"/>
    <col min="9" max="10" width="20.77734375" style="1" bestFit="1" customWidth="1"/>
    <col min="11" max="11" width="20.5546875" style="1" customWidth="1"/>
    <col min="12" max="12" width="18.88671875" style="1" customWidth="1"/>
    <col min="13" max="13" width="16.5546875" style="1" customWidth="1"/>
    <col min="14" max="14" width="18.77734375" style="1" customWidth="1"/>
    <col min="15" max="15" width="16.5546875" style="1" customWidth="1"/>
    <col min="16" max="16" width="20.21875" style="1" customWidth="1"/>
    <col min="17" max="17" width="39.5546875" style="1" customWidth="1"/>
    <col min="18" max="18" width="12.21875" style="1" customWidth="1"/>
    <col min="19" max="19" width="13.5546875" style="1" customWidth="1"/>
    <col min="20" max="20" width="9" style="1"/>
    <col min="21" max="22" width="13.77734375" style="1" bestFit="1" customWidth="1"/>
    <col min="23" max="28" width="9" style="1"/>
    <col min="29" max="29" width="13.21875" style="1" customWidth="1"/>
    <col min="30" max="30" width="15.77734375" style="1" customWidth="1"/>
    <col min="31" max="38" width="9" style="1"/>
    <col min="39" max="39" width="44.88671875" style="1" customWidth="1"/>
    <col min="40" max="270" width="9" style="1"/>
    <col min="271" max="271" width="13.5546875" style="1" customWidth="1"/>
    <col min="272" max="272" width="9" style="1"/>
    <col min="273" max="273" width="13.5546875" style="1" customWidth="1"/>
    <col min="274" max="526" width="9" style="1"/>
    <col min="527" max="527" width="13.5546875" style="1" customWidth="1"/>
    <col min="528" max="528" width="9" style="1"/>
    <col min="529" max="529" width="13.5546875" style="1" customWidth="1"/>
    <col min="530" max="782" width="9" style="1"/>
    <col min="783" max="783" width="13.5546875" style="1" customWidth="1"/>
    <col min="784" max="784" width="9" style="1"/>
    <col min="785" max="785" width="13.5546875" style="1" customWidth="1"/>
    <col min="786" max="1038" width="9" style="1"/>
    <col min="1039" max="1039" width="13.5546875" style="1" customWidth="1"/>
    <col min="1040" max="1040" width="9" style="1"/>
    <col min="1041" max="1041" width="13.5546875" style="1" customWidth="1"/>
    <col min="1042" max="1294" width="9" style="1"/>
    <col min="1295" max="1295" width="13.5546875" style="1" customWidth="1"/>
    <col min="1296" max="1296" width="9" style="1"/>
    <col min="1297" max="1297" width="13.5546875" style="1" customWidth="1"/>
    <col min="1298" max="1550" width="9" style="1"/>
    <col min="1551" max="1551" width="13.5546875" style="1" customWidth="1"/>
    <col min="1552" max="1552" width="9" style="1"/>
    <col min="1553" max="1553" width="13.5546875" style="1" customWidth="1"/>
    <col min="1554" max="1806" width="9" style="1"/>
    <col min="1807" max="1807" width="13.5546875" style="1" customWidth="1"/>
    <col min="1808" max="1808" width="9" style="1"/>
    <col min="1809" max="1809" width="13.5546875" style="1" customWidth="1"/>
    <col min="1810" max="2062" width="9" style="1"/>
    <col min="2063" max="2063" width="13.5546875" style="1" customWidth="1"/>
    <col min="2064" max="2064" width="9" style="1"/>
    <col min="2065" max="2065" width="13.5546875" style="1" customWidth="1"/>
    <col min="2066" max="2318" width="9" style="1"/>
    <col min="2319" max="2319" width="13.5546875" style="1" customWidth="1"/>
    <col min="2320" max="2320" width="9" style="1"/>
    <col min="2321" max="2321" width="13.5546875" style="1" customWidth="1"/>
    <col min="2322" max="2574" width="9" style="1"/>
    <col min="2575" max="2575" width="13.5546875" style="1" customWidth="1"/>
    <col min="2576" max="2576" width="9" style="1"/>
    <col min="2577" max="2577" width="13.5546875" style="1" customWidth="1"/>
    <col min="2578" max="2830" width="9" style="1"/>
    <col min="2831" max="2831" width="13.5546875" style="1" customWidth="1"/>
    <col min="2832" max="2832" width="9" style="1"/>
    <col min="2833" max="2833" width="13.5546875" style="1" customWidth="1"/>
    <col min="2834" max="3086" width="9" style="1"/>
    <col min="3087" max="3087" width="13.5546875" style="1" customWidth="1"/>
    <col min="3088" max="3088" width="9" style="1"/>
    <col min="3089" max="3089" width="13.5546875" style="1" customWidth="1"/>
    <col min="3090" max="3342" width="9" style="1"/>
    <col min="3343" max="3343" width="13.5546875" style="1" customWidth="1"/>
    <col min="3344" max="3344" width="9" style="1"/>
    <col min="3345" max="3345" width="13.5546875" style="1" customWidth="1"/>
    <col min="3346" max="3598" width="9" style="1"/>
    <col min="3599" max="3599" width="13.5546875" style="1" customWidth="1"/>
    <col min="3600" max="3600" width="9" style="1"/>
    <col min="3601" max="3601" width="13.5546875" style="1" customWidth="1"/>
    <col min="3602" max="3854" width="9" style="1"/>
    <col min="3855" max="3855" width="13.5546875" style="1" customWidth="1"/>
    <col min="3856" max="3856" width="9" style="1"/>
    <col min="3857" max="3857" width="13.5546875" style="1" customWidth="1"/>
    <col min="3858" max="4110" width="9" style="1"/>
    <col min="4111" max="4111" width="13.5546875" style="1" customWidth="1"/>
    <col min="4112" max="4112" width="9" style="1"/>
    <col min="4113" max="4113" width="13.5546875" style="1" customWidth="1"/>
    <col min="4114" max="4366" width="9" style="1"/>
    <col min="4367" max="4367" width="13.5546875" style="1" customWidth="1"/>
    <col min="4368" max="4368" width="9" style="1"/>
    <col min="4369" max="4369" width="13.5546875" style="1" customWidth="1"/>
    <col min="4370" max="4622" width="9" style="1"/>
    <col min="4623" max="4623" width="13.5546875" style="1" customWidth="1"/>
    <col min="4624" max="4624" width="9" style="1"/>
    <col min="4625" max="4625" width="13.5546875" style="1" customWidth="1"/>
    <col min="4626" max="4878" width="9" style="1"/>
    <col min="4879" max="4879" width="13.5546875" style="1" customWidth="1"/>
    <col min="4880" max="4880" width="9" style="1"/>
    <col min="4881" max="4881" width="13.5546875" style="1" customWidth="1"/>
    <col min="4882" max="5134" width="9" style="1"/>
    <col min="5135" max="5135" width="13.5546875" style="1" customWidth="1"/>
    <col min="5136" max="5136" width="9" style="1"/>
    <col min="5137" max="5137" width="13.5546875" style="1" customWidth="1"/>
    <col min="5138" max="5390" width="9" style="1"/>
    <col min="5391" max="5391" width="13.5546875" style="1" customWidth="1"/>
    <col min="5392" max="5392" width="9" style="1"/>
    <col min="5393" max="5393" width="13.5546875" style="1" customWidth="1"/>
    <col min="5394" max="5646" width="9" style="1"/>
    <col min="5647" max="5647" width="13.5546875" style="1" customWidth="1"/>
    <col min="5648" max="5648" width="9" style="1"/>
    <col min="5649" max="5649" width="13.5546875" style="1" customWidth="1"/>
    <col min="5650" max="5902" width="9" style="1"/>
    <col min="5903" max="5903" width="13.5546875" style="1" customWidth="1"/>
    <col min="5904" max="5904" width="9" style="1"/>
    <col min="5905" max="5905" width="13.5546875" style="1" customWidth="1"/>
    <col min="5906" max="6158" width="9" style="1"/>
    <col min="6159" max="6159" width="13.5546875" style="1" customWidth="1"/>
    <col min="6160" max="6160" width="9" style="1"/>
    <col min="6161" max="6161" width="13.5546875" style="1" customWidth="1"/>
    <col min="6162" max="6414" width="9" style="1"/>
    <col min="6415" max="6415" width="13.5546875" style="1" customWidth="1"/>
    <col min="6416" max="6416" width="9" style="1"/>
    <col min="6417" max="6417" width="13.5546875" style="1" customWidth="1"/>
    <col min="6418" max="6670" width="9" style="1"/>
    <col min="6671" max="6671" width="13.5546875" style="1" customWidth="1"/>
    <col min="6672" max="6672" width="9" style="1"/>
    <col min="6673" max="6673" width="13.5546875" style="1" customWidth="1"/>
    <col min="6674" max="6926" width="9" style="1"/>
    <col min="6927" max="6927" width="13.5546875" style="1" customWidth="1"/>
    <col min="6928" max="6928" width="9" style="1"/>
    <col min="6929" max="6929" width="13.5546875" style="1" customWidth="1"/>
    <col min="6930" max="7182" width="9" style="1"/>
    <col min="7183" max="7183" width="13.5546875" style="1" customWidth="1"/>
    <col min="7184" max="7184" width="9" style="1"/>
    <col min="7185" max="7185" width="13.5546875" style="1" customWidth="1"/>
    <col min="7186" max="7438" width="9" style="1"/>
    <col min="7439" max="7439" width="13.5546875" style="1" customWidth="1"/>
    <col min="7440" max="7440" width="9" style="1"/>
    <col min="7441" max="7441" width="13.5546875" style="1" customWidth="1"/>
    <col min="7442" max="7694" width="9" style="1"/>
    <col min="7695" max="7695" width="13.5546875" style="1" customWidth="1"/>
    <col min="7696" max="7696" width="9" style="1"/>
    <col min="7697" max="7697" width="13.5546875" style="1" customWidth="1"/>
    <col min="7698" max="7950" width="9" style="1"/>
    <col min="7951" max="7951" width="13.5546875" style="1" customWidth="1"/>
    <col min="7952" max="7952" width="9" style="1"/>
    <col min="7953" max="7953" width="13.5546875" style="1" customWidth="1"/>
    <col min="7954" max="8206" width="9" style="1"/>
    <col min="8207" max="8207" width="13.5546875" style="1" customWidth="1"/>
    <col min="8208" max="8208" width="9" style="1"/>
    <col min="8209" max="8209" width="13.5546875" style="1" customWidth="1"/>
    <col min="8210" max="8462" width="9" style="1"/>
    <col min="8463" max="8463" width="13.5546875" style="1" customWidth="1"/>
    <col min="8464" max="8464" width="9" style="1"/>
    <col min="8465" max="8465" width="13.5546875" style="1" customWidth="1"/>
    <col min="8466" max="8718" width="9" style="1"/>
    <col min="8719" max="8719" width="13.5546875" style="1" customWidth="1"/>
    <col min="8720" max="8720" width="9" style="1"/>
    <col min="8721" max="8721" width="13.5546875" style="1" customWidth="1"/>
    <col min="8722" max="8974" width="9" style="1"/>
    <col min="8975" max="8975" width="13.5546875" style="1" customWidth="1"/>
    <col min="8976" max="8976" width="9" style="1"/>
    <col min="8977" max="8977" width="13.5546875" style="1" customWidth="1"/>
    <col min="8978" max="9230" width="9" style="1"/>
    <col min="9231" max="9231" width="13.5546875" style="1" customWidth="1"/>
    <col min="9232" max="9232" width="9" style="1"/>
    <col min="9233" max="9233" width="13.5546875" style="1" customWidth="1"/>
    <col min="9234" max="9486" width="9" style="1"/>
    <col min="9487" max="9487" width="13.5546875" style="1" customWidth="1"/>
    <col min="9488" max="9488" width="9" style="1"/>
    <col min="9489" max="9489" width="13.5546875" style="1" customWidth="1"/>
    <col min="9490" max="9742" width="9" style="1"/>
    <col min="9743" max="9743" width="13.5546875" style="1" customWidth="1"/>
    <col min="9744" max="9744" width="9" style="1"/>
    <col min="9745" max="9745" width="13.5546875" style="1" customWidth="1"/>
    <col min="9746" max="9998" width="9" style="1"/>
    <col min="9999" max="9999" width="13.5546875" style="1" customWidth="1"/>
    <col min="10000" max="10000" width="9" style="1"/>
    <col min="10001" max="10001" width="13.5546875" style="1" customWidth="1"/>
    <col min="10002" max="10254" width="9" style="1"/>
    <col min="10255" max="10255" width="13.5546875" style="1" customWidth="1"/>
    <col min="10256" max="10256" width="9" style="1"/>
    <col min="10257" max="10257" width="13.5546875" style="1" customWidth="1"/>
    <col min="10258" max="10510" width="9" style="1"/>
    <col min="10511" max="10511" width="13.5546875" style="1" customWidth="1"/>
    <col min="10512" max="10512" width="9" style="1"/>
    <col min="10513" max="10513" width="13.5546875" style="1" customWidth="1"/>
    <col min="10514" max="10766" width="9" style="1"/>
    <col min="10767" max="10767" width="13.5546875" style="1" customWidth="1"/>
    <col min="10768" max="10768" width="9" style="1"/>
    <col min="10769" max="10769" width="13.5546875" style="1" customWidth="1"/>
    <col min="10770" max="11022" width="9" style="1"/>
    <col min="11023" max="11023" width="13.5546875" style="1" customWidth="1"/>
    <col min="11024" max="11024" width="9" style="1"/>
    <col min="11025" max="11025" width="13.5546875" style="1" customWidth="1"/>
    <col min="11026" max="11278" width="9" style="1"/>
    <col min="11279" max="11279" width="13.5546875" style="1" customWidth="1"/>
    <col min="11280" max="11280" width="9" style="1"/>
    <col min="11281" max="11281" width="13.5546875" style="1" customWidth="1"/>
    <col min="11282" max="11534" width="9" style="1"/>
    <col min="11535" max="11535" width="13.5546875" style="1" customWidth="1"/>
    <col min="11536" max="11536" width="9" style="1"/>
    <col min="11537" max="11537" width="13.5546875" style="1" customWidth="1"/>
    <col min="11538" max="11790" width="9" style="1"/>
    <col min="11791" max="11791" width="13.5546875" style="1" customWidth="1"/>
    <col min="11792" max="11792" width="9" style="1"/>
    <col min="11793" max="11793" width="13.5546875" style="1" customWidth="1"/>
    <col min="11794" max="12046" width="9" style="1"/>
    <col min="12047" max="12047" width="13.5546875" style="1" customWidth="1"/>
    <col min="12048" max="12048" width="9" style="1"/>
    <col min="12049" max="12049" width="13.5546875" style="1" customWidth="1"/>
    <col min="12050" max="12302" width="9" style="1"/>
    <col min="12303" max="12303" width="13.5546875" style="1" customWidth="1"/>
    <col min="12304" max="12304" width="9" style="1"/>
    <col min="12305" max="12305" width="13.5546875" style="1" customWidth="1"/>
    <col min="12306" max="12558" width="9" style="1"/>
    <col min="12559" max="12559" width="13.5546875" style="1" customWidth="1"/>
    <col min="12560" max="12560" width="9" style="1"/>
    <col min="12561" max="12561" width="13.5546875" style="1" customWidth="1"/>
    <col min="12562" max="12814" width="9" style="1"/>
    <col min="12815" max="12815" width="13.5546875" style="1" customWidth="1"/>
    <col min="12816" max="12816" width="9" style="1"/>
    <col min="12817" max="12817" width="13.5546875" style="1" customWidth="1"/>
    <col min="12818" max="13070" width="9" style="1"/>
    <col min="13071" max="13071" width="13.5546875" style="1" customWidth="1"/>
    <col min="13072" max="13072" width="9" style="1"/>
    <col min="13073" max="13073" width="13.5546875" style="1" customWidth="1"/>
    <col min="13074" max="13326" width="9" style="1"/>
    <col min="13327" max="13327" width="13.5546875" style="1" customWidth="1"/>
    <col min="13328" max="13328" width="9" style="1"/>
    <col min="13329" max="13329" width="13.5546875" style="1" customWidth="1"/>
    <col min="13330" max="13582" width="9" style="1"/>
    <col min="13583" max="13583" width="13.5546875" style="1" customWidth="1"/>
    <col min="13584" max="13584" width="9" style="1"/>
    <col min="13585" max="13585" width="13.5546875" style="1" customWidth="1"/>
    <col min="13586" max="13838" width="9" style="1"/>
    <col min="13839" max="13839" width="13.5546875" style="1" customWidth="1"/>
    <col min="13840" max="13840" width="9" style="1"/>
    <col min="13841" max="13841" width="13.5546875" style="1" customWidth="1"/>
    <col min="13842" max="14094" width="9" style="1"/>
    <col min="14095" max="14095" width="13.5546875" style="1" customWidth="1"/>
    <col min="14096" max="14096" width="9" style="1"/>
    <col min="14097" max="14097" width="13.5546875" style="1" customWidth="1"/>
    <col min="14098" max="14350" width="9" style="1"/>
    <col min="14351" max="14351" width="13.5546875" style="1" customWidth="1"/>
    <col min="14352" max="14352" width="9" style="1"/>
    <col min="14353" max="14353" width="13.5546875" style="1" customWidth="1"/>
    <col min="14354" max="14606" width="9" style="1"/>
    <col min="14607" max="14607" width="13.5546875" style="1" customWidth="1"/>
    <col min="14608" max="14608" width="9" style="1"/>
    <col min="14609" max="14609" width="13.5546875" style="1" customWidth="1"/>
    <col min="14610" max="14862" width="9" style="1"/>
    <col min="14863" max="14863" width="13.5546875" style="1" customWidth="1"/>
    <col min="14864" max="14864" width="9" style="1"/>
    <col min="14865" max="14865" width="13.5546875" style="1" customWidth="1"/>
    <col min="14866" max="15118" width="9" style="1"/>
    <col min="15119" max="15119" width="13.5546875" style="1" customWidth="1"/>
    <col min="15120" max="15120" width="9" style="1"/>
    <col min="15121" max="15121" width="13.5546875" style="1" customWidth="1"/>
    <col min="15122" max="15374" width="9" style="1"/>
    <col min="15375" max="15375" width="13.5546875" style="1" customWidth="1"/>
    <col min="15376" max="15376" width="9" style="1"/>
    <col min="15377" max="15377" width="13.5546875" style="1" customWidth="1"/>
    <col min="15378" max="15630" width="9" style="1"/>
    <col min="15631" max="15631" width="13.5546875" style="1" customWidth="1"/>
    <col min="15632" max="15632" width="9" style="1"/>
    <col min="15633" max="15633" width="13.5546875" style="1" customWidth="1"/>
    <col min="15634" max="15886" width="9" style="1"/>
    <col min="15887" max="15887" width="13.5546875" style="1" customWidth="1"/>
    <col min="15888" max="15888" width="9" style="1"/>
    <col min="15889" max="15889" width="13.5546875" style="1" customWidth="1"/>
    <col min="15890" max="16142" width="9" style="1"/>
    <col min="16143" max="16143" width="13.5546875" style="1" customWidth="1"/>
    <col min="16144" max="16144" width="9" style="1"/>
    <col min="16145" max="16145" width="13.5546875" style="1" customWidth="1"/>
    <col min="16146" max="16383" width="9" style="1"/>
    <col min="16384" max="16384" width="9" style="1" customWidth="1"/>
  </cols>
  <sheetData>
    <row r="1" spans="1:13" ht="21" x14ac:dyDescent="0.3">
      <c r="A1" s="119" t="s">
        <v>197</v>
      </c>
      <c r="B1" s="255"/>
      <c r="C1" s="255"/>
      <c r="D1" s="1"/>
    </row>
    <row r="2" spans="1:13" ht="21" x14ac:dyDescent="0.3">
      <c r="A2" s="119">
        <v>2023</v>
      </c>
      <c r="B2" s="255"/>
      <c r="C2" s="255"/>
      <c r="D2" s="1"/>
    </row>
    <row r="4" spans="1:13" ht="21" x14ac:dyDescent="0.3">
      <c r="B4" s="564" t="s">
        <v>198</v>
      </c>
      <c r="D4" s="120"/>
      <c r="E4" s="120"/>
      <c r="F4" s="120"/>
      <c r="G4" s="120"/>
      <c r="H4" s="120"/>
      <c r="I4" s="120"/>
      <c r="J4" s="120"/>
      <c r="K4" s="120"/>
      <c r="L4" s="120"/>
      <c r="M4" s="118"/>
    </row>
    <row r="5" spans="1:13" ht="14.4" thickBot="1" x14ac:dyDescent="0.35">
      <c r="B5" s="120"/>
      <c r="C5" s="120"/>
      <c r="D5" s="120"/>
      <c r="E5" s="120"/>
      <c r="F5" s="120"/>
      <c r="G5" s="120"/>
      <c r="H5" s="120"/>
      <c r="I5" s="120"/>
      <c r="J5" s="120"/>
      <c r="K5" s="120"/>
      <c r="L5" s="120"/>
      <c r="M5" s="118"/>
    </row>
    <row r="6" spans="1:13" ht="13.8" x14ac:dyDescent="0.25">
      <c r="B6" s="1272" t="s">
        <v>199</v>
      </c>
      <c r="C6" s="1274" t="s">
        <v>200</v>
      </c>
      <c r="D6" s="1276" t="s">
        <v>30</v>
      </c>
      <c r="E6" s="1277"/>
      <c r="F6" s="1277"/>
      <c r="G6" s="1277"/>
      <c r="H6" s="1276" t="s">
        <v>29</v>
      </c>
      <c r="I6" s="1285"/>
      <c r="J6" s="247"/>
      <c r="K6" s="247"/>
      <c r="L6" s="118"/>
    </row>
    <row r="7" spans="1:13" ht="13.8" x14ac:dyDescent="0.25">
      <c r="B7" s="1273"/>
      <c r="C7" s="1275"/>
      <c r="D7" s="1282" t="s">
        <v>92</v>
      </c>
      <c r="E7" s="1282"/>
      <c r="F7" s="1282"/>
      <c r="G7" s="1283" t="s">
        <v>201</v>
      </c>
      <c r="H7" s="1286" t="s">
        <v>202</v>
      </c>
      <c r="I7" s="1287"/>
      <c r="J7" s="118"/>
    </row>
    <row r="8" spans="1:13" ht="12.9" customHeight="1" x14ac:dyDescent="0.25">
      <c r="B8" s="1273"/>
      <c r="C8" s="1275"/>
      <c r="D8" s="868" t="s">
        <v>203</v>
      </c>
      <c r="E8" s="868" t="s">
        <v>204</v>
      </c>
      <c r="F8" s="868" t="s">
        <v>96</v>
      </c>
      <c r="G8" s="1284"/>
      <c r="H8" s="869" t="s">
        <v>92</v>
      </c>
      <c r="I8" s="870" t="s">
        <v>93</v>
      </c>
      <c r="J8" s="118"/>
    </row>
    <row r="9" spans="1:13" ht="12.6" customHeight="1" x14ac:dyDescent="0.3">
      <c r="A9" s="682" t="s">
        <v>205</v>
      </c>
      <c r="B9" s="5" t="s">
        <v>103</v>
      </c>
      <c r="C9" s="871" t="s">
        <v>206</v>
      </c>
      <c r="D9" s="872">
        <v>37709973.795000069</v>
      </c>
      <c r="E9" s="872">
        <v>205448699.26600039</v>
      </c>
      <c r="F9" s="872">
        <v>243158673.0610007</v>
      </c>
      <c r="G9" s="872">
        <v>322023592.67499995</v>
      </c>
      <c r="H9" s="872">
        <v>651400249.75527298</v>
      </c>
      <c r="I9" s="873">
        <v>227695806.78680789</v>
      </c>
      <c r="J9" s="118"/>
    </row>
    <row r="10" spans="1:13" ht="12.6" customHeight="1" x14ac:dyDescent="0.3">
      <c r="B10" s="19" t="s">
        <v>104</v>
      </c>
      <c r="C10" s="874" t="s">
        <v>207</v>
      </c>
      <c r="D10" s="669">
        <v>148532102.1039997</v>
      </c>
      <c r="E10" s="875">
        <v>437769665.44600666</v>
      </c>
      <c r="F10" s="875">
        <v>586301767.55000925</v>
      </c>
      <c r="G10" s="875">
        <v>456129018.3291952</v>
      </c>
      <c r="H10" s="669">
        <v>1837556413.69719</v>
      </c>
      <c r="I10" s="479">
        <v>480477565.75420791</v>
      </c>
      <c r="J10" s="118"/>
    </row>
    <row r="11" spans="1:13" ht="13.8" x14ac:dyDescent="0.3">
      <c r="B11" s="19" t="s">
        <v>105</v>
      </c>
      <c r="C11" s="874" t="s">
        <v>208</v>
      </c>
      <c r="D11" s="669">
        <v>36226738.775999971</v>
      </c>
      <c r="E11" s="875">
        <v>300136312.96900123</v>
      </c>
      <c r="F11" s="875">
        <v>336363051.74500149</v>
      </c>
      <c r="G11" s="875">
        <v>397225152.11799991</v>
      </c>
      <c r="H11" s="669">
        <v>1011298218.1246719</v>
      </c>
      <c r="I11" s="479">
        <v>663320523.01533413</v>
      </c>
      <c r="J11" s="118"/>
    </row>
    <row r="12" spans="1:13" ht="13.8" x14ac:dyDescent="0.3">
      <c r="B12" s="19" t="s">
        <v>106</v>
      </c>
      <c r="C12" s="874" t="s">
        <v>209</v>
      </c>
      <c r="D12" s="669">
        <v>65364704.45909775</v>
      </c>
      <c r="E12" s="875">
        <v>337429954.22099799</v>
      </c>
      <c r="F12" s="875">
        <v>402794658.68009591</v>
      </c>
      <c r="G12" s="875">
        <v>717664264.5250001</v>
      </c>
      <c r="H12" s="669">
        <v>1299926282.3911829</v>
      </c>
      <c r="I12" s="479">
        <v>548522353.07861865</v>
      </c>
      <c r="J12" s="118"/>
    </row>
    <row r="13" spans="1:13" ht="13.8" x14ac:dyDescent="0.3">
      <c r="B13" s="19" t="s">
        <v>107</v>
      </c>
      <c r="C13" s="874" t="s">
        <v>210</v>
      </c>
      <c r="D13" s="669">
        <v>61566908.797999896</v>
      </c>
      <c r="E13" s="875">
        <v>431147604.52399927</v>
      </c>
      <c r="F13" s="875">
        <v>492714513.32200164</v>
      </c>
      <c r="G13" s="875">
        <v>358084974.86900002</v>
      </c>
      <c r="H13" s="669">
        <v>1679765970.6638019</v>
      </c>
      <c r="I13" s="479">
        <v>293666226.59579349</v>
      </c>
      <c r="J13" s="118"/>
    </row>
    <row r="14" spans="1:13" ht="13.8" x14ac:dyDescent="0.3">
      <c r="B14" s="19" t="s">
        <v>108</v>
      </c>
      <c r="C14" s="874" t="s">
        <v>211</v>
      </c>
      <c r="D14" s="669">
        <v>27054709.13299996</v>
      </c>
      <c r="E14" s="875">
        <v>290732838.51299787</v>
      </c>
      <c r="F14" s="875">
        <v>317787547.64599729</v>
      </c>
      <c r="G14" s="875">
        <v>1151352653.675</v>
      </c>
      <c r="H14" s="669">
        <v>799371663.63720572</v>
      </c>
      <c r="I14" s="479">
        <v>1292359215.3665249</v>
      </c>
      <c r="J14" s="118"/>
    </row>
    <row r="15" spans="1:13" ht="13.8" x14ac:dyDescent="0.3">
      <c r="B15" s="19" t="s">
        <v>109</v>
      </c>
      <c r="C15" s="874" t="s">
        <v>212</v>
      </c>
      <c r="D15" s="669">
        <v>4199933.7709999979</v>
      </c>
      <c r="E15" s="875">
        <v>21379251.947000001</v>
      </c>
      <c r="F15" s="875">
        <v>25579185.71800001</v>
      </c>
      <c r="G15" s="875">
        <v>1573440692.059</v>
      </c>
      <c r="H15" s="669">
        <v>24092856.42555324</v>
      </c>
      <c r="I15" s="479">
        <v>654907798.28624368</v>
      </c>
      <c r="J15" s="118"/>
    </row>
    <row r="16" spans="1:13" ht="13.8" x14ac:dyDescent="0.3">
      <c r="B16" s="19" t="s">
        <v>110</v>
      </c>
      <c r="C16" s="874" t="s">
        <v>213</v>
      </c>
      <c r="D16" s="669">
        <v>92287585.358999997</v>
      </c>
      <c r="E16" s="875">
        <v>447762554.35099608</v>
      </c>
      <c r="F16" s="875">
        <v>540050139.70999944</v>
      </c>
      <c r="G16" s="875">
        <v>565409792.62199998</v>
      </c>
      <c r="H16" s="669">
        <v>1727173797.3810301</v>
      </c>
      <c r="I16" s="479">
        <v>431716905.58326042</v>
      </c>
      <c r="J16" s="118"/>
    </row>
    <row r="17" spans="1:10" ht="13.8" x14ac:dyDescent="0.3">
      <c r="B17" s="19" t="s">
        <v>111</v>
      </c>
      <c r="C17" s="874" t="s">
        <v>214</v>
      </c>
      <c r="D17" s="669">
        <v>43934222.660000011</v>
      </c>
      <c r="E17" s="875">
        <v>409726559.72000581</v>
      </c>
      <c r="F17" s="875">
        <v>453660782.38000739</v>
      </c>
      <c r="G17" s="875">
        <v>908953528.22600067</v>
      </c>
      <c r="H17" s="669">
        <v>1401572485.727293</v>
      </c>
      <c r="I17" s="479">
        <v>619999968.73061502</v>
      </c>
      <c r="J17" s="118"/>
    </row>
    <row r="18" spans="1:10" ht="13.8" x14ac:dyDescent="0.3">
      <c r="A18" s="682" t="s">
        <v>205</v>
      </c>
      <c r="B18" s="5" t="s">
        <v>112</v>
      </c>
      <c r="C18" s="874" t="s">
        <v>215</v>
      </c>
      <c r="D18" s="669">
        <v>117776341.5409991</v>
      </c>
      <c r="E18" s="875">
        <v>319618347.95499641</v>
      </c>
      <c r="F18" s="875">
        <v>437394689.49600267</v>
      </c>
      <c r="G18" s="875">
        <v>479181770.94099981</v>
      </c>
      <c r="H18" s="669">
        <v>1318932002.554898</v>
      </c>
      <c r="I18" s="479">
        <v>469410203.37339556</v>
      </c>
      <c r="J18" s="118"/>
    </row>
    <row r="19" spans="1:10" ht="13.8" x14ac:dyDescent="0.3">
      <c r="B19" s="19" t="s">
        <v>113</v>
      </c>
      <c r="C19" s="874" t="s">
        <v>216</v>
      </c>
      <c r="D19" s="669">
        <v>27643472.693999991</v>
      </c>
      <c r="E19" s="875">
        <v>324349652.42900515</v>
      </c>
      <c r="F19" s="875">
        <v>351993125.12300414</v>
      </c>
      <c r="G19" s="875">
        <v>431206389.7470001</v>
      </c>
      <c r="H19" s="669">
        <v>952799207.2998687</v>
      </c>
      <c r="I19" s="479">
        <v>497251427.92118365</v>
      </c>
      <c r="J19" s="118"/>
    </row>
    <row r="20" spans="1:10" ht="13.8" x14ac:dyDescent="0.3">
      <c r="B20" s="19" t="s">
        <v>114</v>
      </c>
      <c r="C20" s="874" t="s">
        <v>217</v>
      </c>
      <c r="D20" s="669">
        <v>30725395.56699999</v>
      </c>
      <c r="E20" s="875">
        <v>297056375.59000158</v>
      </c>
      <c r="F20" s="875">
        <v>327781771.15699959</v>
      </c>
      <c r="G20" s="875">
        <v>523555518.83000046</v>
      </c>
      <c r="H20" s="669">
        <v>815239899.68554246</v>
      </c>
      <c r="I20" s="479">
        <v>354303440.47446656</v>
      </c>
      <c r="J20" s="118"/>
    </row>
    <row r="21" spans="1:10" ht="13.8" x14ac:dyDescent="0.3">
      <c r="B21" s="19" t="s">
        <v>115</v>
      </c>
      <c r="C21" s="874" t="s">
        <v>218</v>
      </c>
      <c r="D21" s="669">
        <v>25592446.91399999</v>
      </c>
      <c r="E21" s="875">
        <v>241091609.0600023</v>
      </c>
      <c r="F21" s="875">
        <v>266684055.97400272</v>
      </c>
      <c r="G21" s="875">
        <v>611578418.20900035</v>
      </c>
      <c r="H21" s="669">
        <v>732644314.37773526</v>
      </c>
      <c r="I21" s="479">
        <v>517368752.2942878</v>
      </c>
      <c r="J21" s="118"/>
    </row>
    <row r="22" spans="1:10" ht="13.8" x14ac:dyDescent="0.3">
      <c r="B22" s="19" t="s">
        <v>116</v>
      </c>
      <c r="C22" s="874" t="s">
        <v>219</v>
      </c>
      <c r="D22" s="669">
        <v>68653617.569999754</v>
      </c>
      <c r="E22" s="875">
        <v>264431396.03399783</v>
      </c>
      <c r="F22" s="875">
        <v>333085013.60399598</v>
      </c>
      <c r="G22" s="875">
        <v>398366027.9969998</v>
      </c>
      <c r="H22" s="669">
        <v>1047647928.2967529</v>
      </c>
      <c r="I22" s="479">
        <v>337955039.72109324</v>
      </c>
      <c r="J22" s="118"/>
    </row>
    <row r="23" spans="1:10" ht="13.8" x14ac:dyDescent="0.3">
      <c r="B23" s="19" t="s">
        <v>117</v>
      </c>
      <c r="C23" s="874" t="s">
        <v>220</v>
      </c>
      <c r="D23" s="669">
        <v>74387272.766000062</v>
      </c>
      <c r="E23" s="875">
        <v>248876365.25099799</v>
      </c>
      <c r="F23" s="875">
        <v>323263638.0170005</v>
      </c>
      <c r="G23" s="875">
        <v>191347987.03800002</v>
      </c>
      <c r="H23" s="669">
        <v>1206593808.5435989</v>
      </c>
      <c r="I23" s="479">
        <v>213396859.48989859</v>
      </c>
      <c r="J23" s="118"/>
    </row>
    <row r="24" spans="1:10" ht="13.8" x14ac:dyDescent="0.3">
      <c r="B24" s="19" t="s">
        <v>118</v>
      </c>
      <c r="C24" s="874" t="s">
        <v>221</v>
      </c>
      <c r="D24" s="669">
        <v>64163156.776999928</v>
      </c>
      <c r="E24" s="875">
        <v>297060749.2569983</v>
      </c>
      <c r="F24" s="875">
        <v>361223906.03400034</v>
      </c>
      <c r="G24" s="875">
        <v>352058960.12300009</v>
      </c>
      <c r="H24" s="669">
        <v>1112099123.661701</v>
      </c>
      <c r="I24" s="479">
        <v>194856155.38580522</v>
      </c>
      <c r="J24" s="118"/>
    </row>
    <row r="25" spans="1:10" ht="13.8" x14ac:dyDescent="0.3">
      <c r="B25" s="19" t="s">
        <v>119</v>
      </c>
      <c r="C25" s="874" t="s">
        <v>222</v>
      </c>
      <c r="D25" s="669">
        <v>58660100.239999965</v>
      </c>
      <c r="E25" s="875">
        <v>341083344.52119428</v>
      </c>
      <c r="F25" s="875">
        <v>399743444.76119709</v>
      </c>
      <c r="G25" s="875">
        <v>1328106239.757</v>
      </c>
      <c r="H25" s="669">
        <v>1223668249.8293459</v>
      </c>
      <c r="I25" s="479">
        <v>621712442.94042921</v>
      </c>
      <c r="J25" s="118"/>
    </row>
    <row r="26" spans="1:10" ht="13.8" x14ac:dyDescent="0.3">
      <c r="B26" s="19" t="s">
        <v>120</v>
      </c>
      <c r="C26" s="874" t="s">
        <v>223</v>
      </c>
      <c r="D26" s="669">
        <v>43988310.270999968</v>
      </c>
      <c r="E26" s="875">
        <v>320295608.66200054</v>
      </c>
      <c r="F26" s="875">
        <v>364283918.93300021</v>
      </c>
      <c r="G26" s="875">
        <v>802957629.30300069</v>
      </c>
      <c r="H26" s="669">
        <v>992464306.570158</v>
      </c>
      <c r="I26" s="479">
        <v>499479289.38660669</v>
      </c>
      <c r="J26" s="118"/>
    </row>
    <row r="27" spans="1:10" ht="13.8" x14ac:dyDescent="0.3">
      <c r="A27" s="682" t="s">
        <v>205</v>
      </c>
      <c r="B27" s="5" t="s">
        <v>121</v>
      </c>
      <c r="C27" s="874" t="s">
        <v>224</v>
      </c>
      <c r="D27" s="669">
        <v>29473671.81299996</v>
      </c>
      <c r="E27" s="875">
        <v>257576232.62500113</v>
      </c>
      <c r="F27" s="875">
        <v>287049904.43800008</v>
      </c>
      <c r="G27" s="875">
        <v>674786689.98100066</v>
      </c>
      <c r="H27" s="669">
        <v>743130129.69502473</v>
      </c>
      <c r="I27" s="479">
        <v>572754129.11321926</v>
      </c>
      <c r="J27" s="118"/>
    </row>
    <row r="28" spans="1:10" ht="13.8" x14ac:dyDescent="0.3">
      <c r="B28" s="19" t="s">
        <v>122</v>
      </c>
      <c r="C28" s="874" t="s">
        <v>225</v>
      </c>
      <c r="D28" s="669">
        <v>29239111.570000041</v>
      </c>
      <c r="E28" s="875">
        <v>292290234.171</v>
      </c>
      <c r="F28" s="875">
        <v>321529345.74100161</v>
      </c>
      <c r="G28" s="875">
        <v>900138868.69899976</v>
      </c>
      <c r="H28" s="669">
        <v>750630628.98613203</v>
      </c>
      <c r="I28" s="479">
        <v>761852044.59327626</v>
      </c>
      <c r="J28" s="118"/>
    </row>
    <row r="29" spans="1:10" ht="13.8" x14ac:dyDescent="0.3">
      <c r="B29" s="19" t="s">
        <v>226</v>
      </c>
      <c r="C29" s="874" t="s">
        <v>227</v>
      </c>
      <c r="D29" s="669">
        <v>38266858.5169999</v>
      </c>
      <c r="E29" s="875">
        <v>200456380.66299871</v>
      </c>
      <c r="F29" s="875">
        <v>238723239.1799989</v>
      </c>
      <c r="G29" s="875">
        <v>285057536.94380462</v>
      </c>
      <c r="H29" s="669">
        <v>739311132.41558456</v>
      </c>
      <c r="I29" s="479">
        <v>213489526.4722034</v>
      </c>
      <c r="J29" s="118"/>
    </row>
    <row r="30" spans="1:10" ht="13.8" x14ac:dyDescent="0.3">
      <c r="B30" s="19" t="s">
        <v>124</v>
      </c>
      <c r="C30" s="874" t="s">
        <v>228</v>
      </c>
      <c r="D30" s="669">
        <v>38324076.034000047</v>
      </c>
      <c r="E30" s="875">
        <v>365726573.2780031</v>
      </c>
      <c r="F30" s="875">
        <v>404050649.31200397</v>
      </c>
      <c r="G30" s="875">
        <v>555068611.32309794</v>
      </c>
      <c r="H30" s="669">
        <v>1140446035.2754512</v>
      </c>
      <c r="I30" s="479">
        <v>770150385.13599813</v>
      </c>
      <c r="J30" s="118"/>
    </row>
    <row r="31" spans="1:10" ht="13.8" x14ac:dyDescent="0.3">
      <c r="B31" s="19" t="s">
        <v>125</v>
      </c>
      <c r="C31" s="874" t="s">
        <v>229</v>
      </c>
      <c r="D31" s="669">
        <v>40360105.7150001</v>
      </c>
      <c r="E31" s="875">
        <v>342716639.34799987</v>
      </c>
      <c r="F31" s="875">
        <v>383076745.0630005</v>
      </c>
      <c r="G31" s="875">
        <v>268144943.604</v>
      </c>
      <c r="H31" s="669">
        <v>1105303359.4757409</v>
      </c>
      <c r="I31" s="479">
        <v>345444018.37888759</v>
      </c>
      <c r="J31" s="118"/>
    </row>
    <row r="32" spans="1:10" ht="13.8" x14ac:dyDescent="0.3">
      <c r="B32" s="19" t="s">
        <v>126</v>
      </c>
      <c r="C32" s="874" t="s">
        <v>230</v>
      </c>
      <c r="D32" s="669">
        <v>26825920.407999992</v>
      </c>
      <c r="E32" s="875">
        <v>262042506.46699888</v>
      </c>
      <c r="F32" s="875">
        <v>288868426.8749975</v>
      </c>
      <c r="G32" s="875">
        <v>433710316.0480001</v>
      </c>
      <c r="H32" s="669">
        <v>901970475.94609499</v>
      </c>
      <c r="I32" s="479">
        <v>279116381.4887954</v>
      </c>
      <c r="J32" s="118"/>
    </row>
    <row r="33" spans="1:16" ht="13.8" x14ac:dyDescent="0.3">
      <c r="B33" s="19" t="s">
        <v>127</v>
      </c>
      <c r="C33" s="874" t="s">
        <v>231</v>
      </c>
      <c r="D33" s="669">
        <v>36154462.642048828</v>
      </c>
      <c r="E33" s="875">
        <v>336912158.97801012</v>
      </c>
      <c r="F33" s="875">
        <v>373066621.62005788</v>
      </c>
      <c r="G33" s="875">
        <v>962836964.58999979</v>
      </c>
      <c r="H33" s="669">
        <v>926281756.86484456</v>
      </c>
      <c r="I33" s="479">
        <v>983212202.79863143</v>
      </c>
      <c r="J33" s="118"/>
    </row>
    <row r="34" spans="1:16" ht="13.8" x14ac:dyDescent="0.3">
      <c r="B34" s="19" t="s">
        <v>128</v>
      </c>
      <c r="C34" s="874" t="s">
        <v>232</v>
      </c>
      <c r="D34" s="669">
        <v>35316456.238781109</v>
      </c>
      <c r="E34" s="875">
        <v>334983412.94499683</v>
      </c>
      <c r="F34" s="875">
        <v>370299869.18377769</v>
      </c>
      <c r="G34" s="875">
        <v>225865681.9920001</v>
      </c>
      <c r="H34" s="669">
        <v>1225135270.4236519</v>
      </c>
      <c r="I34" s="479">
        <v>214667703.48492429</v>
      </c>
      <c r="J34" s="118"/>
    </row>
    <row r="35" spans="1:16" ht="13.8" x14ac:dyDescent="0.3">
      <c r="B35" s="396" t="s">
        <v>233</v>
      </c>
      <c r="C35" s="874" t="s">
        <v>234</v>
      </c>
      <c r="D35" s="669">
        <v>40340862.046999939</v>
      </c>
      <c r="E35" s="875">
        <v>260051316.9929997</v>
      </c>
      <c r="F35" s="875">
        <v>300392179.03999996</v>
      </c>
      <c r="G35" s="875">
        <v>280582898.88600016</v>
      </c>
      <c r="H35" s="669">
        <v>978894280.13808846</v>
      </c>
      <c r="I35" s="479">
        <v>265176286.85767567</v>
      </c>
      <c r="J35" s="118"/>
    </row>
    <row r="36" spans="1:16" ht="13.8" x14ac:dyDescent="0.3">
      <c r="B36" s="19" t="s">
        <v>130</v>
      </c>
      <c r="C36" s="874" t="s">
        <v>235</v>
      </c>
      <c r="D36" s="669">
        <v>63508819.896999955</v>
      </c>
      <c r="E36" s="875">
        <v>351657024.14600086</v>
      </c>
      <c r="F36" s="875">
        <v>415165844.04299802</v>
      </c>
      <c r="G36" s="875">
        <v>818873714.15500081</v>
      </c>
      <c r="H36" s="669">
        <v>866283661.45322013</v>
      </c>
      <c r="I36" s="479">
        <v>829809975.33319509</v>
      </c>
      <c r="J36" s="118"/>
    </row>
    <row r="37" spans="1:16" ht="13.8" x14ac:dyDescent="0.3">
      <c r="B37" s="19" t="s">
        <v>131</v>
      </c>
      <c r="C37" s="874" t="s">
        <v>236</v>
      </c>
      <c r="D37" s="669">
        <v>59396644.320000023</v>
      </c>
      <c r="E37" s="875">
        <v>228295440.41699812</v>
      </c>
      <c r="F37" s="875">
        <v>287692084.73699832</v>
      </c>
      <c r="G37" s="875">
        <v>330205638.6929999</v>
      </c>
      <c r="H37" s="669">
        <v>861381822.2690407</v>
      </c>
      <c r="I37" s="479">
        <v>252785561.53018841</v>
      </c>
      <c r="J37" s="118"/>
    </row>
    <row r="38" spans="1:16" ht="13.8" x14ac:dyDescent="0.3">
      <c r="B38" s="19" t="s">
        <v>132</v>
      </c>
      <c r="C38" s="874" t="s">
        <v>237</v>
      </c>
      <c r="D38" s="669">
        <v>73771798.421000123</v>
      </c>
      <c r="E38" s="875">
        <v>349156544.38000619</v>
      </c>
      <c r="F38" s="875">
        <v>422928342.80100644</v>
      </c>
      <c r="G38" s="875">
        <v>1914032563.9879999</v>
      </c>
      <c r="H38" s="669">
        <v>595836553.4634403</v>
      </c>
      <c r="I38" s="479">
        <v>812046059.84540462</v>
      </c>
      <c r="J38" s="118"/>
    </row>
    <row r="39" spans="1:16" ht="13.8" x14ac:dyDescent="0.3">
      <c r="B39" s="19" t="s">
        <v>133</v>
      </c>
      <c r="C39" s="874" t="s">
        <v>238</v>
      </c>
      <c r="D39" s="669">
        <v>38665357.189000048</v>
      </c>
      <c r="E39" s="875">
        <v>279253849.98599827</v>
      </c>
      <c r="F39" s="875">
        <v>317919207.17499816</v>
      </c>
      <c r="G39" s="875">
        <v>296796124.21099979</v>
      </c>
      <c r="H39" s="669">
        <v>986882410.17023408</v>
      </c>
      <c r="I39" s="479">
        <v>275117282.62143999</v>
      </c>
      <c r="J39" s="118"/>
    </row>
    <row r="40" spans="1:16" ht="13.8" x14ac:dyDescent="0.3">
      <c r="B40" s="19" t="s">
        <v>134</v>
      </c>
      <c r="C40" s="874" t="s">
        <v>239</v>
      </c>
      <c r="D40" s="669">
        <v>49139867.194000132</v>
      </c>
      <c r="E40" s="875">
        <v>423763648.59499973</v>
      </c>
      <c r="F40" s="875">
        <v>472903515.78900284</v>
      </c>
      <c r="G40" s="875">
        <v>478210740.63200098</v>
      </c>
      <c r="H40" s="669">
        <v>1263201930.7032831</v>
      </c>
      <c r="I40" s="479">
        <v>633659865.20575571</v>
      </c>
      <c r="J40" s="118"/>
    </row>
    <row r="41" spans="1:16" ht="13.8" x14ac:dyDescent="0.3">
      <c r="B41" s="19" t="s">
        <v>135</v>
      </c>
      <c r="C41" s="874" t="s">
        <v>240</v>
      </c>
      <c r="D41" s="669">
        <v>51789376.499999955</v>
      </c>
      <c r="E41" s="875">
        <v>400809553.76300299</v>
      </c>
      <c r="F41" s="875">
        <v>452598930.26300049</v>
      </c>
      <c r="G41" s="875">
        <v>2748745155.9859991</v>
      </c>
      <c r="H41" s="669">
        <v>820044194.29254627</v>
      </c>
      <c r="I41" s="479">
        <v>2091507311.9336381</v>
      </c>
      <c r="J41" s="118"/>
    </row>
    <row r="42" spans="1:16" ht="14.4" thickBot="1" x14ac:dyDescent="0.35">
      <c r="B42" s="24" t="s">
        <v>241</v>
      </c>
      <c r="C42" s="876"/>
      <c r="D42" s="877"/>
      <c r="E42" s="877"/>
      <c r="F42" s="877"/>
      <c r="G42" s="878"/>
      <c r="H42" s="878"/>
      <c r="I42" s="670">
        <v>53232658</v>
      </c>
    </row>
    <row r="43" spans="1:16" ht="14.4" thickBot="1" x14ac:dyDescent="0.35">
      <c r="B43" s="21" t="s">
        <v>96</v>
      </c>
      <c r="C43" s="397"/>
      <c r="D43" s="405">
        <f>SUM(D9:D41)</f>
        <v>1679040381.7009268</v>
      </c>
      <c r="E43" s="405">
        <f>SUM(E9:E41)</f>
        <v>10221088406.471214</v>
      </c>
      <c r="F43" s="405">
        <f>SUM(F9:F41)</f>
        <v>11900128788.172157</v>
      </c>
      <c r="G43" s="405">
        <f>SUM(G9:G41)</f>
        <v>22741699060.775097</v>
      </c>
      <c r="H43" s="406">
        <f>SUM(H9:H41)</f>
        <v>33738980420.195183</v>
      </c>
      <c r="I43" s="391">
        <f>SUM(I9:I42)</f>
        <v>18272421366.977806</v>
      </c>
      <c r="J43" s="118"/>
      <c r="L43" s="118"/>
    </row>
    <row r="44" spans="1:16" ht="13.8" x14ac:dyDescent="0.3">
      <c r="B44" s="125"/>
      <c r="C44" s="126"/>
      <c r="D44" s="126"/>
      <c r="E44" s="126"/>
      <c r="F44" s="126"/>
      <c r="G44" s="127"/>
      <c r="H44" s="455"/>
      <c r="I44" s="456"/>
      <c r="J44" s="128"/>
      <c r="K44" s="128"/>
      <c r="L44" s="128"/>
      <c r="M44" s="118"/>
    </row>
    <row r="45" spans="1:16" ht="13.8" x14ac:dyDescent="0.3">
      <c r="A45" s="682" t="s">
        <v>205</v>
      </c>
      <c r="B45" s="683" t="s">
        <v>242</v>
      </c>
      <c r="C45" s="120"/>
      <c r="D45" s="120"/>
      <c r="E45" s="129"/>
      <c r="F45" s="129"/>
      <c r="G45" s="129"/>
      <c r="H45" s="129"/>
      <c r="I45" s="129"/>
      <c r="J45" s="130"/>
      <c r="K45" s="129"/>
      <c r="L45" s="131"/>
    </row>
    <row r="46" spans="1:16" ht="13.8" x14ac:dyDescent="0.3">
      <c r="B46" s="120"/>
      <c r="C46" s="120"/>
      <c r="D46" s="120"/>
      <c r="E46" s="129"/>
      <c r="F46" s="129"/>
      <c r="G46" s="129"/>
      <c r="H46" s="129"/>
      <c r="I46" s="129"/>
      <c r="J46" s="129"/>
      <c r="K46" s="129"/>
      <c r="L46" s="131"/>
    </row>
    <row r="47" spans="1:16" ht="21" x14ac:dyDescent="0.3">
      <c r="B47" s="564" t="s">
        <v>243</v>
      </c>
      <c r="D47" s="120"/>
      <c r="E47" s="123"/>
      <c r="F47" s="123"/>
      <c r="G47" s="123"/>
      <c r="H47" s="123"/>
      <c r="I47" s="123"/>
      <c r="J47" s="123"/>
      <c r="K47" s="132"/>
      <c r="L47" s="123"/>
      <c r="M47" s="123"/>
      <c r="N47" s="123"/>
      <c r="O47" s="123"/>
      <c r="P47" s="123"/>
    </row>
    <row r="48" spans="1:16" ht="14.4" thickBot="1" x14ac:dyDescent="0.35">
      <c r="B48" s="123"/>
      <c r="C48" s="124"/>
      <c r="D48" s="140"/>
      <c r="E48" s="124"/>
      <c r="F48" s="124"/>
      <c r="G48" s="124"/>
      <c r="H48" s="124"/>
      <c r="I48" s="124"/>
      <c r="J48" s="124"/>
      <c r="K48" s="133"/>
      <c r="L48" s="124"/>
      <c r="M48" s="124"/>
      <c r="N48" s="124"/>
      <c r="O48" s="123"/>
      <c r="P48" s="123"/>
    </row>
    <row r="49" spans="2:16" ht="13.5" customHeight="1" thickBot="1" x14ac:dyDescent="0.35">
      <c r="B49" s="1278" t="s">
        <v>199</v>
      </c>
      <c r="C49" s="1280" t="s">
        <v>200</v>
      </c>
      <c r="D49" s="1276" t="s">
        <v>244</v>
      </c>
      <c r="E49" s="1277"/>
      <c r="F49" s="1277"/>
      <c r="G49" s="1277"/>
      <c r="H49" s="1277"/>
      <c r="I49" s="1285"/>
      <c r="J49" s="1288" t="s">
        <v>245</v>
      </c>
      <c r="K49" s="1277"/>
      <c r="L49" s="1277"/>
      <c r="M49" s="1277"/>
      <c r="N49" s="1277"/>
      <c r="O49" s="1285"/>
      <c r="P49" s="123"/>
    </row>
    <row r="50" spans="2:16" ht="13.5" customHeight="1" thickBot="1" x14ac:dyDescent="0.35">
      <c r="B50" s="1278"/>
      <c r="C50" s="1280"/>
      <c r="D50" s="1300" t="s">
        <v>92</v>
      </c>
      <c r="E50" s="1302"/>
      <c r="F50" s="1301"/>
      <c r="G50" s="1300" t="s">
        <v>201</v>
      </c>
      <c r="H50" s="1302"/>
      <c r="I50" s="1303"/>
      <c r="J50" s="1304" t="s">
        <v>92</v>
      </c>
      <c r="K50" s="1302"/>
      <c r="L50" s="1301"/>
      <c r="M50" s="1300" t="s">
        <v>201</v>
      </c>
      <c r="N50" s="1302"/>
      <c r="O50" s="1303"/>
      <c r="P50" s="124"/>
    </row>
    <row r="51" spans="2:16" ht="28.2" thickBot="1" x14ac:dyDescent="0.35">
      <c r="B51" s="1279"/>
      <c r="C51" s="1281"/>
      <c r="D51" s="879" t="s">
        <v>32</v>
      </c>
      <c r="E51" s="879" t="s">
        <v>33</v>
      </c>
      <c r="F51" s="868" t="s">
        <v>246</v>
      </c>
      <c r="G51" s="880" t="s">
        <v>32</v>
      </c>
      <c r="H51" s="881" t="s">
        <v>33</v>
      </c>
      <c r="I51" s="882" t="s">
        <v>246</v>
      </c>
      <c r="J51" s="883" t="s">
        <v>32</v>
      </c>
      <c r="K51" s="879" t="s">
        <v>33</v>
      </c>
      <c r="L51" s="879" t="s">
        <v>246</v>
      </c>
      <c r="M51" s="884" t="s">
        <v>32</v>
      </c>
      <c r="N51" s="885" t="s">
        <v>33</v>
      </c>
      <c r="O51" s="414" t="s">
        <v>246</v>
      </c>
      <c r="P51" s="124"/>
    </row>
    <row r="52" spans="2:16" ht="13.8" x14ac:dyDescent="0.3">
      <c r="B52" s="19" t="s">
        <v>103</v>
      </c>
      <c r="C52" s="886" t="s">
        <v>206</v>
      </c>
      <c r="D52" s="887">
        <f>K93+M93</f>
        <v>0.96959659094597306</v>
      </c>
      <c r="E52" s="887">
        <f>E93</f>
        <v>0.219302588755038</v>
      </c>
      <c r="F52" s="476">
        <f>O93</f>
        <v>2.5754690902014601</v>
      </c>
      <c r="G52" s="20">
        <f>J93+L93</f>
        <v>0.24954374231366294</v>
      </c>
      <c r="H52" s="888">
        <f>D93+G93+H93+I93</f>
        <v>14.755876705979794</v>
      </c>
      <c r="I52" s="477">
        <f>N93</f>
        <v>0.80366089174549504</v>
      </c>
      <c r="J52" s="478">
        <f t="shared" ref="J52:J84" si="0">D52*kWh_per_mtoe/1000</f>
        <v>11276408.352701666</v>
      </c>
      <c r="K52" s="889">
        <f t="shared" ref="K52:K84" si="1">E52*kWh_per_mtoe/1000</f>
        <v>2550489.1072210916</v>
      </c>
      <c r="L52" s="890">
        <f t="shared" ref="L52:L84" si="2">F52*kWh_per_mtoe/1000</f>
        <v>29952705.51904298</v>
      </c>
      <c r="M52" s="889">
        <f t="shared" ref="M52:M84" si="3">G52*kWh_per_mtoe/1000</f>
        <v>2902193.7231079</v>
      </c>
      <c r="N52" s="889">
        <f t="shared" ref="N52:N84" si="4">H52*kWh_per_mtoe/1000</f>
        <v>171610846.090545</v>
      </c>
      <c r="O52" s="479">
        <f t="shared" ref="O52:O84" si="5">I52*kWh_per_mtoe/1000</f>
        <v>9346576.1710001063</v>
      </c>
      <c r="P52" s="123"/>
    </row>
    <row r="53" spans="2:16" ht="13.8" x14ac:dyDescent="0.3">
      <c r="B53" s="19" t="s">
        <v>104</v>
      </c>
      <c r="C53" s="886" t="s">
        <v>207</v>
      </c>
      <c r="D53" s="887">
        <f t="shared" ref="D53:D84" si="6">K94+M94</f>
        <v>0.74217800183754301</v>
      </c>
      <c r="E53" s="887">
        <f t="shared" ref="E53:E84" si="7">E94</f>
        <v>0.72016232710026595</v>
      </c>
      <c r="F53" s="888">
        <f t="shared" ref="F53:F84" si="8">O94</f>
        <v>3.3406634893045202</v>
      </c>
      <c r="G53" s="20">
        <f t="shared" ref="G53:G84" si="9">J94+L94</f>
        <v>0.54570322646581737</v>
      </c>
      <c r="H53" s="888">
        <f t="shared" ref="H53:H84" si="10">D94+G94+H94+I94</f>
        <v>28.494664692221484</v>
      </c>
      <c r="I53" s="477">
        <f t="shared" ref="I53:I84" si="11">N94</f>
        <v>1.4131484660478799</v>
      </c>
      <c r="J53" s="478">
        <f t="shared" si="0"/>
        <v>8631530.1613706239</v>
      </c>
      <c r="K53" s="889">
        <f t="shared" si="1"/>
        <v>8375487.8641760927</v>
      </c>
      <c r="L53" s="890">
        <f t="shared" si="2"/>
        <v>38851916.380611569</v>
      </c>
      <c r="M53" s="889">
        <f t="shared" si="3"/>
        <v>6346528.5237974562</v>
      </c>
      <c r="N53" s="889">
        <f t="shared" si="4"/>
        <v>331392950.37053585</v>
      </c>
      <c r="O53" s="479">
        <f t="shared" si="5"/>
        <v>16434916.660136843</v>
      </c>
      <c r="P53" s="123"/>
    </row>
    <row r="54" spans="2:16" ht="13.8" x14ac:dyDescent="0.3">
      <c r="B54" s="19" t="s">
        <v>105</v>
      </c>
      <c r="C54" s="886" t="s">
        <v>208</v>
      </c>
      <c r="D54" s="887">
        <f t="shared" si="6"/>
        <v>0.892631522129683</v>
      </c>
      <c r="E54" s="887">
        <f t="shared" si="7"/>
        <v>0.50766983893668005</v>
      </c>
      <c r="F54" s="888">
        <f t="shared" si="8"/>
        <v>3.24183450357783</v>
      </c>
      <c r="G54" s="20">
        <f t="shared" si="9"/>
        <v>0.52373410779738583</v>
      </c>
      <c r="H54" s="888">
        <f t="shared" si="10"/>
        <v>9.3140431096809593</v>
      </c>
      <c r="I54" s="477">
        <f t="shared" si="11"/>
        <v>3.3264756641664102</v>
      </c>
      <c r="J54" s="478">
        <f t="shared" si="0"/>
        <v>10381304.602368213</v>
      </c>
      <c r="K54" s="889">
        <f t="shared" si="1"/>
        <v>5904200.2268335884</v>
      </c>
      <c r="L54" s="890">
        <f t="shared" si="2"/>
        <v>37702535.276610158</v>
      </c>
      <c r="M54" s="889">
        <f t="shared" si="3"/>
        <v>6091027.6736835977</v>
      </c>
      <c r="N54" s="889">
        <f t="shared" si="4"/>
        <v>108322321.36558956</v>
      </c>
      <c r="O54" s="479">
        <f t="shared" si="5"/>
        <v>38686911.974255346</v>
      </c>
      <c r="P54" s="123"/>
    </row>
    <row r="55" spans="2:16" ht="13.8" x14ac:dyDescent="0.3">
      <c r="B55" s="19" t="s">
        <v>106</v>
      </c>
      <c r="C55" s="886" t="s">
        <v>209</v>
      </c>
      <c r="D55" s="887">
        <f t="shared" si="6"/>
        <v>0.77234001245707495</v>
      </c>
      <c r="E55" s="887">
        <f t="shared" si="7"/>
        <v>0.41989553924697698</v>
      </c>
      <c r="F55" s="888">
        <f t="shared" si="8"/>
        <v>2.47772380748768</v>
      </c>
      <c r="G55" s="20">
        <f t="shared" si="9"/>
        <v>0.64828923688206219</v>
      </c>
      <c r="H55" s="888">
        <f t="shared" si="10"/>
        <v>15.623111277834626</v>
      </c>
      <c r="I55" s="477">
        <f t="shared" si="11"/>
        <v>2.2386826873312602</v>
      </c>
      <c r="J55" s="478">
        <f t="shared" si="0"/>
        <v>8982314.3448757827</v>
      </c>
      <c r="K55" s="889">
        <f t="shared" si="1"/>
        <v>4883385.1214423422</v>
      </c>
      <c r="L55" s="890">
        <f t="shared" si="2"/>
        <v>28815927.881081719</v>
      </c>
      <c r="M55" s="889">
        <f t="shared" si="3"/>
        <v>7539603.824938383</v>
      </c>
      <c r="N55" s="889">
        <f t="shared" si="4"/>
        <v>181696784.16121671</v>
      </c>
      <c r="O55" s="479">
        <f t="shared" si="5"/>
        <v>26035879.653662555</v>
      </c>
      <c r="P55" s="123"/>
    </row>
    <row r="56" spans="2:16" ht="13.8" x14ac:dyDescent="0.3">
      <c r="B56" s="19" t="s">
        <v>107</v>
      </c>
      <c r="C56" s="886" t="s">
        <v>210</v>
      </c>
      <c r="D56" s="887">
        <f t="shared" si="6"/>
        <v>0.73487566989762199</v>
      </c>
      <c r="E56" s="887">
        <f t="shared" si="7"/>
        <v>1.11127959096659</v>
      </c>
      <c r="F56" s="888">
        <f t="shared" si="8"/>
        <v>3.8009106250476399</v>
      </c>
      <c r="G56" s="20">
        <f t="shared" si="9"/>
        <v>0.28961325125612702</v>
      </c>
      <c r="H56" s="888">
        <f t="shared" si="10"/>
        <v>10.713169816308536</v>
      </c>
      <c r="I56" s="477">
        <f t="shared" si="11"/>
        <v>0.79867047988573003</v>
      </c>
      <c r="J56" s="478">
        <f t="shared" si="0"/>
        <v>8546604.0409093443</v>
      </c>
      <c r="K56" s="889">
        <f t="shared" si="1"/>
        <v>12924181.642941443</v>
      </c>
      <c r="L56" s="890">
        <f t="shared" si="2"/>
        <v>44204590.569304056</v>
      </c>
      <c r="M56" s="889">
        <f t="shared" si="3"/>
        <v>3368202.1121087577</v>
      </c>
      <c r="N56" s="889">
        <f>H56*kWh_per_mtoe/1000</f>
        <v>124594164.96366827</v>
      </c>
      <c r="O56" s="479">
        <f t="shared" si="5"/>
        <v>9288537.6810710412</v>
      </c>
      <c r="P56" s="123"/>
    </row>
    <row r="57" spans="2:16" ht="13.8" x14ac:dyDescent="0.3">
      <c r="B57" s="19" t="s">
        <v>108</v>
      </c>
      <c r="C57" s="886" t="s">
        <v>211</v>
      </c>
      <c r="D57" s="887">
        <f t="shared" si="6"/>
        <v>0.18427224418794511</v>
      </c>
      <c r="E57" s="887">
        <f t="shared" si="7"/>
        <v>0.70016420902659204</v>
      </c>
      <c r="F57" s="888">
        <f t="shared" si="8"/>
        <v>0.52199295657917699</v>
      </c>
      <c r="G57" s="20">
        <f t="shared" si="9"/>
        <v>0.55446931635653296</v>
      </c>
      <c r="H57" s="888">
        <f t="shared" si="10"/>
        <v>53.88427802414693</v>
      </c>
      <c r="I57" s="477">
        <f t="shared" si="11"/>
        <v>0.97878463667233695</v>
      </c>
      <c r="J57" s="478">
        <f t="shared" si="0"/>
        <v>2143086.1999058016</v>
      </c>
      <c r="K57" s="889">
        <f t="shared" si="1"/>
        <v>8142909.7509792652</v>
      </c>
      <c r="L57" s="890">
        <f t="shared" si="2"/>
        <v>6070778.0850158278</v>
      </c>
      <c r="M57" s="889">
        <f t="shared" si="3"/>
        <v>6448478.1492264783</v>
      </c>
      <c r="N57" s="889">
        <f t="shared" si="4"/>
        <v>626674153.4208287</v>
      </c>
      <c r="O57" s="479">
        <f t="shared" si="5"/>
        <v>11383265.324499279</v>
      </c>
      <c r="P57" s="123"/>
    </row>
    <row r="58" spans="2:16" ht="13.8" x14ac:dyDescent="0.3">
      <c r="B58" s="19" t="s">
        <v>109</v>
      </c>
      <c r="C58" s="886" t="s">
        <v>212</v>
      </c>
      <c r="D58" s="887">
        <f t="shared" si="6"/>
        <v>3.0460907969524602E-3</v>
      </c>
      <c r="E58" s="887">
        <f t="shared" si="7"/>
        <v>2.5202581634031E-2</v>
      </c>
      <c r="F58" s="888">
        <f t="shared" si="8"/>
        <v>6.9861945529067597E-3</v>
      </c>
      <c r="G58" s="20">
        <f t="shared" si="9"/>
        <v>0.3330113515207519</v>
      </c>
      <c r="H58" s="888">
        <f t="shared" si="10"/>
        <v>13.17533576251617</v>
      </c>
      <c r="I58" s="477">
        <f t="shared" si="11"/>
        <v>0.54952534128846897</v>
      </c>
      <c r="J58" s="478">
        <f t="shared" si="0"/>
        <v>35426.035968557109</v>
      </c>
      <c r="K58" s="889">
        <f t="shared" si="1"/>
        <v>293106.02440378052</v>
      </c>
      <c r="L58" s="890">
        <f t="shared" si="2"/>
        <v>81249.442650305617</v>
      </c>
      <c r="M58" s="889">
        <f t="shared" si="3"/>
        <v>3872922.0181863448</v>
      </c>
      <c r="N58" s="889">
        <f t="shared" si="4"/>
        <v>153229154.91806304</v>
      </c>
      <c r="O58" s="479">
        <f t="shared" si="5"/>
        <v>6390979.7191848941</v>
      </c>
      <c r="P58" s="123"/>
    </row>
    <row r="59" spans="2:16" ht="13.8" x14ac:dyDescent="0.3">
      <c r="B59" s="19" t="s">
        <v>110</v>
      </c>
      <c r="C59" s="886" t="s">
        <v>213</v>
      </c>
      <c r="D59" s="887">
        <f t="shared" si="6"/>
        <v>1.2733567800064229</v>
      </c>
      <c r="E59" s="887">
        <f t="shared" si="7"/>
        <v>0.73776973504157695</v>
      </c>
      <c r="F59" s="888">
        <f t="shared" si="8"/>
        <v>4.5035262183145397</v>
      </c>
      <c r="G59" s="20">
        <f t="shared" si="9"/>
        <v>0.28396642049664367</v>
      </c>
      <c r="H59" s="888">
        <f t="shared" si="10"/>
        <v>11.593864941278627</v>
      </c>
      <c r="I59" s="477">
        <f t="shared" si="11"/>
        <v>0.84628057125594702</v>
      </c>
      <c r="J59" s="478">
        <f t="shared" si="0"/>
        <v>14809139.351474699</v>
      </c>
      <c r="K59" s="889">
        <f t="shared" si="1"/>
        <v>8580262.018533539</v>
      </c>
      <c r="L59" s="890">
        <f t="shared" si="2"/>
        <v>52376009.9189981</v>
      </c>
      <c r="M59" s="889">
        <f t="shared" si="3"/>
        <v>3302529.4703759663</v>
      </c>
      <c r="N59" s="889">
        <f t="shared" si="4"/>
        <v>134836649.26707041</v>
      </c>
      <c r="O59" s="479">
        <f t="shared" si="5"/>
        <v>9842243.043706663</v>
      </c>
      <c r="P59" s="123"/>
    </row>
    <row r="60" spans="2:16" ht="13.8" x14ac:dyDescent="0.3">
      <c r="B60" s="19" t="s">
        <v>111</v>
      </c>
      <c r="C60" s="886" t="s">
        <v>214</v>
      </c>
      <c r="D60" s="887">
        <f t="shared" si="6"/>
        <v>0.88700202525955096</v>
      </c>
      <c r="E60" s="887">
        <f t="shared" si="7"/>
        <v>0.52646588543621997</v>
      </c>
      <c r="F60" s="888">
        <f t="shared" si="8"/>
        <v>2.9680417955274701</v>
      </c>
      <c r="G60" s="20">
        <f t="shared" si="9"/>
        <v>0.84971372882785678</v>
      </c>
      <c r="H60" s="888">
        <f t="shared" si="10"/>
        <v>23.631030178497628</v>
      </c>
      <c r="I60" s="477">
        <f t="shared" si="11"/>
        <v>1.99516564861414</v>
      </c>
      <c r="J60" s="478">
        <f t="shared" si="0"/>
        <v>10315833.553768577</v>
      </c>
      <c r="K60" s="889">
        <f t="shared" si="1"/>
        <v>6122798.2476232387</v>
      </c>
      <c r="L60" s="890">
        <f t="shared" si="2"/>
        <v>34518326.081984475</v>
      </c>
      <c r="M60" s="889">
        <f t="shared" si="3"/>
        <v>9882170.6662679743</v>
      </c>
      <c r="N60" s="889">
        <f t="shared" si="4"/>
        <v>274828880.97592741</v>
      </c>
      <c r="O60" s="479">
        <f t="shared" si="5"/>
        <v>23203776.49338245</v>
      </c>
      <c r="P60" s="123"/>
    </row>
    <row r="61" spans="2:16" ht="13.8" x14ac:dyDescent="0.3">
      <c r="B61" s="19" t="s">
        <v>112</v>
      </c>
      <c r="C61" s="886" t="s">
        <v>215</v>
      </c>
      <c r="D61" s="887">
        <f t="shared" si="6"/>
        <v>1.0629527067663609</v>
      </c>
      <c r="E61" s="887">
        <f t="shared" si="7"/>
        <v>0.51383195422235395</v>
      </c>
      <c r="F61" s="888">
        <f t="shared" si="8"/>
        <v>3.31496375917762</v>
      </c>
      <c r="G61" s="20">
        <f t="shared" si="9"/>
        <v>1.1999333914785419</v>
      </c>
      <c r="H61" s="888">
        <f t="shared" si="10"/>
        <v>13.057958245890052</v>
      </c>
      <c r="I61" s="477">
        <f t="shared" si="11"/>
        <v>1.27297917340027</v>
      </c>
      <c r="J61" s="478">
        <f t="shared" si="0"/>
        <v>12362139.979692778</v>
      </c>
      <c r="K61" s="889">
        <f t="shared" si="1"/>
        <v>5975865.6276059765</v>
      </c>
      <c r="L61" s="890">
        <f t="shared" si="2"/>
        <v>38553028.519235715</v>
      </c>
      <c r="M61" s="889">
        <f t="shared" si="3"/>
        <v>13955225.342895443</v>
      </c>
      <c r="N61" s="889">
        <f t="shared" si="4"/>
        <v>151864054.39970133</v>
      </c>
      <c r="O61" s="479">
        <f t="shared" si="5"/>
        <v>14804747.78664514</v>
      </c>
      <c r="P61" s="123"/>
    </row>
    <row r="62" spans="2:16" ht="13.8" x14ac:dyDescent="0.3">
      <c r="B62" s="19" t="s">
        <v>113</v>
      </c>
      <c r="C62" s="886" t="s">
        <v>216</v>
      </c>
      <c r="D62" s="887">
        <f t="shared" si="6"/>
        <v>0.83820877920506209</v>
      </c>
      <c r="E62" s="887">
        <f t="shared" si="7"/>
        <v>0.39079155509786001</v>
      </c>
      <c r="F62" s="888">
        <f t="shared" si="8"/>
        <v>2.6720161315061999</v>
      </c>
      <c r="G62" s="20">
        <f t="shared" si="9"/>
        <v>0.36777888919453855</v>
      </c>
      <c r="H62" s="888">
        <f t="shared" si="10"/>
        <v>27.702186250145377</v>
      </c>
      <c r="I62" s="477">
        <f t="shared" si="11"/>
        <v>1.3499424413755801</v>
      </c>
      <c r="J62" s="478">
        <f t="shared" si="0"/>
        <v>9748368.1021548733</v>
      </c>
      <c r="K62" s="889">
        <f t="shared" si="1"/>
        <v>4544905.7857881114</v>
      </c>
      <c r="L62" s="890">
        <f t="shared" si="2"/>
        <v>31075547.609417103</v>
      </c>
      <c r="M62" s="889">
        <f t="shared" si="3"/>
        <v>4277268.4813324837</v>
      </c>
      <c r="N62" s="889">
        <f t="shared" si="4"/>
        <v>322176426.08919072</v>
      </c>
      <c r="O62" s="479">
        <f t="shared" si="5"/>
        <v>15699830.593197996</v>
      </c>
      <c r="P62" s="123"/>
    </row>
    <row r="63" spans="2:16" ht="13.8" x14ac:dyDescent="0.3">
      <c r="B63" s="19" t="s">
        <v>114</v>
      </c>
      <c r="C63" s="886" t="s">
        <v>217</v>
      </c>
      <c r="D63" s="887">
        <f t="shared" si="6"/>
        <v>0.30210534828917601</v>
      </c>
      <c r="E63" s="887">
        <f t="shared" si="7"/>
        <v>0.22906205047876399</v>
      </c>
      <c r="F63" s="888">
        <f t="shared" si="8"/>
        <v>0.72943705507974499</v>
      </c>
      <c r="G63" s="20">
        <f t="shared" si="9"/>
        <v>0.30539606420904319</v>
      </c>
      <c r="H63" s="888">
        <f t="shared" si="10"/>
        <v>18.91443080753346</v>
      </c>
      <c r="I63" s="477">
        <f t="shared" si="11"/>
        <v>0.582096560255701</v>
      </c>
      <c r="J63" s="478">
        <f>D63*kWh_per_mtoe/1000</f>
        <v>3513485.2006031168</v>
      </c>
      <c r="K63" s="889">
        <f t="shared" si="1"/>
        <v>2663991.6470680251</v>
      </c>
      <c r="L63" s="890">
        <f t="shared" si="2"/>
        <v>8483352.9505774342</v>
      </c>
      <c r="M63" s="889">
        <f t="shared" si="3"/>
        <v>3551756.2267511724</v>
      </c>
      <c r="N63" s="889">
        <f t="shared" si="4"/>
        <v>219974830.29161415</v>
      </c>
      <c r="O63" s="479">
        <f t="shared" si="5"/>
        <v>6769782.9957738025</v>
      </c>
      <c r="P63" s="123"/>
    </row>
    <row r="64" spans="2:16" ht="13.8" x14ac:dyDescent="0.3">
      <c r="B64" s="19" t="s">
        <v>115</v>
      </c>
      <c r="C64" s="886" t="s">
        <v>218</v>
      </c>
      <c r="D64" s="887">
        <f t="shared" si="6"/>
        <v>0.25502773758309399</v>
      </c>
      <c r="E64" s="887">
        <f t="shared" si="7"/>
        <v>0.27662512911853498</v>
      </c>
      <c r="F64" s="888">
        <f t="shared" si="8"/>
        <v>0.67583999287512697</v>
      </c>
      <c r="G64" s="20">
        <f t="shared" si="9"/>
        <v>0.1893039213299082</v>
      </c>
      <c r="H64" s="888">
        <f t="shared" si="10"/>
        <v>21.274096724301291</v>
      </c>
      <c r="I64" s="477">
        <f t="shared" si="11"/>
        <v>0.49206907990389198</v>
      </c>
      <c r="J64" s="478">
        <f t="shared" si="0"/>
        <v>2965972.5880913828</v>
      </c>
      <c r="K64" s="889">
        <f t="shared" si="1"/>
        <v>3217150.251648562</v>
      </c>
      <c r="L64" s="890">
        <f t="shared" si="2"/>
        <v>7860019.1171377264</v>
      </c>
      <c r="M64" s="889">
        <f t="shared" si="3"/>
        <v>2201604.6050668326</v>
      </c>
      <c r="N64" s="889">
        <f t="shared" si="4"/>
        <v>247417744.90362403</v>
      </c>
      <c r="O64" s="479">
        <f t="shared" si="5"/>
        <v>5722763.3992822636</v>
      </c>
      <c r="P64" s="123"/>
    </row>
    <row r="65" spans="2:16" ht="13.8" x14ac:dyDescent="0.3">
      <c r="B65" s="19" t="s">
        <v>116</v>
      </c>
      <c r="C65" s="886" t="s">
        <v>219</v>
      </c>
      <c r="D65" s="887">
        <f t="shared" si="6"/>
        <v>0.62814038211614198</v>
      </c>
      <c r="E65" s="887">
        <f t="shared" si="7"/>
        <v>0.24931020501804599</v>
      </c>
      <c r="F65" s="888">
        <f t="shared" si="8"/>
        <v>1.7228229551040299</v>
      </c>
      <c r="G65" s="20">
        <f t="shared" si="9"/>
        <v>0.30895942884195277</v>
      </c>
      <c r="H65" s="888">
        <f t="shared" si="10"/>
        <v>20.475919628249258</v>
      </c>
      <c r="I65" s="477">
        <f t="shared" si="11"/>
        <v>0.91102722271939296</v>
      </c>
      <c r="J65" s="478">
        <f t="shared" si="0"/>
        <v>7305272.644010732</v>
      </c>
      <c r="K65" s="889">
        <f t="shared" si="1"/>
        <v>2899477.6843598746</v>
      </c>
      <c r="L65" s="890">
        <f t="shared" si="2"/>
        <v>20036430.967859868</v>
      </c>
      <c r="M65" s="889">
        <f t="shared" si="3"/>
        <v>3593198.1574319107</v>
      </c>
      <c r="N65" s="889">
        <f t="shared" si="4"/>
        <v>238134945.27653888</v>
      </c>
      <c r="O65" s="479">
        <f t="shared" si="5"/>
        <v>10595246.60022654</v>
      </c>
      <c r="P65" s="123"/>
    </row>
    <row r="66" spans="2:16" ht="13.8" x14ac:dyDescent="0.3">
      <c r="B66" s="19" t="s">
        <v>117</v>
      </c>
      <c r="C66" s="886" t="s">
        <v>220</v>
      </c>
      <c r="D66" s="887">
        <f t="shared" si="6"/>
        <v>0.60614962467696798</v>
      </c>
      <c r="E66" s="887">
        <f t="shared" si="7"/>
        <v>0.45717182328301198</v>
      </c>
      <c r="F66" s="888">
        <f t="shared" si="8"/>
        <v>2.4744399044452998</v>
      </c>
      <c r="G66" s="20">
        <f t="shared" si="9"/>
        <v>0.20890428894231122</v>
      </c>
      <c r="H66" s="888">
        <f t="shared" si="10"/>
        <v>4.8982802162732515</v>
      </c>
      <c r="I66" s="477">
        <f t="shared" si="11"/>
        <v>0.44737147946705202</v>
      </c>
      <c r="J66" s="478">
        <f t="shared" si="0"/>
        <v>7049520.1349931378</v>
      </c>
      <c r="K66" s="889">
        <f t="shared" si="1"/>
        <v>5316908.3047814295</v>
      </c>
      <c r="L66" s="890">
        <f t="shared" si="2"/>
        <v>28777736.088698838</v>
      </c>
      <c r="M66" s="889">
        <f t="shared" si="3"/>
        <v>2429556.8803990795</v>
      </c>
      <c r="N66" s="889">
        <f t="shared" si="4"/>
        <v>56966998.915257908</v>
      </c>
      <c r="O66" s="479">
        <f t="shared" si="5"/>
        <v>5202930.3062018147</v>
      </c>
      <c r="P66" s="123"/>
    </row>
    <row r="67" spans="2:16" ht="13.8" x14ac:dyDescent="0.3">
      <c r="B67" s="19" t="s">
        <v>118</v>
      </c>
      <c r="C67" s="886" t="s">
        <v>221</v>
      </c>
      <c r="D67" s="887">
        <f t="shared" si="6"/>
        <v>0.80995890368281809</v>
      </c>
      <c r="E67" s="887">
        <f t="shared" si="7"/>
        <v>0.62571362718712398</v>
      </c>
      <c r="F67" s="888">
        <f t="shared" si="8"/>
        <v>3.18662641894307</v>
      </c>
      <c r="G67" s="20">
        <f t="shared" si="9"/>
        <v>0.65381315482071312</v>
      </c>
      <c r="H67" s="888">
        <f t="shared" si="10"/>
        <v>10.500341976929535</v>
      </c>
      <c r="I67" s="477">
        <f t="shared" si="11"/>
        <v>2.0718158142138798</v>
      </c>
      <c r="J67" s="478">
        <f t="shared" si="0"/>
        <v>9419822.0498311743</v>
      </c>
      <c r="K67" s="889">
        <f t="shared" si="1"/>
        <v>7277049.4841862516</v>
      </c>
      <c r="L67" s="890">
        <f t="shared" si="2"/>
        <v>37060465.252307907</v>
      </c>
      <c r="M67" s="889">
        <f t="shared" si="3"/>
        <v>7603846.9905648939</v>
      </c>
      <c r="N67" s="889">
        <f t="shared" si="4"/>
        <v>122118977.19169049</v>
      </c>
      <c r="O67" s="479">
        <f t="shared" si="5"/>
        <v>24095217.919307422</v>
      </c>
      <c r="P67" s="123"/>
    </row>
    <row r="68" spans="2:16" ht="13.8" x14ac:dyDescent="0.3">
      <c r="B68" s="19" t="s">
        <v>119</v>
      </c>
      <c r="C68" s="886" t="s">
        <v>222</v>
      </c>
      <c r="D68" s="887">
        <f t="shared" si="6"/>
        <v>0.83132357881497099</v>
      </c>
      <c r="E68" s="887">
        <f t="shared" si="7"/>
        <v>0.76865177592616096</v>
      </c>
      <c r="F68" s="888">
        <f t="shared" si="8"/>
        <v>3.7628446253696999</v>
      </c>
      <c r="G68" s="20">
        <f t="shared" si="9"/>
        <v>1.0877505931927776</v>
      </c>
      <c r="H68" s="888">
        <f t="shared" si="10"/>
        <v>42.619185165189904</v>
      </c>
      <c r="I68" s="477">
        <f t="shared" si="11"/>
        <v>1.50415745731396</v>
      </c>
      <c r="J68" s="478">
        <f t="shared" si="0"/>
        <v>9668293.2216181122</v>
      </c>
      <c r="K68" s="889">
        <f t="shared" si="1"/>
        <v>8939420.1540212519</v>
      </c>
      <c r="L68" s="890">
        <f t="shared" si="2"/>
        <v>43761882.993049607</v>
      </c>
      <c r="M68" s="889">
        <f t="shared" si="3"/>
        <v>12650539.398832003</v>
      </c>
      <c r="N68" s="889">
        <f t="shared" si="4"/>
        <v>495661123.47115856</v>
      </c>
      <c r="O68" s="479">
        <f t="shared" si="5"/>
        <v>17493351.228561357</v>
      </c>
      <c r="P68" s="123"/>
    </row>
    <row r="69" spans="2:16" ht="13.8" x14ac:dyDescent="0.3">
      <c r="B69" s="19" t="s">
        <v>120</v>
      </c>
      <c r="C69" s="886" t="s">
        <v>223</v>
      </c>
      <c r="D69" s="887">
        <f t="shared" si="6"/>
        <v>0.83952289540060598</v>
      </c>
      <c r="E69" s="887">
        <f t="shared" si="7"/>
        <v>0.57463464974295397</v>
      </c>
      <c r="F69" s="888">
        <f t="shared" si="8"/>
        <v>2.91693848999881</v>
      </c>
      <c r="G69" s="20">
        <f t="shared" si="9"/>
        <v>0.62354710299694505</v>
      </c>
      <c r="H69" s="888">
        <f t="shared" si="10"/>
        <v>10.940897934482658</v>
      </c>
      <c r="I69" s="477">
        <f t="shared" si="11"/>
        <v>0.49725584697314801</v>
      </c>
      <c r="J69" s="478">
        <f t="shared" si="0"/>
        <v>9763651.2735090479</v>
      </c>
      <c r="K69" s="889">
        <f t="shared" si="1"/>
        <v>6683000.9765105546</v>
      </c>
      <c r="L69" s="890">
        <f t="shared" si="2"/>
        <v>33923994.638686158</v>
      </c>
      <c r="M69" s="889">
        <f t="shared" si="3"/>
        <v>7251852.8078544708</v>
      </c>
      <c r="N69" s="889">
        <f t="shared" si="4"/>
        <v>127242642.9780333</v>
      </c>
      <c r="O69" s="479">
        <f t="shared" si="5"/>
        <v>5783085.5002977112</v>
      </c>
      <c r="P69" s="123"/>
    </row>
    <row r="70" spans="2:16" ht="13.8" x14ac:dyDescent="0.3">
      <c r="B70" s="19" t="s">
        <v>121</v>
      </c>
      <c r="C70" s="886" t="s">
        <v>224</v>
      </c>
      <c r="D70" s="887">
        <f t="shared" si="6"/>
        <v>0.2158493183887282</v>
      </c>
      <c r="E70" s="887">
        <f t="shared" si="7"/>
        <v>0.237968398419037</v>
      </c>
      <c r="F70" s="888">
        <f t="shared" si="8"/>
        <v>0.52149875656978395</v>
      </c>
      <c r="G70" s="20">
        <f t="shared" si="9"/>
        <v>0.32632374237131567</v>
      </c>
      <c r="H70" s="888">
        <f t="shared" si="10"/>
        <v>21.994206264971176</v>
      </c>
      <c r="I70" s="477">
        <f t="shared" si="11"/>
        <v>0.674095851795808</v>
      </c>
      <c r="J70" s="478">
        <f t="shared" si="0"/>
        <v>2510327.5728609092</v>
      </c>
      <c r="K70" s="889">
        <f t="shared" si="1"/>
        <v>2767572.4736134005</v>
      </c>
      <c r="L70" s="890">
        <f t="shared" si="2"/>
        <v>6065030.5389065873</v>
      </c>
      <c r="M70" s="889">
        <f t="shared" si="3"/>
        <v>3795145.1237784014</v>
      </c>
      <c r="N70" s="889">
        <f t="shared" si="4"/>
        <v>255792618.86161476</v>
      </c>
      <c r="O70" s="479">
        <f t="shared" si="5"/>
        <v>7839734.7563852472</v>
      </c>
      <c r="P70" s="123"/>
    </row>
    <row r="71" spans="2:16" ht="13.8" x14ac:dyDescent="0.3">
      <c r="B71" s="19" t="s">
        <v>122</v>
      </c>
      <c r="C71" s="886" t="s">
        <v>225</v>
      </c>
      <c r="D71" s="887">
        <f t="shared" si="6"/>
        <v>0.15313845608225241</v>
      </c>
      <c r="E71" s="887">
        <f t="shared" si="7"/>
        <v>0.59574795476898701</v>
      </c>
      <c r="F71" s="888">
        <f t="shared" si="8"/>
        <v>0.37074205899916901</v>
      </c>
      <c r="G71" s="20">
        <f t="shared" si="9"/>
        <v>8.8903694775796072E-2</v>
      </c>
      <c r="H71" s="888">
        <f t="shared" si="10"/>
        <v>20.972796051895898</v>
      </c>
      <c r="I71" s="477">
        <f t="shared" si="11"/>
        <v>0.12622677393505199</v>
      </c>
      <c r="J71" s="478">
        <f t="shared" si="0"/>
        <v>1781000.2442365955</v>
      </c>
      <c r="K71" s="889">
        <f t="shared" si="1"/>
        <v>6928548.7139633186</v>
      </c>
      <c r="L71" s="890">
        <f t="shared" si="2"/>
        <v>4311730.1461603353</v>
      </c>
      <c r="M71" s="889">
        <f t="shared" si="3"/>
        <v>1033949.9702425083</v>
      </c>
      <c r="N71" s="889">
        <f t="shared" si="4"/>
        <v>243913618.08354929</v>
      </c>
      <c r="O71" s="479">
        <f t="shared" si="5"/>
        <v>1468017.3808646547</v>
      </c>
      <c r="P71" s="123"/>
    </row>
    <row r="72" spans="2:16" ht="13.8" x14ac:dyDescent="0.3">
      <c r="B72" s="19" t="s">
        <v>226</v>
      </c>
      <c r="C72" s="886" t="s">
        <v>227</v>
      </c>
      <c r="D72" s="887">
        <f t="shared" si="6"/>
        <v>0.41365073202142899</v>
      </c>
      <c r="E72" s="887">
        <f t="shared" si="7"/>
        <v>0.28313618638572402</v>
      </c>
      <c r="F72" s="888">
        <f t="shared" si="8"/>
        <v>1.60451259771201</v>
      </c>
      <c r="G72" s="20">
        <f t="shared" si="9"/>
        <v>9.3061106573536001E-2</v>
      </c>
      <c r="H72" s="888">
        <f t="shared" si="10"/>
        <v>8.556506470490433</v>
      </c>
      <c r="I72" s="477">
        <f t="shared" si="11"/>
        <v>0.229634139737178</v>
      </c>
      <c r="J72" s="478">
        <f t="shared" si="0"/>
        <v>4810758.0134092188</v>
      </c>
      <c r="K72" s="889">
        <f t="shared" si="1"/>
        <v>3292873.8476659702</v>
      </c>
      <c r="L72" s="890">
        <f t="shared" si="2"/>
        <v>18660481.511390679</v>
      </c>
      <c r="M72" s="889">
        <f t="shared" si="3"/>
        <v>1082300.6694502237</v>
      </c>
      <c r="N72" s="889">
        <f t="shared" si="4"/>
        <v>99512170.251803741</v>
      </c>
      <c r="O72" s="479">
        <f t="shared" si="5"/>
        <v>2670645.0451433803</v>
      </c>
      <c r="P72" s="123"/>
    </row>
    <row r="73" spans="2:16" ht="13.8" x14ac:dyDescent="0.3">
      <c r="B73" s="19" t="s">
        <v>124</v>
      </c>
      <c r="C73" s="886" t="s">
        <v>228</v>
      </c>
      <c r="D73" s="887">
        <f t="shared" si="6"/>
        <v>0.50452965430094399</v>
      </c>
      <c r="E73" s="887">
        <f t="shared" si="7"/>
        <v>0.471925610896818</v>
      </c>
      <c r="F73" s="888">
        <f t="shared" si="8"/>
        <v>1.54487743268796</v>
      </c>
      <c r="G73" s="20">
        <f t="shared" si="9"/>
        <v>0.27399057831111784</v>
      </c>
      <c r="H73" s="888">
        <f t="shared" si="10"/>
        <v>19.692199175191995</v>
      </c>
      <c r="I73" s="477">
        <f t="shared" si="11"/>
        <v>0.79349365296683605</v>
      </c>
      <c r="J73" s="478">
        <f t="shared" si="0"/>
        <v>5867679.8795199785</v>
      </c>
      <c r="K73" s="889">
        <f t="shared" si="1"/>
        <v>5488494.8547299942</v>
      </c>
      <c r="L73" s="890">
        <f t="shared" si="2"/>
        <v>17966924.542160973</v>
      </c>
      <c r="M73" s="889">
        <f t="shared" si="3"/>
        <v>3186510.4257583003</v>
      </c>
      <c r="N73" s="889">
        <f t="shared" si="4"/>
        <v>229020276.40748292</v>
      </c>
      <c r="O73" s="479">
        <f t="shared" si="5"/>
        <v>9228331.1840043031</v>
      </c>
      <c r="P73" s="123"/>
    </row>
    <row r="74" spans="2:16" ht="13.8" x14ac:dyDescent="0.3">
      <c r="B74" s="19" t="s">
        <v>125</v>
      </c>
      <c r="C74" s="886" t="s">
        <v>229</v>
      </c>
      <c r="D74" s="887">
        <f t="shared" si="6"/>
        <v>0.83192551602891895</v>
      </c>
      <c r="E74" s="887">
        <f t="shared" si="7"/>
        <v>0.34482954472077498</v>
      </c>
      <c r="F74" s="888">
        <f t="shared" si="8"/>
        <v>2.56896528196267</v>
      </c>
      <c r="G74" s="20">
        <f t="shared" si="9"/>
        <v>0.17750325369518322</v>
      </c>
      <c r="H74" s="888">
        <f t="shared" si="10"/>
        <v>9.7863476275345018</v>
      </c>
      <c r="I74" s="477">
        <f t="shared" si="11"/>
        <v>0.461247793295815</v>
      </c>
      <c r="J74" s="478">
        <f t="shared" si="0"/>
        <v>9675293.7514163274</v>
      </c>
      <c r="K74" s="889">
        <f t="shared" si="1"/>
        <v>4010367.6051026131</v>
      </c>
      <c r="L74" s="890">
        <f t="shared" si="2"/>
        <v>29877066.229225852</v>
      </c>
      <c r="M74" s="889">
        <f t="shared" si="3"/>
        <v>2064362.8404749809</v>
      </c>
      <c r="N74" s="889">
        <f>H74*kWh_per_mtoe/1000</f>
        <v>113815222.90822625</v>
      </c>
      <c r="O74" s="479">
        <f t="shared" si="5"/>
        <v>5364311.8360303286</v>
      </c>
      <c r="P74" s="123"/>
    </row>
    <row r="75" spans="2:16" ht="13.8" x14ac:dyDescent="0.3">
      <c r="B75" s="19" t="s">
        <v>126</v>
      </c>
      <c r="C75" s="886" t="s">
        <v>230</v>
      </c>
      <c r="D75" s="887">
        <f t="shared" si="6"/>
        <v>0.681299836076668</v>
      </c>
      <c r="E75" s="887">
        <f t="shared" si="7"/>
        <v>0.368141237973234</v>
      </c>
      <c r="F75" s="888">
        <f t="shared" si="8"/>
        <v>2.3159732639508102</v>
      </c>
      <c r="G75" s="20">
        <f t="shared" si="9"/>
        <v>0.13099660348752365</v>
      </c>
      <c r="H75" s="888">
        <f t="shared" si="10"/>
        <v>7.0804945946281466</v>
      </c>
      <c r="I75" s="477">
        <f t="shared" si="11"/>
        <v>0.47979877175584101</v>
      </c>
      <c r="J75" s="478">
        <f t="shared" si="0"/>
        <v>7923517.0935716489</v>
      </c>
      <c r="K75" s="889">
        <f t="shared" si="1"/>
        <v>4281482.5976287108</v>
      </c>
      <c r="L75" s="890">
        <f t="shared" si="2"/>
        <v>26934769.059747919</v>
      </c>
      <c r="M75" s="889">
        <f t="shared" si="3"/>
        <v>1523490.4985599001</v>
      </c>
      <c r="N75" s="889">
        <f t="shared" si="4"/>
        <v>82346152.135525346</v>
      </c>
      <c r="O75" s="479">
        <f t="shared" si="5"/>
        <v>5580059.7155204304</v>
      </c>
      <c r="P75" s="123"/>
    </row>
    <row r="76" spans="2:16" ht="13.8" x14ac:dyDescent="0.3">
      <c r="B76" s="19" t="s">
        <v>127</v>
      </c>
      <c r="C76" s="886" t="s">
        <v>231</v>
      </c>
      <c r="D76" s="887">
        <f t="shared" si="6"/>
        <v>1.1632405025069381</v>
      </c>
      <c r="E76" s="887">
        <f t="shared" si="7"/>
        <v>0.15665853382061601</v>
      </c>
      <c r="F76" s="888">
        <f t="shared" si="8"/>
        <v>2.6450788034757799</v>
      </c>
      <c r="G76" s="20">
        <f t="shared" si="9"/>
        <v>0.47080379163151997</v>
      </c>
      <c r="H76" s="888">
        <f t="shared" si="10"/>
        <v>34.40806135984419</v>
      </c>
      <c r="I76" s="477">
        <f t="shared" si="11"/>
        <v>15.9870517575884</v>
      </c>
      <c r="J76" s="478">
        <f t="shared" si="0"/>
        <v>13528487.044155691</v>
      </c>
      <c r="K76" s="889">
        <f t="shared" si="1"/>
        <v>1821938.748333764</v>
      </c>
      <c r="L76" s="890">
        <f t="shared" si="2"/>
        <v>30762266.484423321</v>
      </c>
      <c r="M76" s="889">
        <f t="shared" si="3"/>
        <v>5475448.0966745773</v>
      </c>
      <c r="N76" s="889">
        <f t="shared" si="4"/>
        <v>400165753.61498791</v>
      </c>
      <c r="O76" s="479">
        <f t="shared" si="5"/>
        <v>185929411.94075307</v>
      </c>
      <c r="P76" s="123"/>
    </row>
    <row r="77" spans="2:16" ht="13.8" x14ac:dyDescent="0.3">
      <c r="B77" s="19" t="s">
        <v>128</v>
      </c>
      <c r="C77" s="886" t="s">
        <v>232</v>
      </c>
      <c r="D77" s="887">
        <f t="shared" si="6"/>
        <v>0.98890298825707001</v>
      </c>
      <c r="E77" s="887">
        <f t="shared" si="7"/>
        <v>0.39274815546461</v>
      </c>
      <c r="F77" s="888">
        <f t="shared" si="8"/>
        <v>2.9536927106121902</v>
      </c>
      <c r="G77" s="20">
        <f t="shared" si="9"/>
        <v>0.44094806620946381</v>
      </c>
      <c r="H77" s="888">
        <f t="shared" si="10"/>
        <v>13.812866993630461</v>
      </c>
      <c r="I77" s="477">
        <f t="shared" si="11"/>
        <v>1.5535875176157099</v>
      </c>
      <c r="J77" s="478">
        <f t="shared" si="0"/>
        <v>11500941.753429724</v>
      </c>
      <c r="K77" s="889">
        <f t="shared" si="1"/>
        <v>4567661.0480534146</v>
      </c>
      <c r="L77" s="890">
        <f t="shared" si="2"/>
        <v>34351446.224419773</v>
      </c>
      <c r="M77" s="889">
        <f t="shared" si="3"/>
        <v>5128226.0100160632</v>
      </c>
      <c r="N77" s="889">
        <f t="shared" si="4"/>
        <v>160643643.13592228</v>
      </c>
      <c r="O77" s="479">
        <f t="shared" si="5"/>
        <v>18068222.829870705</v>
      </c>
      <c r="P77" s="123"/>
    </row>
    <row r="78" spans="2:16" ht="13.8" x14ac:dyDescent="0.3">
      <c r="B78" s="19" t="s">
        <v>129</v>
      </c>
      <c r="C78" s="886" t="s">
        <v>234</v>
      </c>
      <c r="D78" s="887">
        <f t="shared" si="6"/>
        <v>0.42351636531893699</v>
      </c>
      <c r="E78" s="887">
        <f t="shared" si="7"/>
        <v>0.52458288095753902</v>
      </c>
      <c r="F78" s="888">
        <f t="shared" si="8"/>
        <v>1.9726123623794101</v>
      </c>
      <c r="G78" s="20">
        <f t="shared" si="9"/>
        <v>0.44320658143688496</v>
      </c>
      <c r="H78" s="888">
        <f t="shared" si="10"/>
        <v>5.217576496100051</v>
      </c>
      <c r="I78" s="477">
        <f t="shared" si="11"/>
        <v>1.68639654642717</v>
      </c>
      <c r="J78" s="478">
        <f t="shared" si="0"/>
        <v>4925495.3286592374</v>
      </c>
      <c r="K78" s="889">
        <f t="shared" si="1"/>
        <v>6100898.9055361785</v>
      </c>
      <c r="L78" s="890">
        <f t="shared" si="2"/>
        <v>22941481.774472538</v>
      </c>
      <c r="M78" s="889">
        <f t="shared" si="3"/>
        <v>5154492.5421109721</v>
      </c>
      <c r="N78" s="889">
        <f t="shared" si="4"/>
        <v>60680414.649643593</v>
      </c>
      <c r="O78" s="479">
        <f t="shared" si="5"/>
        <v>19612791.834947988</v>
      </c>
      <c r="P78" s="123"/>
    </row>
    <row r="79" spans="2:16" ht="13.8" x14ac:dyDescent="0.3">
      <c r="B79" s="19" t="s">
        <v>130</v>
      </c>
      <c r="C79" s="886" t="s">
        <v>235</v>
      </c>
      <c r="D79" s="887">
        <f t="shared" si="6"/>
        <v>0.42312992316735903</v>
      </c>
      <c r="E79" s="887">
        <f t="shared" si="7"/>
        <v>0.63347194020071895</v>
      </c>
      <c r="F79" s="888">
        <f t="shared" si="8"/>
        <v>1.2888004907796899</v>
      </c>
      <c r="G79" s="20">
        <f t="shared" si="9"/>
        <v>0.35038081534922461</v>
      </c>
      <c r="H79" s="888">
        <f t="shared" si="10"/>
        <v>35.671589709269277</v>
      </c>
      <c r="I79" s="477">
        <f t="shared" si="11"/>
        <v>0.95000732341844296</v>
      </c>
      <c r="J79" s="478">
        <f t="shared" si="0"/>
        <v>4921001.0064363852</v>
      </c>
      <c r="K79" s="889">
        <f t="shared" si="1"/>
        <v>7367278.664534362</v>
      </c>
      <c r="L79" s="890">
        <f t="shared" si="2"/>
        <v>14988749.707767794</v>
      </c>
      <c r="M79" s="889">
        <f t="shared" si="3"/>
        <v>4074928.8825114821</v>
      </c>
      <c r="N79" s="889">
        <f t="shared" si="4"/>
        <v>414860588.3188017</v>
      </c>
      <c r="O79" s="479">
        <f t="shared" si="5"/>
        <v>11048585.171356492</v>
      </c>
      <c r="P79" s="123"/>
    </row>
    <row r="80" spans="2:16" ht="13.8" x14ac:dyDescent="0.3">
      <c r="B80" s="19" t="s">
        <v>131</v>
      </c>
      <c r="C80" s="886" t="s">
        <v>236</v>
      </c>
      <c r="D80" s="887">
        <f t="shared" si="6"/>
        <v>0.54281721494392199</v>
      </c>
      <c r="E80" s="887">
        <f t="shared" si="7"/>
        <v>0.43075481339677202</v>
      </c>
      <c r="F80" s="888">
        <f t="shared" si="8"/>
        <v>2.2201675662787799</v>
      </c>
      <c r="G80" s="20">
        <f t="shared" si="9"/>
        <v>0.92149128346940201</v>
      </c>
      <c r="H80" s="888">
        <f t="shared" si="10"/>
        <v>5.4655402852340629</v>
      </c>
      <c r="I80" s="477">
        <f t="shared" si="11"/>
        <v>3.33396548439018</v>
      </c>
      <c r="J80" s="478">
        <f t="shared" si="0"/>
        <v>6312964.2097978126</v>
      </c>
      <c r="K80" s="889">
        <f t="shared" si="1"/>
        <v>5009678.479804459</v>
      </c>
      <c r="L80" s="890">
        <f t="shared" si="2"/>
        <v>25820548.795822207</v>
      </c>
      <c r="M80" s="889">
        <f t="shared" si="3"/>
        <v>10716943.626749145</v>
      </c>
      <c r="N80" s="889">
        <f t="shared" si="4"/>
        <v>63564233.517272145</v>
      </c>
      <c r="O80" s="479">
        <f t="shared" si="5"/>
        <v>38774018.583457798</v>
      </c>
      <c r="P80" s="123"/>
    </row>
    <row r="81" spans="2:17" ht="13.8" x14ac:dyDescent="0.3">
      <c r="B81" s="19" t="s">
        <v>132</v>
      </c>
      <c r="C81" s="886" t="s">
        <v>237</v>
      </c>
      <c r="D81" s="887">
        <f t="shared" si="6"/>
        <v>0.25830845749981102</v>
      </c>
      <c r="E81" s="887">
        <f t="shared" si="7"/>
        <v>0.34216131527180199</v>
      </c>
      <c r="F81" s="888">
        <f t="shared" si="8"/>
        <v>0.66665024672527795</v>
      </c>
      <c r="G81" s="20">
        <f t="shared" si="9"/>
        <v>0.32421687389674148</v>
      </c>
      <c r="H81" s="888">
        <f t="shared" si="10"/>
        <v>37.092508723141997</v>
      </c>
      <c r="I81" s="477">
        <f t="shared" si="11"/>
        <v>0.67142204774539305</v>
      </c>
      <c r="J81" s="478">
        <f t="shared" si="0"/>
        <v>3004127.3607228021</v>
      </c>
      <c r="K81" s="889">
        <f t="shared" si="1"/>
        <v>3979336.0966110574</v>
      </c>
      <c r="L81" s="890">
        <f t="shared" si="2"/>
        <v>7753142.3694149824</v>
      </c>
      <c r="M81" s="889">
        <f t="shared" si="3"/>
        <v>3770642.2434191033</v>
      </c>
      <c r="N81" s="889">
        <f t="shared" si="4"/>
        <v>431385876.45014143</v>
      </c>
      <c r="O81" s="479">
        <f t="shared" si="5"/>
        <v>7808638.4152789209</v>
      </c>
      <c r="P81" s="123"/>
    </row>
    <row r="82" spans="2:17" ht="13.8" x14ac:dyDescent="0.3">
      <c r="B82" s="19" t="s">
        <v>133</v>
      </c>
      <c r="C82" s="886" t="s">
        <v>238</v>
      </c>
      <c r="D82" s="887">
        <f t="shared" si="6"/>
        <v>0.95731334904038301</v>
      </c>
      <c r="E82" s="887">
        <f t="shared" si="7"/>
        <v>0.24219664341989899</v>
      </c>
      <c r="F82" s="888">
        <f t="shared" si="8"/>
        <v>2.4932169308073102</v>
      </c>
      <c r="G82" s="20">
        <f t="shared" si="9"/>
        <v>0.33921798484508331</v>
      </c>
      <c r="H82" s="888">
        <f t="shared" si="10"/>
        <v>18.430266508700647</v>
      </c>
      <c r="I82" s="477">
        <f t="shared" si="11"/>
        <v>0.97457884407884998</v>
      </c>
      <c r="J82" s="478">
        <f t="shared" si="0"/>
        <v>11133554.249339655</v>
      </c>
      <c r="K82" s="889">
        <f t="shared" si="1"/>
        <v>2816746.9629734252</v>
      </c>
      <c r="L82" s="890">
        <f t="shared" si="2"/>
        <v>28996112.905289017</v>
      </c>
      <c r="M82" s="889">
        <f t="shared" si="3"/>
        <v>3945105.1637483188</v>
      </c>
      <c r="N82" s="889">
        <f t="shared" si="4"/>
        <v>214343999.49618855</v>
      </c>
      <c r="O82" s="479">
        <f t="shared" si="5"/>
        <v>11334351.956637027</v>
      </c>
    </row>
    <row r="83" spans="2:17" ht="13.8" x14ac:dyDescent="0.3">
      <c r="B83" s="19" t="s">
        <v>134</v>
      </c>
      <c r="C83" s="886" t="s">
        <v>239</v>
      </c>
      <c r="D83" s="887">
        <f t="shared" si="6"/>
        <v>0.49172177057793698</v>
      </c>
      <c r="E83" s="887">
        <f t="shared" si="7"/>
        <v>0.43967464501382603</v>
      </c>
      <c r="F83" s="888">
        <f t="shared" si="8"/>
        <v>1.5459080831176299</v>
      </c>
      <c r="G83" s="20">
        <f t="shared" si="9"/>
        <v>0.19900478741723904</v>
      </c>
      <c r="H83" s="888">
        <f t="shared" si="10"/>
        <v>15.017771065020344</v>
      </c>
      <c r="I83" s="477">
        <f t="shared" si="11"/>
        <v>0.65579004017981402</v>
      </c>
      <c r="J83" s="478">
        <f t="shared" si="0"/>
        <v>5718724.1918214075</v>
      </c>
      <c r="K83" s="889">
        <f t="shared" si="1"/>
        <v>5113416.1215107962</v>
      </c>
      <c r="L83" s="890">
        <f t="shared" si="2"/>
        <v>17978911.006658036</v>
      </c>
      <c r="M83" s="889">
        <f t="shared" si="3"/>
        <v>2314425.6776624899</v>
      </c>
      <c r="N83" s="889">
        <f t="shared" si="4"/>
        <v>174656677.48618662</v>
      </c>
      <c r="O83" s="479">
        <f t="shared" si="5"/>
        <v>7626838.167291237</v>
      </c>
    </row>
    <row r="84" spans="2:17" ht="14.4" thickBot="1" x14ac:dyDescent="0.35">
      <c r="B84" s="19" t="s">
        <v>135</v>
      </c>
      <c r="C84" s="886" t="s">
        <v>240</v>
      </c>
      <c r="D84" s="887">
        <f t="shared" si="6"/>
        <v>0.22010372179037122</v>
      </c>
      <c r="E84" s="887">
        <f t="shared" si="7"/>
        <v>0.87003216612258105</v>
      </c>
      <c r="F84" s="891">
        <f t="shared" si="8"/>
        <v>0.52731672602396995</v>
      </c>
      <c r="G84" s="20">
        <f t="shared" si="9"/>
        <v>0.62213019605010467</v>
      </c>
      <c r="H84" s="888">
        <f t="shared" si="10"/>
        <v>81.085420378610038</v>
      </c>
      <c r="I84" s="477">
        <f t="shared" si="11"/>
        <v>0.87094674779688497</v>
      </c>
      <c r="J84" s="478">
        <f t="shared" si="0"/>
        <v>2559806.2844220172</v>
      </c>
      <c r="K84" s="889">
        <f t="shared" si="1"/>
        <v>10118474.092005618</v>
      </c>
      <c r="L84" s="890">
        <f t="shared" si="2"/>
        <v>6132693.5236587701</v>
      </c>
      <c r="M84" s="889">
        <f t="shared" si="3"/>
        <v>7235374.1800627178</v>
      </c>
      <c r="N84" s="889">
        <f t="shared" si="4"/>
        <v>943023439.00323474</v>
      </c>
      <c r="O84" s="479">
        <f t="shared" si="5"/>
        <v>10129110.676877771</v>
      </c>
      <c r="P84" s="123"/>
    </row>
    <row r="85" spans="2:17" ht="14.4" thickBot="1" x14ac:dyDescent="0.35">
      <c r="B85" s="21" t="s">
        <v>96</v>
      </c>
      <c r="C85" s="22"/>
      <c r="D85" s="392">
        <f t="shared" ref="D85:I85" si="12">SUM(D52:D84)</f>
        <v>20.902136700055632</v>
      </c>
      <c r="E85" s="392">
        <f t="shared" si="12"/>
        <v>15.387735093051717</v>
      </c>
      <c r="F85" s="392">
        <f t="shared" si="12"/>
        <v>70.133091325175258</v>
      </c>
      <c r="G85" s="392">
        <f t="shared" si="12"/>
        <v>14.425610576443708</v>
      </c>
      <c r="H85" s="392">
        <f t="shared" si="12"/>
        <v>685.85282316172277</v>
      </c>
      <c r="I85" s="392">
        <f t="shared" si="12"/>
        <v>51.527352755357924</v>
      </c>
      <c r="J85" s="393">
        <f t="shared" ref="J85:O85" si="13">SUM(J52:J84)</f>
        <v>243091849.82164696</v>
      </c>
      <c r="K85" s="394">
        <f t="shared" si="13"/>
        <v>178959359.13219148</v>
      </c>
      <c r="L85" s="394">
        <f t="shared" si="13"/>
        <v>815647852.11178863</v>
      </c>
      <c r="M85" s="394">
        <f t="shared" si="13"/>
        <v>167769851.00404042</v>
      </c>
      <c r="N85" s="394">
        <f t="shared" si="13"/>
        <v>7976468333.3708372</v>
      </c>
      <c r="O85" s="391">
        <f t="shared" si="13"/>
        <v>599263112.54481268</v>
      </c>
    </row>
    <row r="86" spans="2:17" x14ac:dyDescent="0.25">
      <c r="D86" s="1"/>
      <c r="N86" s="453"/>
    </row>
    <row r="87" spans="2:17" ht="13.8" x14ac:dyDescent="0.3">
      <c r="B87" s="123"/>
      <c r="C87" s="20"/>
      <c r="D87" s="18"/>
      <c r="E87" s="123"/>
      <c r="F87" s="123"/>
      <c r="G87" s="123"/>
      <c r="H87" s="123"/>
      <c r="I87" s="123"/>
      <c r="J87" s="123"/>
      <c r="K87" s="132"/>
      <c r="L87" s="439"/>
      <c r="M87" s="439"/>
      <c r="N87" s="123"/>
      <c r="O87" s="123"/>
    </row>
    <row r="88" spans="2:17" ht="21" x14ac:dyDescent="0.3">
      <c r="B88" s="564" t="s">
        <v>247</v>
      </c>
      <c r="D88" s="233"/>
      <c r="E88" s="231"/>
      <c r="F88" s="231"/>
      <c r="G88" s="231"/>
      <c r="H88" s="123"/>
      <c r="I88" s="123"/>
      <c r="J88" s="123"/>
      <c r="K88" s="132"/>
      <c r="L88" s="123"/>
      <c r="M88" s="123"/>
      <c r="N88" s="123"/>
      <c r="O88" s="123"/>
    </row>
    <row r="89" spans="2:17" ht="13.8" thickBot="1" x14ac:dyDescent="0.3">
      <c r="D89" s="1"/>
    </row>
    <row r="90" spans="2:17" ht="13.5" customHeight="1" thickBot="1" x14ac:dyDescent="0.3">
      <c r="B90" s="1278" t="s">
        <v>199</v>
      </c>
      <c r="C90" s="1298" t="s">
        <v>200</v>
      </c>
      <c r="D90" s="1288" t="s">
        <v>248</v>
      </c>
      <c r="E90" s="1277"/>
      <c r="F90" s="1277"/>
      <c r="G90" s="1277"/>
      <c r="H90" s="1277"/>
      <c r="I90" s="1277"/>
      <c r="J90" s="1277"/>
      <c r="K90" s="1277"/>
      <c r="L90" s="1277"/>
      <c r="M90" s="1277"/>
      <c r="N90" s="1277"/>
      <c r="O90" s="1277"/>
      <c r="P90" s="1285"/>
    </row>
    <row r="91" spans="2:17" ht="14.7" customHeight="1" thickBot="1" x14ac:dyDescent="0.3">
      <c r="B91" s="1278"/>
      <c r="C91" s="1298"/>
      <c r="D91" s="1273" t="s">
        <v>249</v>
      </c>
      <c r="E91" s="1275"/>
      <c r="F91" s="1275"/>
      <c r="G91" s="1275"/>
      <c r="H91" s="1275"/>
      <c r="I91" s="1275"/>
      <c r="J91" s="1275" t="s">
        <v>32</v>
      </c>
      <c r="K91" s="1275"/>
      <c r="L91" s="1275" t="s">
        <v>250</v>
      </c>
      <c r="M91" s="1275"/>
      <c r="N91" s="1300" t="s">
        <v>251</v>
      </c>
      <c r="O91" s="1301"/>
      <c r="P91" s="892" t="s">
        <v>252</v>
      </c>
    </row>
    <row r="92" spans="2:17" ht="28.2" thickBot="1" x14ac:dyDescent="0.3">
      <c r="B92" s="1279"/>
      <c r="C92" s="1299"/>
      <c r="D92" s="883" t="s">
        <v>253</v>
      </c>
      <c r="E92" s="879" t="s">
        <v>92</v>
      </c>
      <c r="F92" s="879" t="s">
        <v>254</v>
      </c>
      <c r="G92" s="879" t="s">
        <v>255</v>
      </c>
      <c r="H92" s="879" t="s">
        <v>256</v>
      </c>
      <c r="I92" s="893" t="s">
        <v>257</v>
      </c>
      <c r="J92" s="879" t="s">
        <v>258</v>
      </c>
      <c r="K92" s="879" t="s">
        <v>92</v>
      </c>
      <c r="L92" s="879" t="s">
        <v>253</v>
      </c>
      <c r="M92" s="879" t="s">
        <v>92</v>
      </c>
      <c r="N92" s="879" t="s">
        <v>253</v>
      </c>
      <c r="O92" s="879" t="s">
        <v>92</v>
      </c>
      <c r="P92" s="882"/>
    </row>
    <row r="93" spans="2:17" ht="13.8" x14ac:dyDescent="0.3">
      <c r="B93" s="19" t="s">
        <v>103</v>
      </c>
      <c r="C93" s="886" t="s">
        <v>206</v>
      </c>
      <c r="D93" s="675">
        <v>12.6182980816923</v>
      </c>
      <c r="E93" s="668">
        <v>0.219302588755038</v>
      </c>
      <c r="F93" s="675">
        <v>0.49316267386957502</v>
      </c>
      <c r="G93" s="675">
        <v>0.628237110304116</v>
      </c>
      <c r="H93" s="675">
        <v>1.4289335865808199</v>
      </c>
      <c r="I93" s="675">
        <v>8.0407927402557894E-2</v>
      </c>
      <c r="J93" s="675">
        <v>0.21541793584370006</v>
      </c>
      <c r="K93" s="675">
        <v>0.38661715938271801</v>
      </c>
      <c r="L93" s="675">
        <v>3.4125806469962897E-2</v>
      </c>
      <c r="M93" s="675">
        <v>0.58297943156325505</v>
      </c>
      <c r="N93" s="668">
        <v>0.80366089174549504</v>
      </c>
      <c r="O93" s="668">
        <v>2.5754690902014601</v>
      </c>
      <c r="P93" s="650">
        <f>SUM(D93:O93)</f>
        <v>20.066612283810997</v>
      </c>
      <c r="Q93" s="481"/>
    </row>
    <row r="94" spans="2:17" ht="13.8" x14ac:dyDescent="0.3">
      <c r="B94" s="19" t="s">
        <v>104</v>
      </c>
      <c r="C94" s="886" t="s">
        <v>207</v>
      </c>
      <c r="D94" s="888">
        <v>23.708792023580699</v>
      </c>
      <c r="E94" s="888">
        <v>0.72016232710026595</v>
      </c>
      <c r="F94" s="888">
        <v>2.7889676937432002</v>
      </c>
      <c r="G94" s="888">
        <v>1.6558853970476699</v>
      </c>
      <c r="H94" s="888">
        <v>2.9147664629143999</v>
      </c>
      <c r="I94" s="888">
        <v>0.21522080867871601</v>
      </c>
      <c r="J94" s="888">
        <v>0.39234315679141341</v>
      </c>
      <c r="K94" s="888">
        <v>0.29822747317248799</v>
      </c>
      <c r="L94" s="888">
        <v>0.15336006967440399</v>
      </c>
      <c r="M94" s="888">
        <v>0.44395052866505502</v>
      </c>
      <c r="N94" s="888">
        <v>1.4131484660478799</v>
      </c>
      <c r="O94" s="888">
        <v>3.3406634893045202</v>
      </c>
      <c r="P94" s="650">
        <f>SUM(D94:O94)</f>
        <v>38.045487896720708</v>
      </c>
    </row>
    <row r="95" spans="2:17" ht="13.8" x14ac:dyDescent="0.3">
      <c r="B95" s="19" t="s">
        <v>105</v>
      </c>
      <c r="C95" s="886" t="s">
        <v>208</v>
      </c>
      <c r="D95" s="888">
        <v>5.9504003361990501</v>
      </c>
      <c r="E95" s="888">
        <v>0.50766983893668005</v>
      </c>
      <c r="F95" s="888">
        <v>0.23973410296195</v>
      </c>
      <c r="G95" s="888">
        <v>0.97453876716656795</v>
      </c>
      <c r="H95" s="888">
        <v>2.25338630176477</v>
      </c>
      <c r="I95" s="888">
        <v>0.13571770455057</v>
      </c>
      <c r="J95" s="888">
        <v>0.47195728126967068</v>
      </c>
      <c r="K95" s="888">
        <v>0.35537201073302199</v>
      </c>
      <c r="L95" s="888">
        <v>5.1776826527715099E-2</v>
      </c>
      <c r="M95" s="888">
        <v>0.53725951139666095</v>
      </c>
      <c r="N95" s="888">
        <v>3.3264756641664102</v>
      </c>
      <c r="O95" s="888">
        <v>3.24183450357783</v>
      </c>
      <c r="P95" s="650">
        <f t="shared" ref="P95:P125" si="14">SUM(D95:O95)</f>
        <v>18.046122849250899</v>
      </c>
    </row>
    <row r="96" spans="2:17" ht="13.8" x14ac:dyDescent="0.3">
      <c r="B96" s="19" t="s">
        <v>106</v>
      </c>
      <c r="C96" s="886" t="s">
        <v>209</v>
      </c>
      <c r="D96" s="888">
        <v>11.2788180051857</v>
      </c>
      <c r="E96" s="888">
        <v>0.41989553924697698</v>
      </c>
      <c r="F96" s="888">
        <v>4.7080492070796698</v>
      </c>
      <c r="G96" s="888">
        <v>1.04341695108915</v>
      </c>
      <c r="H96" s="888">
        <v>3.2532637693355801</v>
      </c>
      <c r="I96" s="888">
        <v>4.76125522241959E-2</v>
      </c>
      <c r="J96" s="888">
        <v>0.63495357864950541</v>
      </c>
      <c r="K96" s="888">
        <v>0.30980651715941998</v>
      </c>
      <c r="L96" s="888">
        <v>1.33356582325568E-2</v>
      </c>
      <c r="M96" s="888">
        <v>0.46253349529765497</v>
      </c>
      <c r="N96" s="888">
        <v>2.2386826873312602</v>
      </c>
      <c r="O96" s="888">
        <v>2.47772380748768</v>
      </c>
      <c r="P96" s="650">
        <f t="shared" si="14"/>
        <v>26.888091768319345</v>
      </c>
    </row>
    <row r="97" spans="2:16" ht="13.8" x14ac:dyDescent="0.3">
      <c r="B97" s="19" t="s">
        <v>107</v>
      </c>
      <c r="C97" s="886" t="s">
        <v>210</v>
      </c>
      <c r="D97" s="888">
        <v>6.5920806393158902</v>
      </c>
      <c r="E97" s="888">
        <v>1.11127959096659</v>
      </c>
      <c r="F97" s="888">
        <v>0.38419758979628099</v>
      </c>
      <c r="G97" s="888">
        <v>1.19340485399105</v>
      </c>
      <c r="H97" s="888">
        <v>2.28927831890186</v>
      </c>
      <c r="I97" s="888">
        <v>0.63840600409973602</v>
      </c>
      <c r="J97" s="888">
        <v>0.2629419347910133</v>
      </c>
      <c r="K97" s="888">
        <v>0.29119821098652698</v>
      </c>
      <c r="L97" s="888">
        <v>2.6671316465113701E-2</v>
      </c>
      <c r="M97" s="888">
        <v>0.443677458911095</v>
      </c>
      <c r="N97" s="888">
        <v>0.79867047988573003</v>
      </c>
      <c r="O97" s="888">
        <v>3.8009106250476399</v>
      </c>
      <c r="P97" s="650">
        <f t="shared" si="14"/>
        <v>17.832717023158526</v>
      </c>
    </row>
    <row r="98" spans="2:16" ht="13.8" x14ac:dyDescent="0.3">
      <c r="B98" s="19" t="s">
        <v>108</v>
      </c>
      <c r="C98" s="886" t="s">
        <v>211</v>
      </c>
      <c r="D98" s="888">
        <v>42.194267932860598</v>
      </c>
      <c r="E98" s="888">
        <v>0.70016420902659204</v>
      </c>
      <c r="F98" s="888">
        <v>3.4922529003593801</v>
      </c>
      <c r="G98" s="888">
        <v>3.4457950486823199</v>
      </c>
      <c r="H98" s="888">
        <v>8.2018201716784898</v>
      </c>
      <c r="I98" s="888">
        <v>4.2394870925521702E-2</v>
      </c>
      <c r="J98" s="888">
        <v>0.39286809578870896</v>
      </c>
      <c r="K98" s="888">
        <v>7.3204822565519106E-2</v>
      </c>
      <c r="L98" s="888">
        <v>0.161601220567824</v>
      </c>
      <c r="M98" s="888">
        <v>0.111067421622426</v>
      </c>
      <c r="N98" s="888">
        <v>0.97878463667233695</v>
      </c>
      <c r="O98" s="888">
        <v>0.52199295657917699</v>
      </c>
      <c r="P98" s="650">
        <f t="shared" si="14"/>
        <v>60.31621428732889</v>
      </c>
    </row>
    <row r="99" spans="2:16" ht="13.8" x14ac:dyDescent="0.3">
      <c r="B99" s="19" t="s">
        <v>109</v>
      </c>
      <c r="C99" s="886" t="s">
        <v>212</v>
      </c>
      <c r="D99" s="888">
        <v>4.1324784592119199</v>
      </c>
      <c r="E99" s="888">
        <v>2.5202581634031E-2</v>
      </c>
      <c r="F99" s="888">
        <v>1.48664073656859E-3</v>
      </c>
      <c r="G99" s="888">
        <v>0.74385649697374001</v>
      </c>
      <c r="H99" s="888">
        <v>8.2770298276640801</v>
      </c>
      <c r="I99" s="888">
        <v>2.197097866643E-2</v>
      </c>
      <c r="J99" s="888">
        <v>0.32634352240447345</v>
      </c>
      <c r="K99" s="888">
        <v>1.2203131883652999E-3</v>
      </c>
      <c r="L99" s="888">
        <v>6.6678291162784202E-3</v>
      </c>
      <c r="M99" s="888">
        <v>1.82577760858716E-3</v>
      </c>
      <c r="N99" s="888">
        <v>0.54952534128846897</v>
      </c>
      <c r="O99" s="888">
        <v>6.9861945529067597E-3</v>
      </c>
      <c r="P99" s="650">
        <f t="shared" si="14"/>
        <v>14.094593963045849</v>
      </c>
    </row>
    <row r="100" spans="2:16" ht="13.8" x14ac:dyDescent="0.3">
      <c r="B100" s="19" t="s">
        <v>110</v>
      </c>
      <c r="C100" s="886" t="s">
        <v>213</v>
      </c>
      <c r="D100" s="888">
        <v>7.5489604815167004</v>
      </c>
      <c r="E100" s="888">
        <v>0.73776973504157695</v>
      </c>
      <c r="F100" s="888">
        <v>0.89278765614290001</v>
      </c>
      <c r="G100" s="888">
        <v>1.71967008767662</v>
      </c>
      <c r="H100" s="888">
        <v>2.1610141412869899</v>
      </c>
      <c r="I100" s="888">
        <v>0.16422023079831499</v>
      </c>
      <c r="J100" s="888">
        <v>0.24395944579897319</v>
      </c>
      <c r="K100" s="888">
        <v>0.50922037783718099</v>
      </c>
      <c r="L100" s="888">
        <v>4.0006974697670498E-2</v>
      </c>
      <c r="M100" s="888">
        <v>0.76413640216924195</v>
      </c>
      <c r="N100" s="888">
        <v>0.84628057125594702</v>
      </c>
      <c r="O100" s="888">
        <v>4.5035262183145397</v>
      </c>
      <c r="P100" s="650">
        <f t="shared" si="14"/>
        <v>20.13155232253666</v>
      </c>
    </row>
    <row r="101" spans="2:16" ht="13.8" x14ac:dyDescent="0.3">
      <c r="B101" s="19" t="s">
        <v>111</v>
      </c>
      <c r="C101" s="886" t="s">
        <v>214</v>
      </c>
      <c r="D101" s="888">
        <v>19.604094206451101</v>
      </c>
      <c r="E101" s="888">
        <v>0.52646588543621997</v>
      </c>
      <c r="F101" s="888">
        <v>1.9512499861399499</v>
      </c>
      <c r="G101" s="888">
        <v>1.13973683830102</v>
      </c>
      <c r="H101" s="888">
        <v>2.7799281837757102</v>
      </c>
      <c r="I101" s="888">
        <v>0.107270949969798</v>
      </c>
      <c r="J101" s="888">
        <v>0.7947977741204878</v>
      </c>
      <c r="K101" s="888">
        <v>0.352456318289532</v>
      </c>
      <c r="L101" s="888">
        <v>5.4915954707369E-2</v>
      </c>
      <c r="M101" s="888">
        <v>0.53454570697001902</v>
      </c>
      <c r="N101" s="888">
        <v>1.99516564861414</v>
      </c>
      <c r="O101" s="888">
        <v>2.9680417955274701</v>
      </c>
      <c r="P101" s="650">
        <f t="shared" si="14"/>
        <v>32.80866924830282</v>
      </c>
    </row>
    <row r="102" spans="2:16" ht="13.8" x14ac:dyDescent="0.3">
      <c r="B102" s="19" t="s">
        <v>112</v>
      </c>
      <c r="C102" s="886" t="s">
        <v>215</v>
      </c>
      <c r="D102" s="888">
        <v>8.9866637488061407</v>
      </c>
      <c r="E102" s="888">
        <v>0.51383195422235395</v>
      </c>
      <c r="F102" s="888">
        <v>0.38458377813163502</v>
      </c>
      <c r="G102" s="888">
        <v>1.3008841930047199</v>
      </c>
      <c r="H102" s="888">
        <v>2.44274714321481</v>
      </c>
      <c r="I102" s="888">
        <v>0.32766316086438302</v>
      </c>
      <c r="J102" s="888">
        <v>0.97910085437815386</v>
      </c>
      <c r="K102" s="888">
        <v>0.42479735701438098</v>
      </c>
      <c r="L102" s="888">
        <v>0.220832537100388</v>
      </c>
      <c r="M102" s="888">
        <v>0.63815534975197996</v>
      </c>
      <c r="N102" s="888">
        <v>1.27297917340027</v>
      </c>
      <c r="O102" s="888">
        <v>3.31496375917762</v>
      </c>
      <c r="P102" s="650">
        <f t="shared" si="14"/>
        <v>20.807203009066832</v>
      </c>
    </row>
    <row r="103" spans="2:16" ht="13.8" x14ac:dyDescent="0.3">
      <c r="B103" s="19" t="s">
        <v>113</v>
      </c>
      <c r="C103" s="886" t="s">
        <v>216</v>
      </c>
      <c r="D103" s="888">
        <v>24.167137124990699</v>
      </c>
      <c r="E103" s="888">
        <v>0.39079155509786001</v>
      </c>
      <c r="F103" s="888">
        <v>0.14352945633137601</v>
      </c>
      <c r="G103" s="888">
        <v>1.4206295235075601</v>
      </c>
      <c r="H103" s="888">
        <v>2.0386215719818299</v>
      </c>
      <c r="I103" s="888">
        <v>7.5798029665291006E-2</v>
      </c>
      <c r="J103" s="888">
        <v>0.3611110600782601</v>
      </c>
      <c r="K103" s="888">
        <v>0.33308698640522399</v>
      </c>
      <c r="L103" s="888">
        <v>6.6678291162784202E-3</v>
      </c>
      <c r="M103" s="888">
        <v>0.50512179279983804</v>
      </c>
      <c r="N103" s="888">
        <v>1.3499424413755801</v>
      </c>
      <c r="O103" s="888">
        <v>2.6720161315061999</v>
      </c>
      <c r="P103" s="650">
        <f t="shared" si="14"/>
        <v>33.464453502855989</v>
      </c>
    </row>
    <row r="104" spans="2:16" ht="13.8" x14ac:dyDescent="0.3">
      <c r="B104" s="19" t="s">
        <v>114</v>
      </c>
      <c r="C104" s="886" t="s">
        <v>217</v>
      </c>
      <c r="D104" s="888">
        <v>14.4906062310066</v>
      </c>
      <c r="E104" s="888">
        <v>0.22906205047876399</v>
      </c>
      <c r="F104" s="888">
        <v>0.246533772198126</v>
      </c>
      <c r="G104" s="888">
        <v>1.4072842812648501</v>
      </c>
      <c r="H104" s="888">
        <v>2.98796998035326</v>
      </c>
      <c r="I104" s="888">
        <v>2.8570314908748E-2</v>
      </c>
      <c r="J104" s="888">
        <v>0.21282560209508666</v>
      </c>
      <c r="K104" s="888">
        <v>0.120180448296307</v>
      </c>
      <c r="L104" s="888">
        <v>9.2570462113956503E-2</v>
      </c>
      <c r="M104" s="888">
        <v>0.18192489999286901</v>
      </c>
      <c r="N104" s="888">
        <v>0.582096560255701</v>
      </c>
      <c r="O104" s="888">
        <v>0.72943705507974499</v>
      </c>
      <c r="P104" s="650">
        <f t="shared" si="14"/>
        <v>21.309061658044012</v>
      </c>
    </row>
    <row r="105" spans="2:16" ht="13.8" x14ac:dyDescent="0.3">
      <c r="B105" s="19" t="s">
        <v>115</v>
      </c>
      <c r="C105" s="886" t="s">
        <v>218</v>
      </c>
      <c r="D105" s="888">
        <v>15.2644864855307</v>
      </c>
      <c r="E105" s="888">
        <v>0.27662512911853498</v>
      </c>
      <c r="F105" s="888">
        <v>0.79923437384617202</v>
      </c>
      <c r="G105" s="888">
        <v>1.1298714165767401</v>
      </c>
      <c r="H105" s="888">
        <v>4.8565431188585801</v>
      </c>
      <c r="I105" s="888">
        <v>2.3195703335271201E-2</v>
      </c>
      <c r="J105" s="888">
        <v>0.1893039213299082</v>
      </c>
      <c r="K105" s="888">
        <v>0.101371891360415</v>
      </c>
      <c r="L105" s="888">
        <v>0</v>
      </c>
      <c r="M105" s="888">
        <v>0.153655846222679</v>
      </c>
      <c r="N105" s="888">
        <v>0.49206907990389198</v>
      </c>
      <c r="O105" s="888">
        <v>0.67583999287512697</v>
      </c>
      <c r="P105" s="650">
        <f t="shared" si="14"/>
        <v>23.962196958958025</v>
      </c>
    </row>
    <row r="106" spans="2:16" ht="13.8" x14ac:dyDescent="0.3">
      <c r="B106" s="19" t="s">
        <v>116</v>
      </c>
      <c r="C106" s="886" t="s">
        <v>219</v>
      </c>
      <c r="D106" s="888">
        <v>17.914209306465398</v>
      </c>
      <c r="E106" s="888">
        <v>0.24931020501804599</v>
      </c>
      <c r="F106" s="888">
        <v>1.1138842116849501</v>
      </c>
      <c r="G106" s="888">
        <v>0.90711142691914404</v>
      </c>
      <c r="H106" s="888">
        <v>1.6050405783031501</v>
      </c>
      <c r="I106" s="888">
        <v>4.9558316561565598E-2</v>
      </c>
      <c r="J106" s="888">
        <v>0.26267419778497458</v>
      </c>
      <c r="K106" s="888">
        <v>0.250988483387866</v>
      </c>
      <c r="L106" s="888">
        <v>4.6285231056978203E-2</v>
      </c>
      <c r="M106" s="888">
        <v>0.37715189872827598</v>
      </c>
      <c r="N106" s="888">
        <v>0.91102722271939296</v>
      </c>
      <c r="O106" s="888">
        <v>1.7228229551040299</v>
      </c>
      <c r="P106" s="650">
        <f t="shared" si="14"/>
        <v>25.410064033733768</v>
      </c>
    </row>
    <row r="107" spans="2:16" ht="13.8" x14ac:dyDescent="0.3">
      <c r="B107" s="19" t="s">
        <v>117</v>
      </c>
      <c r="C107" s="886" t="s">
        <v>220</v>
      </c>
      <c r="D107" s="888">
        <v>2.38137210575014</v>
      </c>
      <c r="E107" s="888">
        <v>0.45717182328301198</v>
      </c>
      <c r="F107" s="888">
        <v>1.5040659267549601</v>
      </c>
      <c r="G107" s="888">
        <v>0.92603457550844703</v>
      </c>
      <c r="H107" s="888">
        <v>1.5069735116109599</v>
      </c>
      <c r="I107" s="888">
        <v>8.3900023403704199E-2</v>
      </c>
      <c r="J107" s="888">
        <v>0.13006657319251164</v>
      </c>
      <c r="K107" s="888">
        <v>0.24376056995874401</v>
      </c>
      <c r="L107" s="888">
        <v>7.88377157497996E-2</v>
      </c>
      <c r="M107" s="888">
        <v>0.36238905471822402</v>
      </c>
      <c r="N107" s="888">
        <v>0.44737147946705202</v>
      </c>
      <c r="O107" s="888">
        <v>2.4744399044452998</v>
      </c>
      <c r="P107" s="650">
        <f t="shared" si="14"/>
        <v>10.596383263842855</v>
      </c>
    </row>
    <row r="108" spans="2:16" ht="13.8" x14ac:dyDescent="0.3">
      <c r="B108" s="19" t="s">
        <v>118</v>
      </c>
      <c r="C108" s="886" t="s">
        <v>221</v>
      </c>
      <c r="D108" s="888">
        <v>7.7029903729433702</v>
      </c>
      <c r="E108" s="888">
        <v>0.62571362718712398</v>
      </c>
      <c r="F108" s="888">
        <v>0.47221142685693202</v>
      </c>
      <c r="G108" s="888">
        <v>0.797058439250804</v>
      </c>
      <c r="H108" s="888">
        <v>1.40486315661114</v>
      </c>
      <c r="I108" s="888">
        <v>0.59543000812421998</v>
      </c>
      <c r="J108" s="888">
        <v>0.55732441901316132</v>
      </c>
      <c r="K108" s="888">
        <v>0.31971266972951601</v>
      </c>
      <c r="L108" s="888">
        <v>9.6488735807551795E-2</v>
      </c>
      <c r="M108" s="888">
        <v>0.49024623395330202</v>
      </c>
      <c r="N108" s="888">
        <v>2.0718158142138798</v>
      </c>
      <c r="O108" s="888">
        <v>3.18662641894307</v>
      </c>
      <c r="P108" s="650">
        <f t="shared" si="14"/>
        <v>18.320481322634073</v>
      </c>
    </row>
    <row r="109" spans="2:16" ht="13.8" x14ac:dyDescent="0.3">
      <c r="B109" s="19" t="s">
        <v>119</v>
      </c>
      <c r="C109" s="886" t="s">
        <v>222</v>
      </c>
      <c r="D109" s="888">
        <v>34.639683208305001</v>
      </c>
      <c r="E109" s="888">
        <v>0.76865177592616096</v>
      </c>
      <c r="F109" s="888">
        <v>2.8999666907937902</v>
      </c>
      <c r="G109" s="888">
        <v>1.6363942555734501</v>
      </c>
      <c r="H109" s="888">
        <v>5.9873105165730403</v>
      </c>
      <c r="I109" s="888">
        <v>0.35579718473841099</v>
      </c>
      <c r="J109" s="888">
        <v>1.0049870883747534</v>
      </c>
      <c r="K109" s="888">
        <v>0.32821491666656899</v>
      </c>
      <c r="L109" s="888">
        <v>8.2763504818024206E-2</v>
      </c>
      <c r="M109" s="888">
        <v>0.503108662148402</v>
      </c>
      <c r="N109" s="888">
        <v>1.50415745731396</v>
      </c>
      <c r="O109" s="888">
        <v>3.7628446253696999</v>
      </c>
      <c r="P109" s="650">
        <f t="shared" si="14"/>
        <v>53.47387988660126</v>
      </c>
    </row>
    <row r="110" spans="2:16" ht="13.8" x14ac:dyDescent="0.3">
      <c r="B110" s="19" t="s">
        <v>120</v>
      </c>
      <c r="C110" s="886" t="s">
        <v>223</v>
      </c>
      <c r="D110" s="888">
        <v>6.3545357509229001</v>
      </c>
      <c r="E110" s="888">
        <v>0.57463464974295397</v>
      </c>
      <c r="F110" s="888">
        <v>0.141053492952355</v>
      </c>
      <c r="G110" s="888">
        <v>0.90499630731425795</v>
      </c>
      <c r="H110" s="888">
        <v>3.5417061901064799</v>
      </c>
      <c r="I110" s="888">
        <v>0.13965968613902</v>
      </c>
      <c r="J110" s="888">
        <v>0.33016262188069412</v>
      </c>
      <c r="K110" s="888">
        <v>0.33394965835797402</v>
      </c>
      <c r="L110" s="888">
        <v>0.29338448111625098</v>
      </c>
      <c r="M110" s="888">
        <v>0.50557323704263202</v>
      </c>
      <c r="N110" s="888">
        <v>0.49725584697314801</v>
      </c>
      <c r="O110" s="888">
        <v>2.91693848999881</v>
      </c>
      <c r="P110" s="650">
        <f t="shared" si="14"/>
        <v>16.533850412547476</v>
      </c>
    </row>
    <row r="111" spans="2:16" ht="13.8" x14ac:dyDescent="0.3">
      <c r="B111" s="19" t="s">
        <v>121</v>
      </c>
      <c r="C111" s="886" t="s">
        <v>224</v>
      </c>
      <c r="D111" s="888">
        <v>15.7759280697243</v>
      </c>
      <c r="E111" s="888">
        <v>0.237968398419037</v>
      </c>
      <c r="F111" s="888">
        <v>0.76765209398981404</v>
      </c>
      <c r="G111" s="888">
        <v>1.3413145511151601</v>
      </c>
      <c r="H111" s="888">
        <v>4.8617034054479502</v>
      </c>
      <c r="I111" s="888">
        <v>1.5260238683764299E-2</v>
      </c>
      <c r="J111" s="888">
        <v>0.2404211093736377</v>
      </c>
      <c r="K111" s="888">
        <v>8.6519980225257198E-2</v>
      </c>
      <c r="L111" s="888">
        <v>8.5902632997678002E-2</v>
      </c>
      <c r="M111" s="888">
        <v>0.129329338163471</v>
      </c>
      <c r="N111" s="888">
        <v>0.674095851795808</v>
      </c>
      <c r="O111" s="888">
        <v>0.52149875656978395</v>
      </c>
      <c r="P111" s="650">
        <f t="shared" si="14"/>
        <v>24.737594426505666</v>
      </c>
    </row>
    <row r="112" spans="2:16" ht="13.8" x14ac:dyDescent="0.3">
      <c r="B112" s="19" t="s">
        <v>122</v>
      </c>
      <c r="C112" s="886" t="s">
        <v>225</v>
      </c>
      <c r="D112" s="888">
        <v>16.721289161731502</v>
      </c>
      <c r="E112" s="888">
        <v>0.59574795476898701</v>
      </c>
      <c r="F112" s="888">
        <v>0.19289258378277099</v>
      </c>
      <c r="G112" s="888">
        <v>0.97276781771892995</v>
      </c>
      <c r="H112" s="888">
        <v>3.2541461751748901</v>
      </c>
      <c r="I112" s="888">
        <v>2.4592897270580599E-2</v>
      </c>
      <c r="J112" s="888">
        <v>8.3412099305059176E-2</v>
      </c>
      <c r="K112" s="888">
        <v>6.1029406478248803E-2</v>
      </c>
      <c r="L112" s="888">
        <v>5.4915954707369001E-3</v>
      </c>
      <c r="M112" s="888">
        <v>9.2109049604003596E-2</v>
      </c>
      <c r="N112" s="888">
        <v>0.12622677393505199</v>
      </c>
      <c r="O112" s="888">
        <v>0.37074205899916901</v>
      </c>
      <c r="P112" s="650">
        <f t="shared" si="14"/>
        <v>22.500447574239928</v>
      </c>
    </row>
    <row r="113" spans="2:16" ht="13.8" x14ac:dyDescent="0.3">
      <c r="B113" s="19" t="s">
        <v>226</v>
      </c>
      <c r="C113" s="886" t="s">
        <v>227</v>
      </c>
      <c r="D113" s="888">
        <v>5.7383109796740799</v>
      </c>
      <c r="E113" s="888">
        <v>0.28313618638572402</v>
      </c>
      <c r="F113" s="888">
        <v>0.15934979511901401</v>
      </c>
      <c r="G113" s="888">
        <v>1.1431026259211401</v>
      </c>
      <c r="H113" s="888">
        <v>1.57870048085841</v>
      </c>
      <c r="I113" s="888">
        <v>9.6392384036802406E-2</v>
      </c>
      <c r="J113" s="888">
        <v>8.0901681986520702E-2</v>
      </c>
      <c r="K113" s="888">
        <v>0.16463283650181301</v>
      </c>
      <c r="L113" s="888">
        <v>1.2159424587015299E-2</v>
      </c>
      <c r="M113" s="888">
        <v>0.24901789551961601</v>
      </c>
      <c r="N113" s="888">
        <v>0.229634139737178</v>
      </c>
      <c r="O113" s="888">
        <v>1.60451259771201</v>
      </c>
      <c r="P113" s="650">
        <f t="shared" si="14"/>
        <v>11.339851028039323</v>
      </c>
    </row>
    <row r="114" spans="2:16" ht="13.8" x14ac:dyDescent="0.3">
      <c r="B114" s="19" t="s">
        <v>124</v>
      </c>
      <c r="C114" s="886" t="s">
        <v>228</v>
      </c>
      <c r="D114" s="888">
        <v>15.3018079778545</v>
      </c>
      <c r="E114" s="888">
        <v>0.471925610896818</v>
      </c>
      <c r="F114" s="888">
        <v>0.30240208034412602</v>
      </c>
      <c r="G114" s="888">
        <v>1.4915551701777401</v>
      </c>
      <c r="H114" s="888">
        <v>2.8649694102874599</v>
      </c>
      <c r="I114" s="888">
        <v>3.3866616872293497E-2</v>
      </c>
      <c r="J114" s="888">
        <v>0.26732274919483939</v>
      </c>
      <c r="K114" s="888">
        <v>0.202250895965288</v>
      </c>
      <c r="L114" s="888">
        <v>6.6678291162784202E-3</v>
      </c>
      <c r="M114" s="888">
        <v>0.30227875833565598</v>
      </c>
      <c r="N114" s="888">
        <v>0.79349365296683605</v>
      </c>
      <c r="O114" s="888">
        <v>1.54487743268796</v>
      </c>
      <c r="P114" s="650">
        <f t="shared" si="14"/>
        <v>23.583418184699802</v>
      </c>
    </row>
    <row r="115" spans="2:16" ht="13.8" x14ac:dyDescent="0.3">
      <c r="B115" s="19" t="s">
        <v>125</v>
      </c>
      <c r="C115" s="886" t="s">
        <v>229</v>
      </c>
      <c r="D115" s="888">
        <v>7.3598205626201096</v>
      </c>
      <c r="E115" s="888">
        <v>0.34482954472077498</v>
      </c>
      <c r="F115" s="888">
        <v>0.72325741856147596</v>
      </c>
      <c r="G115" s="888">
        <v>1.0334620864600801</v>
      </c>
      <c r="H115" s="888">
        <v>1.35375662482071</v>
      </c>
      <c r="I115" s="888">
        <v>3.9308353633602897E-2</v>
      </c>
      <c r="J115" s="888">
        <v>0.15318440452115262</v>
      </c>
      <c r="K115" s="888">
        <v>0.33361388351547</v>
      </c>
      <c r="L115" s="888">
        <v>2.4318849174030599E-2</v>
      </c>
      <c r="M115" s="888">
        <v>0.49831163251344901</v>
      </c>
      <c r="N115" s="888">
        <v>0.461247793295815</v>
      </c>
      <c r="O115" s="888">
        <v>2.56896528196267</v>
      </c>
      <c r="P115" s="650">
        <f t="shared" si="14"/>
        <v>14.89407643579934</v>
      </c>
    </row>
    <row r="116" spans="2:16" ht="13.8" x14ac:dyDescent="0.3">
      <c r="B116" s="19" t="s">
        <v>126</v>
      </c>
      <c r="C116" s="886" t="s">
        <v>230</v>
      </c>
      <c r="D116" s="888">
        <v>4.4225319314404903</v>
      </c>
      <c r="E116" s="888">
        <v>0.368141237973234</v>
      </c>
      <c r="F116" s="888">
        <v>0.20992122955758</v>
      </c>
      <c r="G116" s="888">
        <v>0.73787976592229299</v>
      </c>
      <c r="H116" s="888">
        <v>1.851746456403</v>
      </c>
      <c r="I116" s="888">
        <v>6.8336440862362596E-2</v>
      </c>
      <c r="J116" s="888">
        <v>0.12432877437124523</v>
      </c>
      <c r="K116" s="888">
        <v>0.27189057926211202</v>
      </c>
      <c r="L116" s="888">
        <v>6.6678291162784202E-3</v>
      </c>
      <c r="M116" s="888">
        <v>0.40940925681455598</v>
      </c>
      <c r="N116" s="888">
        <v>0.47979877175584101</v>
      </c>
      <c r="O116" s="888">
        <v>2.3159732639508102</v>
      </c>
      <c r="P116" s="650">
        <f t="shared" si="14"/>
        <v>11.266625537429803</v>
      </c>
    </row>
    <row r="117" spans="2:16" ht="13.8" x14ac:dyDescent="0.3">
      <c r="B117" s="19" t="s">
        <v>127</v>
      </c>
      <c r="C117" s="886" t="s">
        <v>231</v>
      </c>
      <c r="D117" s="888">
        <v>31.1989692526809</v>
      </c>
      <c r="E117" s="888">
        <v>0.15665853382061601</v>
      </c>
      <c r="F117" s="888">
        <v>0.64933156738833797</v>
      </c>
      <c r="G117" s="888">
        <v>1.3391115444867301</v>
      </c>
      <c r="H117" s="888">
        <v>1.82613679728084</v>
      </c>
      <c r="I117" s="888">
        <v>4.3843765395721199E-2</v>
      </c>
      <c r="J117" s="888">
        <v>0.39745767135245724</v>
      </c>
      <c r="K117" s="888">
        <v>0.46427118644182602</v>
      </c>
      <c r="L117" s="888">
        <v>7.3346120279062704E-2</v>
      </c>
      <c r="M117" s="888">
        <v>0.69896931606511203</v>
      </c>
      <c r="N117" s="888">
        <v>15.9870517575884</v>
      </c>
      <c r="O117" s="888">
        <v>2.6450788034757799</v>
      </c>
      <c r="P117" s="650">
        <f t="shared" si="14"/>
        <v>55.480226316255781</v>
      </c>
    </row>
    <row r="118" spans="2:16" ht="13.8" x14ac:dyDescent="0.3">
      <c r="B118" s="19" t="s">
        <v>128</v>
      </c>
      <c r="C118" s="886" t="s">
        <v>232</v>
      </c>
      <c r="D118" s="888">
        <v>10.916818439153801</v>
      </c>
      <c r="E118" s="888">
        <v>0.39274815546461</v>
      </c>
      <c r="F118" s="888">
        <v>0.17563690441072899</v>
      </c>
      <c r="G118" s="888">
        <v>1.2673193609600499</v>
      </c>
      <c r="H118" s="888">
        <v>1.45616211749964</v>
      </c>
      <c r="I118" s="888">
        <v>0.17256707601697099</v>
      </c>
      <c r="J118" s="888">
        <v>0.40329355880287632</v>
      </c>
      <c r="K118" s="888">
        <v>0.39350702926626002</v>
      </c>
      <c r="L118" s="888">
        <v>3.7654507406587497E-2</v>
      </c>
      <c r="M118" s="888">
        <v>0.59539595899080999</v>
      </c>
      <c r="N118" s="888">
        <v>1.5535875176157099</v>
      </c>
      <c r="O118" s="888">
        <v>2.9536927106121902</v>
      </c>
      <c r="P118" s="650">
        <f t="shared" si="14"/>
        <v>20.318383336200235</v>
      </c>
    </row>
    <row r="119" spans="2:16" ht="13.8" x14ac:dyDescent="0.3">
      <c r="B119" s="19" t="s">
        <v>233</v>
      </c>
      <c r="C119" s="886" t="s">
        <v>234</v>
      </c>
      <c r="D119" s="888">
        <v>2.3363291048694599</v>
      </c>
      <c r="E119" s="888">
        <v>0.52458288095753902</v>
      </c>
      <c r="F119" s="888">
        <v>6.4000362544606407E-2</v>
      </c>
      <c r="G119" s="888">
        <v>0.79584978540905105</v>
      </c>
      <c r="H119" s="888">
        <v>1.8939694940313401</v>
      </c>
      <c r="I119" s="888">
        <v>0.1914281117902</v>
      </c>
      <c r="J119" s="888">
        <v>0.42987092320432818</v>
      </c>
      <c r="K119" s="888">
        <v>0.16909634449201799</v>
      </c>
      <c r="L119" s="888">
        <v>1.33356582325568E-2</v>
      </c>
      <c r="M119" s="888">
        <v>0.254420020826919</v>
      </c>
      <c r="N119" s="888">
        <v>1.68639654642717</v>
      </c>
      <c r="O119" s="888">
        <v>1.9726123623794101</v>
      </c>
      <c r="P119" s="650">
        <f t="shared" si="14"/>
        <v>10.331891595164599</v>
      </c>
    </row>
    <row r="120" spans="2:16" ht="13.8" x14ac:dyDescent="0.3">
      <c r="B120" s="19" t="s">
        <v>130</v>
      </c>
      <c r="C120" s="886" t="s">
        <v>235</v>
      </c>
      <c r="D120" s="888">
        <v>28.6954076474921</v>
      </c>
      <c r="E120" s="888">
        <v>0.63347194020071895</v>
      </c>
      <c r="F120" s="888">
        <v>0.35303232195036899</v>
      </c>
      <c r="G120" s="888">
        <v>2.9509024889503701</v>
      </c>
      <c r="H120" s="888">
        <v>3.9836031149825302</v>
      </c>
      <c r="I120" s="888">
        <v>4.1676457844272097E-2</v>
      </c>
      <c r="J120" s="888">
        <v>0.35038081534922461</v>
      </c>
      <c r="K120" s="888">
        <v>0.16951309910090301</v>
      </c>
      <c r="L120" s="888">
        <v>0</v>
      </c>
      <c r="M120" s="888">
        <v>0.25361682406645603</v>
      </c>
      <c r="N120" s="888">
        <v>0.95000732341844296</v>
      </c>
      <c r="O120" s="888">
        <v>1.2888004907796899</v>
      </c>
      <c r="P120" s="650">
        <f t="shared" si="14"/>
        <v>39.670412524135081</v>
      </c>
    </row>
    <row r="121" spans="2:16" ht="13.8" x14ac:dyDescent="0.3">
      <c r="B121" s="19" t="s">
        <v>131</v>
      </c>
      <c r="C121" s="886" t="s">
        <v>236</v>
      </c>
      <c r="D121" s="888">
        <v>3.37886194259793</v>
      </c>
      <c r="E121" s="888">
        <v>0.43075481339677202</v>
      </c>
      <c r="F121" s="888">
        <v>2.1136701197001999E-2</v>
      </c>
      <c r="G121" s="888">
        <v>0.66111855671309105</v>
      </c>
      <c r="H121" s="888">
        <v>1.3202696007496799</v>
      </c>
      <c r="I121" s="888">
        <v>0.105290185173362</v>
      </c>
      <c r="J121" s="888">
        <v>0.78303267843006708</v>
      </c>
      <c r="K121" s="888">
        <v>0.21798468747090699</v>
      </c>
      <c r="L121" s="888">
        <v>0.13845860503933499</v>
      </c>
      <c r="M121" s="888">
        <v>0.324832527473015</v>
      </c>
      <c r="N121" s="888">
        <v>3.33396548439018</v>
      </c>
      <c r="O121" s="888">
        <v>2.2201675662787799</v>
      </c>
      <c r="P121" s="650">
        <f t="shared" si="14"/>
        <v>12.935873348910123</v>
      </c>
    </row>
    <row r="122" spans="2:16" ht="13.8" x14ac:dyDescent="0.3">
      <c r="B122" s="19" t="s">
        <v>132</v>
      </c>
      <c r="C122" s="886" t="s">
        <v>237</v>
      </c>
      <c r="D122" s="888">
        <v>30.898270607485902</v>
      </c>
      <c r="E122" s="888">
        <v>0.34216131527180199</v>
      </c>
      <c r="F122" s="888">
        <v>1.90744998563382E-2</v>
      </c>
      <c r="G122" s="888">
        <v>1.5110180103328801</v>
      </c>
      <c r="H122" s="888">
        <v>4.66264329418867</v>
      </c>
      <c r="I122" s="888">
        <v>2.0576811134543901E-2</v>
      </c>
      <c r="J122" s="888">
        <v>0.25714149460235719</v>
      </c>
      <c r="K122" s="888">
        <v>0.103499797502296</v>
      </c>
      <c r="L122" s="888">
        <v>6.7075379294384299E-2</v>
      </c>
      <c r="M122" s="888">
        <v>0.154808659997515</v>
      </c>
      <c r="N122" s="888">
        <v>0.67142204774539305</v>
      </c>
      <c r="O122" s="888">
        <v>0.66665024672527795</v>
      </c>
      <c r="P122" s="650">
        <f t="shared" si="14"/>
        <v>39.37434216413736</v>
      </c>
    </row>
    <row r="123" spans="2:16" ht="13.8" x14ac:dyDescent="0.3">
      <c r="B123" s="19" t="s">
        <v>133</v>
      </c>
      <c r="C123" s="886" t="s">
        <v>238</v>
      </c>
      <c r="D123" s="888">
        <v>16.204890059564601</v>
      </c>
      <c r="E123" s="888">
        <v>0.24219664341989899</v>
      </c>
      <c r="F123" s="888">
        <v>0.59382903075674198</v>
      </c>
      <c r="G123" s="888">
        <v>0.92158094716882799</v>
      </c>
      <c r="H123" s="888">
        <v>1.24039952770166</v>
      </c>
      <c r="I123" s="888">
        <v>6.3395974265561497E-2</v>
      </c>
      <c r="J123" s="888">
        <v>0.32823479390360949</v>
      </c>
      <c r="K123" s="888">
        <v>0.380467984855136</v>
      </c>
      <c r="L123" s="888">
        <v>1.09831909414738E-2</v>
      </c>
      <c r="M123" s="888">
        <v>0.57684536418524701</v>
      </c>
      <c r="N123" s="888">
        <v>0.97457884407884998</v>
      </c>
      <c r="O123" s="888">
        <v>2.4932169308073102</v>
      </c>
      <c r="P123" s="650">
        <f t="shared" si="14"/>
        <v>24.030619291648911</v>
      </c>
    </row>
    <row r="124" spans="2:16" ht="13.8" x14ac:dyDescent="0.3">
      <c r="B124" s="19" t="s">
        <v>134</v>
      </c>
      <c r="C124" s="886" t="s">
        <v>239</v>
      </c>
      <c r="D124" s="888">
        <v>11.047968817637701</v>
      </c>
      <c r="E124" s="888">
        <v>0.43967464501382603</v>
      </c>
      <c r="F124" s="888">
        <v>0.50873958481419801</v>
      </c>
      <c r="G124" s="888">
        <v>1.2993602279705301</v>
      </c>
      <c r="H124" s="888">
        <v>2.6132869740795499</v>
      </c>
      <c r="I124" s="888">
        <v>5.7155045332564498E-2</v>
      </c>
      <c r="J124" s="888">
        <v>0.19233695830096062</v>
      </c>
      <c r="K124" s="888">
        <v>0.196610804223151</v>
      </c>
      <c r="L124" s="888">
        <v>6.6678291162784202E-3</v>
      </c>
      <c r="M124" s="888">
        <v>0.29511096635478601</v>
      </c>
      <c r="N124" s="888">
        <v>0.65579004017981402</v>
      </c>
      <c r="O124" s="888">
        <v>1.5459080831176299</v>
      </c>
      <c r="P124" s="650">
        <f t="shared" si="14"/>
        <v>18.85860997614099</v>
      </c>
    </row>
    <row r="125" spans="2:16" ht="14.4" thickBot="1" x14ac:dyDescent="0.35">
      <c r="B125" s="24" t="s">
        <v>135</v>
      </c>
      <c r="C125" s="894" t="s">
        <v>240</v>
      </c>
      <c r="D125" s="888">
        <v>51.567751586889202</v>
      </c>
      <c r="E125" s="888">
        <v>0.87003216612258105</v>
      </c>
      <c r="F125" s="888">
        <v>0.874351217091908</v>
      </c>
      <c r="G125" s="888">
        <v>8.1348715105952607</v>
      </c>
      <c r="H125" s="888">
        <v>21.290879546460101</v>
      </c>
      <c r="I125" s="888">
        <v>9.1917734665473302E-2</v>
      </c>
      <c r="J125" s="888">
        <v>0.62213019605010467</v>
      </c>
      <c r="K125" s="888">
        <v>8.8034060941955206E-2</v>
      </c>
      <c r="L125" s="888">
        <v>0</v>
      </c>
      <c r="M125" s="888">
        <v>0.13206966084841601</v>
      </c>
      <c r="N125" s="888">
        <v>0.87094674779688497</v>
      </c>
      <c r="O125" s="888">
        <v>0.52731672602396995</v>
      </c>
      <c r="P125" s="650">
        <f t="shared" si="14"/>
        <v>85.070301153485843</v>
      </c>
    </row>
    <row r="126" spans="2:16" ht="14.4" thickBot="1" x14ac:dyDescent="0.35">
      <c r="B126" s="21" t="s">
        <v>96</v>
      </c>
      <c r="C126" s="22"/>
      <c r="D126" s="395">
        <f t="shared" ref="D126:P126" si="15">SUM(D93:D125)</f>
        <v>517.09483064215146</v>
      </c>
      <c r="E126" s="395">
        <f t="shared" si="15"/>
        <v>15.387735093051717</v>
      </c>
      <c r="F126" s="395">
        <f t="shared" si="15"/>
        <v>28.271558971744785</v>
      </c>
      <c r="G126" s="395">
        <f t="shared" si="15"/>
        <v>48.57602042005437</v>
      </c>
      <c r="H126" s="395">
        <f t="shared" si="15"/>
        <v>115.98356955148239</v>
      </c>
      <c r="I126" s="395">
        <f t="shared" si="15"/>
        <v>4.1984025480345295</v>
      </c>
      <c r="J126" s="395">
        <f t="shared" si="15"/>
        <v>12.476588972333889</v>
      </c>
      <c r="K126" s="395">
        <f t="shared" si="15"/>
        <v>8.3363087607344131</v>
      </c>
      <c r="L126" s="395">
        <f t="shared" si="15"/>
        <v>1.9490216041098183</v>
      </c>
      <c r="M126" s="23">
        <f t="shared" si="15"/>
        <v>12.565827939321224</v>
      </c>
      <c r="N126" s="23">
        <f t="shared" si="15"/>
        <v>51.527352755357924</v>
      </c>
      <c r="O126" s="23">
        <f>SUM(O93:O125)</f>
        <v>70.133091325175258</v>
      </c>
      <c r="P126" s="392">
        <f t="shared" si="15"/>
        <v>886.50030858355171</v>
      </c>
    </row>
    <row r="127" spans="2:16" ht="13.8" x14ac:dyDescent="0.3">
      <c r="B127" s="123"/>
      <c r="C127" s="123"/>
      <c r="D127" s="18"/>
      <c r="E127" s="123"/>
      <c r="F127" s="123"/>
      <c r="G127" s="123"/>
      <c r="H127" s="123"/>
      <c r="I127" s="123"/>
      <c r="J127" s="123"/>
      <c r="K127" s="132"/>
      <c r="L127" s="123"/>
      <c r="M127" s="123"/>
      <c r="N127" s="123"/>
      <c r="O127" s="123"/>
      <c r="P127" s="123"/>
    </row>
    <row r="128" spans="2:16" ht="13.8" x14ac:dyDescent="0.3">
      <c r="B128" s="123" t="s">
        <v>259</v>
      </c>
      <c r="C128" s="134"/>
      <c r="D128" s="137"/>
      <c r="E128" s="134"/>
      <c r="F128" s="134"/>
      <c r="G128" s="407"/>
      <c r="H128" s="134"/>
      <c r="I128" s="134"/>
      <c r="J128" s="134"/>
      <c r="K128" s="135"/>
      <c r="L128" s="134"/>
      <c r="M128" s="134"/>
      <c r="N128" s="134"/>
      <c r="O128" s="123"/>
      <c r="P128" s="134"/>
    </row>
    <row r="129" spans="2:16" ht="13.8" x14ac:dyDescent="0.3">
      <c r="B129" s="123" t="s">
        <v>260</v>
      </c>
      <c r="C129" s="134"/>
      <c r="D129" s="137"/>
      <c r="E129" s="134"/>
      <c r="F129" s="134"/>
      <c r="G129" s="134"/>
      <c r="H129" s="134"/>
      <c r="I129" s="134"/>
      <c r="J129" s="134"/>
      <c r="K129" s="135"/>
      <c r="L129" s="134"/>
      <c r="M129" s="134"/>
      <c r="N129" s="134"/>
      <c r="O129" s="123"/>
      <c r="P129" s="134"/>
    </row>
    <row r="130" spans="2:16" ht="13.8" x14ac:dyDescent="0.3">
      <c r="B130" s="123" t="s">
        <v>261</v>
      </c>
      <c r="C130" s="134"/>
      <c r="D130" s="137"/>
      <c r="E130" s="134"/>
      <c r="F130" s="134"/>
      <c r="G130" s="134"/>
      <c r="H130" s="134"/>
      <c r="I130" s="134"/>
      <c r="J130" s="134"/>
      <c r="K130" s="135"/>
      <c r="L130" s="134"/>
      <c r="M130" s="134"/>
      <c r="N130" s="134"/>
      <c r="O130" s="123"/>
      <c r="P130" s="134"/>
    </row>
    <row r="131" spans="2:16" ht="13.8" x14ac:dyDescent="0.3">
      <c r="C131" s="134"/>
      <c r="D131" s="137"/>
      <c r="E131" s="134"/>
      <c r="F131" s="134"/>
      <c r="G131" s="134"/>
      <c r="H131" s="134"/>
      <c r="I131" s="134"/>
      <c r="J131" s="134"/>
      <c r="K131" s="135"/>
      <c r="L131" s="134"/>
      <c r="M131" s="134"/>
      <c r="N131" s="134"/>
      <c r="O131" s="123"/>
      <c r="P131" s="134"/>
    </row>
    <row r="132" spans="2:16" ht="13.8" x14ac:dyDescent="0.3">
      <c r="D132" s="1"/>
      <c r="O132" s="123"/>
    </row>
    <row r="133" spans="2:16" ht="15.75" customHeight="1" x14ac:dyDescent="0.3">
      <c r="B133" s="119" t="s">
        <v>262</v>
      </c>
      <c r="D133" s="1"/>
      <c r="O133" s="123"/>
    </row>
    <row r="134" spans="2:16" ht="15.75" customHeight="1" thickBot="1" x14ac:dyDescent="0.35">
      <c r="D134" s="1"/>
      <c r="O134" s="123"/>
    </row>
    <row r="135" spans="2:16" s="183" customFormat="1" ht="15.75" customHeight="1" x14ac:dyDescent="0.3">
      <c r="B135" s="1289"/>
      <c r="C135" s="1290"/>
      <c r="D135" s="1291"/>
      <c r="E135" s="895"/>
      <c r="F135" s="1295" t="s">
        <v>263</v>
      </c>
      <c r="G135" s="1296"/>
      <c r="H135" s="1296"/>
      <c r="I135" s="1297"/>
      <c r="J135" s="294"/>
      <c r="O135" s="123"/>
    </row>
    <row r="136" spans="2:16" s="183" customFormat="1" ht="15" x14ac:dyDescent="0.3">
      <c r="B136" s="1292"/>
      <c r="C136" s="1293"/>
      <c r="D136" s="1294"/>
      <c r="E136" s="896" t="s">
        <v>264</v>
      </c>
      <c r="F136" s="897" t="s">
        <v>265</v>
      </c>
      <c r="G136" s="897" t="s">
        <v>266</v>
      </c>
      <c r="H136" s="897" t="s">
        <v>267</v>
      </c>
      <c r="I136" s="898" t="s">
        <v>268</v>
      </c>
      <c r="J136" s="294"/>
      <c r="K136" s="294"/>
      <c r="O136" s="123"/>
    </row>
    <row r="137" spans="2:16" s="183" customFormat="1" ht="15.75" customHeight="1" x14ac:dyDescent="0.3">
      <c r="B137" s="1264" t="s">
        <v>269</v>
      </c>
      <c r="C137" s="1265"/>
      <c r="D137" s="1266"/>
      <c r="E137" s="899">
        <v>2825615</v>
      </c>
      <c r="F137" s="900">
        <v>897284</v>
      </c>
      <c r="G137" s="900">
        <v>16741</v>
      </c>
      <c r="H137" s="900">
        <v>50522</v>
      </c>
      <c r="I137" s="482">
        <v>964548</v>
      </c>
      <c r="J137" s="294"/>
      <c r="O137" s="123"/>
    </row>
    <row r="138" spans="2:16" s="183" customFormat="1" ht="15.75" customHeight="1" thickBot="1" x14ac:dyDescent="0.35">
      <c r="B138" s="1261" t="s">
        <v>270</v>
      </c>
      <c r="C138" s="1262"/>
      <c r="D138" s="1263"/>
      <c r="E138" s="901">
        <v>32891</v>
      </c>
      <c r="F138" s="902">
        <v>137.30347950000004</v>
      </c>
      <c r="G138" s="902">
        <v>0</v>
      </c>
      <c r="H138" s="902">
        <v>8821.3661999999986</v>
      </c>
      <c r="I138" s="903">
        <f>SUM(F138:H138)</f>
        <v>8958.6696794999989</v>
      </c>
      <c r="J138" s="294"/>
      <c r="O138" s="123"/>
    </row>
    <row r="139" spans="2:16" ht="14.4" x14ac:dyDescent="0.3">
      <c r="B139" s="183" t="s">
        <v>271</v>
      </c>
      <c r="C139" s="121"/>
      <c r="D139" s="121"/>
      <c r="E139" s="121"/>
      <c r="F139" s="121"/>
      <c r="G139" s="121"/>
      <c r="H139" s="121"/>
      <c r="I139" s="121"/>
      <c r="J139" s="121"/>
      <c r="K139" s="121"/>
      <c r="L139" s="122"/>
      <c r="M139" s="121"/>
      <c r="N139" s="121"/>
      <c r="O139" s="123"/>
    </row>
    <row r="140" spans="2:16" ht="14.4" x14ac:dyDescent="0.3">
      <c r="B140" s="121"/>
      <c r="C140" s="121"/>
      <c r="D140" s="121"/>
      <c r="E140" s="121"/>
      <c r="F140" s="121"/>
      <c r="G140" s="121"/>
      <c r="H140" s="121"/>
      <c r="I140" s="121"/>
      <c r="J140" s="121"/>
      <c r="K140" s="121"/>
      <c r="L140" s="122"/>
      <c r="M140" s="121"/>
      <c r="N140" s="121"/>
      <c r="O140" s="123"/>
    </row>
    <row r="141" spans="2:16" ht="21" x14ac:dyDescent="0.3">
      <c r="B141" s="119" t="s">
        <v>272</v>
      </c>
      <c r="D141" s="444"/>
      <c r="E141" s="444"/>
      <c r="F141" s="444"/>
      <c r="G141" s="444"/>
      <c r="H141" s="444"/>
      <c r="I141" s="444"/>
      <c r="J141" s="445"/>
      <c r="K141" s="444"/>
      <c r="O141" s="123"/>
    </row>
    <row r="142" spans="2:16" ht="14.4" thickBot="1" x14ac:dyDescent="0.35">
      <c r="B142" s="446"/>
      <c r="C142" s="307"/>
      <c r="D142" s="1"/>
      <c r="O142" s="123"/>
    </row>
    <row r="143" spans="2:16" s="183" customFormat="1" ht="15" x14ac:dyDescent="0.35">
      <c r="B143" s="1270"/>
      <c r="C143" s="1268"/>
      <c r="D143" s="1268"/>
      <c r="E143" s="1271"/>
      <c r="F143" s="1267" t="s">
        <v>273</v>
      </c>
      <c r="G143" s="1268"/>
      <c r="H143" s="1268"/>
      <c r="I143" s="1269"/>
      <c r="O143" s="123"/>
    </row>
    <row r="144" spans="2:16" s="183" customFormat="1" ht="29.4" thickBot="1" x14ac:dyDescent="0.35">
      <c r="B144" s="904" t="s">
        <v>274</v>
      </c>
      <c r="C144" s="905" t="s">
        <v>275</v>
      </c>
      <c r="D144" s="905" t="s">
        <v>276</v>
      </c>
      <c r="E144" s="905" t="s">
        <v>277</v>
      </c>
      <c r="F144" s="906" t="s">
        <v>265</v>
      </c>
      <c r="G144" s="906" t="s">
        <v>266</v>
      </c>
      <c r="H144" s="906" t="s">
        <v>267</v>
      </c>
      <c r="I144" s="907" t="s">
        <v>278</v>
      </c>
      <c r="O144" s="123"/>
    </row>
    <row r="145" spans="2:15" s="183" customFormat="1" ht="54.75" customHeight="1" thickBot="1" x14ac:dyDescent="0.35">
      <c r="B145" s="302" t="s">
        <v>279</v>
      </c>
      <c r="C145" s="908" t="s">
        <v>280</v>
      </c>
      <c r="D145" s="909" t="s">
        <v>281</v>
      </c>
      <c r="E145" s="910">
        <f>I43+H43</f>
        <v>52011401787.172989</v>
      </c>
      <c r="F145" s="910">
        <v>301.84417897444285</v>
      </c>
      <c r="G145" s="646">
        <v>162759.1161136702</v>
      </c>
      <c r="H145" s="484"/>
      <c r="I145" s="485">
        <f>SUM(F145:G145)</f>
        <v>163060.96029264465</v>
      </c>
      <c r="J145" s="256"/>
      <c r="O145" s="123"/>
    </row>
    <row r="146" spans="2:15" ht="13.8" x14ac:dyDescent="0.3">
      <c r="D146" s="1"/>
      <c r="K146" s="222"/>
      <c r="O146" s="123"/>
    </row>
    <row r="147" spans="2:15" ht="13.8" x14ac:dyDescent="0.3">
      <c r="B147" s="183" t="s">
        <v>282</v>
      </c>
      <c r="D147" s="1"/>
      <c r="H147" s="446"/>
      <c r="I147" s="457"/>
      <c r="K147" s="246"/>
      <c r="O147" s="123"/>
    </row>
    <row r="148" spans="2:15" ht="13.8" x14ac:dyDescent="0.3">
      <c r="D148" s="1"/>
      <c r="H148" s="446"/>
      <c r="I148" s="457"/>
      <c r="O148" s="123"/>
    </row>
    <row r="149" spans="2:15" x14ac:dyDescent="0.25">
      <c r="D149" s="1"/>
    </row>
    <row r="150" spans="2:15" x14ac:dyDescent="0.25">
      <c r="D150" s="1"/>
    </row>
    <row r="151" spans="2:15" x14ac:dyDescent="0.25">
      <c r="D151" s="1"/>
    </row>
    <row r="152" spans="2:15" x14ac:dyDescent="0.25">
      <c r="D152" s="1"/>
    </row>
    <row r="153" spans="2:15" x14ac:dyDescent="0.25">
      <c r="D153" s="1"/>
    </row>
    <row r="154" spans="2:15" ht="13.8" x14ac:dyDescent="0.3">
      <c r="D154" s="1"/>
      <c r="J154" s="118"/>
      <c r="K154" s="118"/>
      <c r="L154" s="118"/>
      <c r="M154" s="118"/>
      <c r="N154" s="118"/>
      <c r="O154" s="123"/>
    </row>
    <row r="155" spans="2:15" ht="13.8" x14ac:dyDescent="0.3">
      <c r="D155" s="1"/>
      <c r="O155" s="123"/>
    </row>
    <row r="156" spans="2:15" ht="13.8" x14ac:dyDescent="0.3">
      <c r="D156" s="1"/>
      <c r="O156" s="123"/>
    </row>
    <row r="157" spans="2:15" ht="13.8" x14ac:dyDescent="0.3">
      <c r="D157" s="1"/>
      <c r="O157" s="123"/>
    </row>
    <row r="158" spans="2:15" ht="13.8" x14ac:dyDescent="0.3">
      <c r="D158" s="1"/>
      <c r="O158" s="123"/>
    </row>
    <row r="159" spans="2:15" ht="13.8" x14ac:dyDescent="0.3">
      <c r="D159" s="1"/>
      <c r="O159" s="123"/>
    </row>
    <row r="160" spans="2:15" ht="13.8" x14ac:dyDescent="0.3">
      <c r="D160" s="1"/>
      <c r="O160" s="123"/>
    </row>
    <row r="161" spans="15:15" ht="13.8" x14ac:dyDescent="0.3">
      <c r="O161" s="123"/>
    </row>
    <row r="162" spans="15:15" ht="13.8" x14ac:dyDescent="0.3">
      <c r="O162" s="123"/>
    </row>
    <row r="163" spans="15:15" ht="13.8" x14ac:dyDescent="0.3">
      <c r="O163" s="123"/>
    </row>
    <row r="164" spans="15:15" ht="13.8" x14ac:dyDescent="0.3">
      <c r="O164" s="123"/>
    </row>
    <row r="165" spans="15:15" ht="13.8" x14ac:dyDescent="0.3">
      <c r="O165" s="123"/>
    </row>
    <row r="166" spans="15:15" ht="13.8" x14ac:dyDescent="0.3">
      <c r="O166" s="123"/>
    </row>
  </sheetData>
  <sheetProtection algorithmName="SHA-512" hashValue="6arPCaJzUjY094m7SmOhCYyj+i3dDHrcvUP44FFxYZFXMRbe/WPnzUqIc5rQcvHUzX8RXg6GSQ0FD1yAXZAL/A==" saltValue="jcSU0Mnk3KypHYlQmo386w==" spinCount="100000" sheet="1"/>
  <mergeCells count="28">
    <mergeCell ref="J91:K91"/>
    <mergeCell ref="L91:M91"/>
    <mergeCell ref="J49:O49"/>
    <mergeCell ref="B135:D136"/>
    <mergeCell ref="F135:I135"/>
    <mergeCell ref="B90:B92"/>
    <mergeCell ref="C90:C92"/>
    <mergeCell ref="D91:I91"/>
    <mergeCell ref="N91:O91"/>
    <mergeCell ref="D90:P90"/>
    <mergeCell ref="D50:F50"/>
    <mergeCell ref="G50:I50"/>
    <mergeCell ref="J50:L50"/>
    <mergeCell ref="M50:O50"/>
    <mergeCell ref="B138:D138"/>
    <mergeCell ref="B137:D137"/>
    <mergeCell ref="F143:I143"/>
    <mergeCell ref="B143:E143"/>
    <mergeCell ref="B6:B8"/>
    <mergeCell ref="C6:C8"/>
    <mergeCell ref="D6:G6"/>
    <mergeCell ref="B49:B51"/>
    <mergeCell ref="C49:C51"/>
    <mergeCell ref="D7:F7"/>
    <mergeCell ref="G7:G8"/>
    <mergeCell ref="H6:I6"/>
    <mergeCell ref="H7:I7"/>
    <mergeCell ref="D49:I49"/>
  </mergeCells>
  <dataValidations disablePrompts="1" count="1">
    <dataValidation type="list" allowBlank="1" showInputMessage="1" showErrorMessage="1" sqref="E4:K5 B145:D145" xr:uid="{00000000-0002-0000-0700-000000000000}">
      <formula1>#REF!</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IX354"/>
  <sheetViews>
    <sheetView tabSelected="1" topLeftCell="V283" zoomScale="90" zoomScaleNormal="90" workbookViewId="0">
      <selection activeCell="AB310" sqref="AB310"/>
    </sheetView>
  </sheetViews>
  <sheetFormatPr defaultColWidth="9" defaultRowHeight="14.4" x14ac:dyDescent="0.3"/>
  <cols>
    <col min="1" max="1" width="10" style="70" customWidth="1"/>
    <col min="2" max="2" width="23" style="70" customWidth="1"/>
    <col min="3" max="3" width="15.21875" style="70" customWidth="1"/>
    <col min="4" max="4" width="16.77734375" style="70" customWidth="1"/>
    <col min="5" max="5" width="15" style="70" customWidth="1"/>
    <col min="6" max="6" width="22.21875" style="70" customWidth="1"/>
    <col min="7" max="7" width="20.88671875" style="70" customWidth="1"/>
    <col min="8" max="8" width="15.44140625" style="70" customWidth="1"/>
    <col min="9" max="9" width="16" style="70" customWidth="1"/>
    <col min="10" max="10" width="17.77734375" style="70" customWidth="1"/>
    <col min="11" max="11" width="15.5546875" style="70" customWidth="1"/>
    <col min="12" max="13" width="17.21875" style="70" customWidth="1"/>
    <col min="14" max="14" width="22.109375" style="70" customWidth="1"/>
    <col min="15" max="15" width="20.5546875" style="70" bestFit="1" customWidth="1"/>
    <col min="16" max="16" width="23" style="70" customWidth="1"/>
    <col min="17" max="17" width="17" style="70" customWidth="1"/>
    <col min="18" max="18" width="26.109375" style="70" customWidth="1"/>
    <col min="19" max="19" width="25.44140625" style="70" customWidth="1"/>
    <col min="20" max="20" width="19.88671875" style="70" customWidth="1"/>
    <col min="21" max="21" width="18" style="70" customWidth="1"/>
    <col min="22" max="22" width="19.44140625" style="70" customWidth="1"/>
    <col min="23" max="23" width="21.21875" style="70" bestFit="1" customWidth="1"/>
    <col min="24" max="24" width="17.21875" style="70" customWidth="1"/>
    <col min="25" max="25" width="18" style="70" customWidth="1"/>
    <col min="26" max="26" width="14.5546875" style="70" customWidth="1"/>
    <col min="27" max="27" width="21.44140625" style="70" customWidth="1"/>
    <col min="28" max="28" width="22.44140625" style="70" bestFit="1" customWidth="1"/>
    <col min="29" max="32" width="15" style="70" customWidth="1"/>
    <col min="33" max="33" width="19.44140625" style="70" customWidth="1"/>
    <col min="34" max="34" width="19.109375" style="70" customWidth="1"/>
    <col min="35" max="35" width="17.77734375" style="70" customWidth="1"/>
    <col min="36" max="36" width="13.21875" style="70" bestFit="1" customWidth="1"/>
    <col min="37" max="37" width="12" style="70" customWidth="1"/>
    <col min="38" max="16384" width="9" style="70"/>
  </cols>
  <sheetData>
    <row r="1" spans="1:257" ht="21" x14ac:dyDescent="0.3">
      <c r="A1" s="119" t="s">
        <v>94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257" ht="21" x14ac:dyDescent="0.3">
      <c r="A2" s="119">
        <v>2023</v>
      </c>
      <c r="B2" s="115"/>
      <c r="T2" s="137"/>
      <c r="U2" s="137"/>
      <c r="V2" s="137"/>
      <c r="W2" s="137"/>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row>
    <row r="3" spans="1:257" ht="21" x14ac:dyDescent="0.3">
      <c r="A3" s="119"/>
      <c r="B3" s="115"/>
      <c r="T3" s="137"/>
      <c r="U3" s="137"/>
      <c r="V3" s="137"/>
      <c r="W3" s="137"/>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s="18"/>
      <c r="HU3" s="18"/>
      <c r="HV3" s="18"/>
      <c r="HW3" s="18"/>
      <c r="HX3" s="18"/>
      <c r="HY3" s="18"/>
      <c r="HZ3" s="18"/>
      <c r="IA3" s="18"/>
      <c r="IB3" s="18"/>
      <c r="IC3" s="18"/>
      <c r="ID3" s="18"/>
      <c r="IE3" s="18"/>
      <c r="IF3" s="18"/>
      <c r="IG3" s="18"/>
      <c r="IH3" s="18"/>
      <c r="II3" s="18"/>
      <c r="IJ3" s="18"/>
      <c r="IK3" s="18"/>
      <c r="IL3" s="18"/>
      <c r="IM3" s="18"/>
      <c r="IN3" s="18"/>
      <c r="IO3" s="18"/>
      <c r="IP3" s="18"/>
      <c r="IQ3" s="18"/>
      <c r="IR3" s="18"/>
      <c r="IS3" s="18"/>
    </row>
    <row r="4" spans="1:257" ht="21" x14ac:dyDescent="0.3">
      <c r="B4" s="567" t="s">
        <v>283</v>
      </c>
      <c r="D4" s="139"/>
      <c r="E4" s="18"/>
      <c r="F4" s="18"/>
      <c r="G4" s="18"/>
      <c r="H4" s="18"/>
      <c r="I4" s="18"/>
      <c r="J4" s="18"/>
      <c r="K4" s="18"/>
      <c r="L4" s="18"/>
      <c r="M4" s="18"/>
      <c r="N4" s="18"/>
      <c r="O4" s="18"/>
      <c r="P4" s="18"/>
      <c r="Q4" s="18"/>
      <c r="R4" s="18"/>
      <c r="S4" s="137"/>
      <c r="T4" s="137"/>
      <c r="U4" s="137"/>
      <c r="V4" s="137"/>
      <c r="W4" s="137"/>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row>
    <row r="5" spans="1:257" ht="15" thickBot="1" x14ac:dyDescent="0.35">
      <c r="B5" s="18"/>
      <c r="C5" s="140"/>
      <c r="D5" s="140"/>
      <c r="E5" s="140"/>
      <c r="F5" s="140"/>
      <c r="G5" s="140"/>
      <c r="H5" s="140"/>
      <c r="I5" s="140"/>
      <c r="J5" s="140"/>
      <c r="K5" s="140"/>
      <c r="L5" s="140"/>
      <c r="M5" s="140"/>
      <c r="N5" s="140"/>
      <c r="O5" s="140"/>
      <c r="P5" s="140"/>
      <c r="Q5" s="18"/>
      <c r="R5" s="18"/>
      <c r="S5" s="137"/>
      <c r="T5" s="141"/>
      <c r="U5" s="137"/>
      <c r="V5" s="137"/>
      <c r="W5" s="137"/>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c r="EF5" s="18"/>
      <c r="EG5" s="18"/>
      <c r="EH5" s="18"/>
      <c r="EI5" s="18"/>
      <c r="EJ5" s="18"/>
      <c r="EK5" s="18"/>
      <c r="EL5" s="18"/>
      <c r="EM5" s="18"/>
      <c r="EN5" s="18"/>
      <c r="EO5" s="18"/>
      <c r="EP5" s="18"/>
      <c r="EQ5" s="18"/>
      <c r="ER5" s="18"/>
      <c r="ES5" s="18"/>
      <c r="ET5" s="18"/>
      <c r="EU5" s="18"/>
      <c r="EV5" s="18"/>
      <c r="EW5" s="18"/>
      <c r="EX5" s="18"/>
      <c r="EY5" s="18"/>
      <c r="EZ5" s="18"/>
      <c r="FA5" s="18"/>
      <c r="FB5" s="18"/>
      <c r="FC5" s="18"/>
      <c r="FD5" s="18"/>
      <c r="FE5" s="18"/>
      <c r="FF5" s="18"/>
      <c r="FG5" s="18"/>
      <c r="FH5" s="18"/>
      <c r="FI5" s="18"/>
      <c r="FJ5" s="18"/>
      <c r="FK5" s="18"/>
      <c r="FL5" s="18"/>
      <c r="FM5" s="18"/>
      <c r="FN5" s="18"/>
      <c r="FO5" s="18"/>
      <c r="FP5" s="18"/>
      <c r="FQ5" s="18"/>
      <c r="FR5" s="18"/>
      <c r="FS5" s="18"/>
      <c r="FT5" s="18"/>
      <c r="FU5" s="18"/>
      <c r="FV5" s="18"/>
      <c r="FW5" s="18"/>
      <c r="FX5" s="18"/>
      <c r="FY5" s="18"/>
      <c r="FZ5" s="18"/>
      <c r="GA5" s="18"/>
      <c r="GB5" s="18"/>
      <c r="GC5" s="18"/>
      <c r="GD5" s="18"/>
      <c r="GE5" s="18"/>
      <c r="GF5" s="18"/>
      <c r="GG5" s="18"/>
      <c r="GH5" s="18"/>
      <c r="GI5" s="18"/>
      <c r="GJ5" s="18"/>
      <c r="GK5" s="18"/>
      <c r="GL5" s="18"/>
      <c r="GM5" s="18"/>
      <c r="GN5" s="18"/>
      <c r="GO5" s="18"/>
      <c r="GP5" s="18"/>
      <c r="GQ5" s="18"/>
      <c r="GR5" s="18"/>
      <c r="GS5" s="18"/>
      <c r="GT5" s="18"/>
      <c r="GU5" s="18"/>
      <c r="GV5" s="18"/>
      <c r="GW5" s="18"/>
      <c r="GX5" s="18"/>
      <c r="GY5" s="18"/>
      <c r="GZ5" s="18"/>
      <c r="HA5" s="18"/>
      <c r="HB5" s="18"/>
      <c r="HC5" s="18"/>
      <c r="HD5" s="18"/>
      <c r="HE5" s="18"/>
      <c r="HF5" s="18"/>
      <c r="HG5" s="18"/>
      <c r="HH5" s="18"/>
      <c r="HI5" s="18"/>
      <c r="HJ5" s="18"/>
      <c r="HK5" s="18"/>
      <c r="HL5" s="18"/>
      <c r="HM5" s="18"/>
      <c r="HN5" s="18"/>
      <c r="HO5" s="18"/>
      <c r="HP5" s="18"/>
      <c r="HQ5" s="18"/>
      <c r="HR5" s="18"/>
      <c r="HS5" s="18"/>
      <c r="HT5" s="18"/>
      <c r="HU5" s="18"/>
      <c r="HV5" s="18"/>
      <c r="HW5" s="18"/>
      <c r="HX5" s="18"/>
      <c r="HY5" s="18"/>
      <c r="HZ5" s="18"/>
      <c r="IA5" s="18"/>
      <c r="IB5" s="18"/>
      <c r="IC5" s="18"/>
      <c r="ID5" s="18"/>
      <c r="IE5" s="18"/>
      <c r="IF5" s="18"/>
      <c r="IG5" s="18"/>
      <c r="IH5" s="18"/>
      <c r="II5" s="18"/>
      <c r="IJ5" s="18"/>
      <c r="IK5" s="18"/>
      <c r="IL5" s="18"/>
      <c r="IM5" s="18"/>
      <c r="IN5" s="18"/>
      <c r="IO5" s="18"/>
      <c r="IP5" s="18"/>
      <c r="IQ5" s="18"/>
      <c r="IR5" s="18"/>
      <c r="IS5" s="18"/>
    </row>
    <row r="6" spans="1:257" ht="15" x14ac:dyDescent="0.35">
      <c r="B6" s="272" t="s">
        <v>199</v>
      </c>
      <c r="C6" s="245" t="s">
        <v>200</v>
      </c>
      <c r="D6" s="1338" t="s">
        <v>284</v>
      </c>
      <c r="E6" s="1339"/>
      <c r="F6" s="1339"/>
      <c r="G6" s="1339"/>
      <c r="H6" s="1340"/>
      <c r="I6" s="1341" t="s">
        <v>245</v>
      </c>
      <c r="J6" s="1318"/>
      <c r="K6" s="1318"/>
      <c r="L6" s="1318"/>
      <c r="M6" s="1318"/>
      <c r="N6" s="1341" t="s">
        <v>285</v>
      </c>
      <c r="O6" s="1318"/>
      <c r="P6" s="1318"/>
      <c r="Q6" s="1318"/>
      <c r="R6" s="1318"/>
      <c r="S6" s="1318"/>
      <c r="T6" s="1318"/>
      <c r="U6" s="1319"/>
      <c r="V6" s="141"/>
      <c r="W6" s="141"/>
      <c r="X6" s="141"/>
      <c r="Y6" s="166"/>
      <c r="Z6" s="166"/>
      <c r="AA6" s="166"/>
      <c r="AB6" s="140"/>
      <c r="AC6" s="140"/>
      <c r="AD6" s="140"/>
      <c r="AE6" s="140"/>
      <c r="AF6" s="140"/>
      <c r="AG6" s="140"/>
      <c r="AH6" s="140"/>
      <c r="AI6" s="140"/>
      <c r="AJ6" s="140"/>
      <c r="AK6" s="140"/>
      <c r="AL6" s="140"/>
      <c r="AM6" s="140"/>
      <c r="AN6" s="140"/>
      <c r="AO6" s="140"/>
      <c r="AP6" s="140"/>
      <c r="AQ6" s="140"/>
      <c r="AR6" s="140"/>
      <c r="AS6" s="140"/>
      <c r="AT6" s="140"/>
      <c r="AU6" s="140"/>
      <c r="AV6" s="140"/>
      <c r="AW6" s="140"/>
      <c r="AX6" s="140"/>
      <c r="AY6" s="140"/>
      <c r="AZ6" s="140"/>
      <c r="BA6" s="140"/>
      <c r="BB6" s="140"/>
      <c r="BC6" s="140"/>
      <c r="BD6" s="140"/>
      <c r="BE6" s="140"/>
      <c r="BF6" s="140"/>
      <c r="BG6" s="140"/>
      <c r="BH6" s="140"/>
      <c r="BI6" s="140"/>
      <c r="BJ6" s="140"/>
      <c r="BK6" s="140"/>
      <c r="BL6" s="140"/>
      <c r="BM6" s="140"/>
      <c r="BN6" s="140"/>
      <c r="BO6" s="140"/>
      <c r="BP6" s="140"/>
      <c r="BQ6" s="140"/>
      <c r="BR6" s="140"/>
      <c r="BS6" s="140"/>
      <c r="BT6" s="140"/>
      <c r="BU6" s="140"/>
      <c r="BV6" s="140"/>
      <c r="BW6" s="140"/>
      <c r="BX6" s="140"/>
      <c r="BY6" s="140"/>
      <c r="BZ6" s="140"/>
      <c r="CA6" s="140"/>
      <c r="CB6" s="140"/>
      <c r="CC6" s="140"/>
      <c r="CD6" s="140"/>
      <c r="CE6" s="140"/>
      <c r="CF6" s="140"/>
      <c r="CG6" s="140"/>
      <c r="CH6" s="140"/>
      <c r="CI6" s="140"/>
      <c r="CJ6" s="140"/>
      <c r="CK6" s="140"/>
      <c r="CL6" s="140"/>
      <c r="CM6" s="140"/>
      <c r="CN6" s="140"/>
      <c r="CO6" s="140"/>
      <c r="CP6" s="140"/>
      <c r="CQ6" s="140"/>
      <c r="CR6" s="140"/>
      <c r="CS6" s="140"/>
      <c r="CT6" s="140"/>
      <c r="CU6" s="140"/>
      <c r="CV6" s="140"/>
      <c r="CW6" s="140"/>
      <c r="CX6" s="140"/>
      <c r="CY6" s="140"/>
      <c r="CZ6" s="140"/>
      <c r="DA6" s="140"/>
      <c r="DB6" s="140"/>
      <c r="DC6" s="140"/>
      <c r="DD6" s="140"/>
      <c r="DE6" s="140"/>
      <c r="DF6" s="140"/>
      <c r="DG6" s="140"/>
      <c r="DH6" s="140"/>
      <c r="DI6" s="140"/>
      <c r="DJ6" s="140"/>
      <c r="DK6" s="140"/>
      <c r="DL6" s="140"/>
      <c r="DM6" s="140"/>
      <c r="DN6" s="140"/>
      <c r="DO6" s="140"/>
      <c r="DP6" s="140"/>
      <c r="DQ6" s="140"/>
      <c r="DR6" s="140"/>
      <c r="DS6" s="140"/>
      <c r="DT6" s="140"/>
      <c r="DU6" s="140"/>
      <c r="DV6" s="140"/>
      <c r="DW6" s="140"/>
      <c r="DX6" s="140"/>
      <c r="DY6" s="140"/>
      <c r="DZ6" s="140"/>
      <c r="EA6" s="140"/>
      <c r="EB6" s="140"/>
      <c r="EC6" s="140"/>
      <c r="ED6" s="140"/>
      <c r="EE6" s="140"/>
      <c r="EF6" s="140"/>
      <c r="EG6" s="140"/>
      <c r="EH6" s="140"/>
      <c r="EI6" s="140"/>
      <c r="EJ6" s="140"/>
      <c r="EK6" s="140"/>
      <c r="EL6" s="140"/>
      <c r="EM6" s="140"/>
      <c r="EN6" s="140"/>
      <c r="EO6" s="140"/>
      <c r="EP6" s="140"/>
      <c r="EQ6" s="140"/>
      <c r="ER6" s="140"/>
      <c r="ES6" s="140"/>
      <c r="ET6" s="140"/>
      <c r="EU6" s="140"/>
      <c r="EV6" s="140"/>
      <c r="EW6" s="140"/>
      <c r="EX6" s="140"/>
      <c r="EY6" s="140"/>
      <c r="EZ6" s="140"/>
      <c r="FA6" s="140"/>
      <c r="FB6" s="140"/>
      <c r="FC6" s="140"/>
      <c r="FD6" s="140"/>
      <c r="FE6" s="140"/>
      <c r="FF6" s="140"/>
      <c r="FG6" s="140"/>
      <c r="FH6" s="140"/>
      <c r="FI6" s="140"/>
      <c r="FJ6" s="140"/>
      <c r="FK6" s="140"/>
      <c r="FL6" s="140"/>
      <c r="FM6" s="140"/>
      <c r="FN6" s="140"/>
      <c r="FO6" s="140"/>
      <c r="FP6" s="140"/>
      <c r="FQ6" s="140"/>
      <c r="FR6" s="140"/>
      <c r="FS6" s="140"/>
      <c r="FT6" s="140"/>
      <c r="FU6" s="140"/>
      <c r="FV6" s="140"/>
      <c r="FW6" s="140"/>
      <c r="FX6" s="140"/>
      <c r="FY6" s="140"/>
      <c r="FZ6" s="140"/>
      <c r="GA6" s="140"/>
      <c r="GB6" s="140"/>
      <c r="GC6" s="140"/>
      <c r="GD6" s="140"/>
      <c r="GE6" s="140"/>
      <c r="GF6" s="140"/>
      <c r="GG6" s="140"/>
      <c r="GH6" s="140"/>
      <c r="GI6" s="140"/>
      <c r="GJ6" s="140"/>
      <c r="GK6" s="140"/>
      <c r="GL6" s="140"/>
      <c r="GM6" s="140"/>
      <c r="GN6" s="140"/>
      <c r="GO6" s="140"/>
      <c r="GP6" s="140"/>
      <c r="GQ6" s="140"/>
      <c r="GR6" s="140"/>
      <c r="GS6" s="140"/>
      <c r="GT6" s="140"/>
      <c r="GU6" s="140"/>
      <c r="GV6" s="140"/>
      <c r="GW6" s="140"/>
      <c r="GX6" s="140"/>
      <c r="GY6" s="140"/>
      <c r="GZ6" s="140"/>
      <c r="HA6" s="140"/>
      <c r="HB6" s="140"/>
      <c r="HC6" s="140"/>
      <c r="HD6" s="140"/>
      <c r="HE6" s="140"/>
      <c r="HF6" s="140"/>
      <c r="HG6" s="140"/>
      <c r="HH6" s="140"/>
      <c r="HI6" s="140"/>
      <c r="HJ6" s="140"/>
      <c r="HK6" s="140"/>
      <c r="HL6" s="140"/>
      <c r="HM6" s="140"/>
      <c r="HN6" s="140"/>
      <c r="HO6" s="140"/>
      <c r="HP6" s="140"/>
      <c r="HQ6" s="140"/>
      <c r="HR6" s="140"/>
      <c r="HS6" s="140"/>
      <c r="HT6" s="140"/>
      <c r="HU6" s="140"/>
      <c r="HV6" s="140"/>
      <c r="HW6" s="140"/>
      <c r="HX6" s="140"/>
      <c r="HY6" s="140"/>
      <c r="HZ6" s="140"/>
      <c r="IA6" s="140"/>
      <c r="IB6" s="140"/>
      <c r="IC6" s="140"/>
      <c r="ID6" s="140"/>
      <c r="IE6" s="140"/>
      <c r="IF6" s="140"/>
      <c r="IG6" s="140"/>
      <c r="IH6" s="140"/>
      <c r="II6" s="140"/>
      <c r="IJ6" s="140"/>
      <c r="IK6" s="140"/>
      <c r="IL6" s="140"/>
      <c r="IM6" s="140"/>
      <c r="IN6" s="140"/>
      <c r="IO6" s="140"/>
      <c r="IP6" s="140"/>
      <c r="IQ6" s="140"/>
      <c r="IR6" s="140"/>
      <c r="IS6" s="140"/>
      <c r="IT6" s="140"/>
      <c r="IU6" s="140"/>
      <c r="IV6" s="140"/>
      <c r="IW6" s="140"/>
    </row>
    <row r="7" spans="1:257" x14ac:dyDescent="0.3">
      <c r="B7" s="2"/>
      <c r="C7" s="911"/>
      <c r="D7" s="1307" t="s">
        <v>286</v>
      </c>
      <c r="E7" s="1342" t="s">
        <v>254</v>
      </c>
      <c r="F7" s="1343"/>
      <c r="G7" s="1309" t="s">
        <v>50</v>
      </c>
      <c r="H7" s="1305" t="s">
        <v>51</v>
      </c>
      <c r="I7" s="1307" t="s">
        <v>287</v>
      </c>
      <c r="J7" s="1342" t="s">
        <v>254</v>
      </c>
      <c r="K7" s="1343"/>
      <c r="L7" s="1309" t="s">
        <v>50</v>
      </c>
      <c r="M7" s="1305" t="s">
        <v>51</v>
      </c>
      <c r="N7" s="1385" t="s">
        <v>288</v>
      </c>
      <c r="O7" s="1386"/>
      <c r="P7" s="1383" t="s">
        <v>289</v>
      </c>
      <c r="Q7" s="1387"/>
      <c r="R7" s="1383" t="s">
        <v>290</v>
      </c>
      <c r="S7" s="1387"/>
      <c r="T7" s="1383" t="s">
        <v>291</v>
      </c>
      <c r="U7" s="1384"/>
      <c r="V7" s="141"/>
      <c r="W7" s="167"/>
      <c r="X7" s="141"/>
      <c r="Y7" s="166"/>
      <c r="Z7" s="166"/>
      <c r="AA7" s="166"/>
      <c r="AB7" s="140"/>
      <c r="AC7" s="140"/>
      <c r="AD7" s="140"/>
      <c r="AE7" s="140"/>
      <c r="AF7" s="140"/>
      <c r="AG7" s="140"/>
      <c r="AH7" s="140"/>
      <c r="AI7" s="140"/>
      <c r="AJ7" s="140"/>
      <c r="AK7" s="140"/>
      <c r="AL7" s="140"/>
      <c r="AM7" s="140"/>
      <c r="AN7" s="140"/>
      <c r="AO7" s="140"/>
      <c r="AP7" s="140"/>
      <c r="AQ7" s="140"/>
      <c r="AR7" s="140"/>
      <c r="AS7" s="140"/>
      <c r="AT7" s="140"/>
      <c r="AU7" s="140"/>
      <c r="AV7" s="140"/>
      <c r="AW7" s="140"/>
      <c r="AX7" s="140"/>
      <c r="AY7" s="140"/>
      <c r="AZ7" s="140"/>
      <c r="BA7" s="140"/>
      <c r="BB7" s="140"/>
      <c r="BC7" s="140"/>
      <c r="BD7" s="140"/>
      <c r="BE7" s="140"/>
      <c r="BF7" s="140"/>
      <c r="BG7" s="140"/>
      <c r="BH7" s="140"/>
      <c r="BI7" s="140"/>
      <c r="BJ7" s="140"/>
      <c r="BK7" s="140"/>
      <c r="BL7" s="140"/>
      <c r="BM7" s="140"/>
      <c r="BN7" s="140"/>
      <c r="BO7" s="140"/>
      <c r="BP7" s="140"/>
      <c r="BQ7" s="140"/>
      <c r="BR7" s="140"/>
      <c r="BS7" s="140"/>
      <c r="BT7" s="140"/>
      <c r="BU7" s="140"/>
      <c r="BV7" s="140"/>
      <c r="BW7" s="140"/>
      <c r="BX7" s="140"/>
      <c r="BY7" s="140"/>
      <c r="BZ7" s="140"/>
      <c r="CA7" s="140"/>
      <c r="CB7" s="140"/>
      <c r="CC7" s="140"/>
      <c r="CD7" s="140"/>
      <c r="CE7" s="140"/>
      <c r="CF7" s="140"/>
      <c r="CG7" s="140"/>
      <c r="CH7" s="140"/>
      <c r="CI7" s="140"/>
      <c r="CJ7" s="140"/>
      <c r="CK7" s="140"/>
      <c r="CL7" s="140"/>
      <c r="CM7" s="140"/>
      <c r="CN7" s="140"/>
      <c r="CO7" s="140"/>
      <c r="CP7" s="140"/>
      <c r="CQ7" s="140"/>
      <c r="CR7" s="140"/>
      <c r="CS7" s="140"/>
      <c r="CT7" s="140"/>
      <c r="CU7" s="140"/>
      <c r="CV7" s="140"/>
      <c r="CW7" s="140"/>
      <c r="CX7" s="140"/>
      <c r="CY7" s="140"/>
      <c r="CZ7" s="140"/>
      <c r="DA7" s="140"/>
      <c r="DB7" s="140"/>
      <c r="DC7" s="140"/>
      <c r="DD7" s="140"/>
      <c r="DE7" s="140"/>
      <c r="DF7" s="140"/>
      <c r="DG7" s="140"/>
      <c r="DH7" s="140"/>
      <c r="DI7" s="140"/>
      <c r="DJ7" s="140"/>
      <c r="DK7" s="140"/>
      <c r="DL7" s="140"/>
      <c r="DM7" s="140"/>
      <c r="DN7" s="140"/>
      <c r="DO7" s="140"/>
      <c r="DP7" s="140"/>
      <c r="DQ7" s="140"/>
      <c r="DR7" s="140"/>
      <c r="DS7" s="140"/>
      <c r="DT7" s="140"/>
      <c r="DU7" s="140"/>
      <c r="DV7" s="140"/>
      <c r="DW7" s="140"/>
      <c r="DX7" s="140"/>
      <c r="DY7" s="140"/>
      <c r="DZ7" s="140"/>
      <c r="EA7" s="140"/>
      <c r="EB7" s="140"/>
      <c r="EC7" s="140"/>
      <c r="ED7" s="140"/>
      <c r="EE7" s="140"/>
      <c r="EF7" s="140"/>
      <c r="EG7" s="140"/>
      <c r="EH7" s="140"/>
      <c r="EI7" s="140"/>
      <c r="EJ7" s="140"/>
      <c r="EK7" s="140"/>
      <c r="EL7" s="140"/>
      <c r="EM7" s="140"/>
      <c r="EN7" s="140"/>
      <c r="EO7" s="140"/>
      <c r="EP7" s="140"/>
      <c r="EQ7" s="140"/>
      <c r="ER7" s="140"/>
      <c r="ES7" s="140"/>
      <c r="ET7" s="140"/>
      <c r="EU7" s="140"/>
      <c r="EV7" s="140"/>
      <c r="EW7" s="140"/>
      <c r="EX7" s="140"/>
      <c r="EY7" s="140"/>
      <c r="EZ7" s="140"/>
      <c r="FA7" s="140"/>
      <c r="FB7" s="140"/>
      <c r="FC7" s="140"/>
      <c r="FD7" s="140"/>
      <c r="FE7" s="140"/>
      <c r="FF7" s="140"/>
      <c r="FG7" s="140"/>
      <c r="FH7" s="140"/>
      <c r="FI7" s="140"/>
      <c r="FJ7" s="140"/>
      <c r="FK7" s="140"/>
      <c r="FL7" s="140"/>
      <c r="FM7" s="140"/>
      <c r="FN7" s="140"/>
      <c r="FO7" s="140"/>
      <c r="FP7" s="140"/>
      <c r="FQ7" s="140"/>
      <c r="FR7" s="140"/>
      <c r="FS7" s="140"/>
      <c r="FT7" s="140"/>
      <c r="FU7" s="140"/>
      <c r="FV7" s="140"/>
      <c r="FW7" s="140"/>
      <c r="FX7" s="140"/>
      <c r="FY7" s="140"/>
      <c r="FZ7" s="140"/>
      <c r="GA7" s="140"/>
      <c r="GB7" s="140"/>
      <c r="GC7" s="140"/>
      <c r="GD7" s="140"/>
      <c r="GE7" s="140"/>
      <c r="GF7" s="140"/>
      <c r="GG7" s="140"/>
      <c r="GH7" s="140"/>
      <c r="GI7" s="140"/>
      <c r="GJ7" s="140"/>
      <c r="GK7" s="140"/>
      <c r="GL7" s="140"/>
      <c r="GM7" s="140"/>
      <c r="GN7" s="140"/>
      <c r="GO7" s="140"/>
      <c r="GP7" s="140"/>
      <c r="GQ7" s="140"/>
      <c r="GR7" s="140"/>
      <c r="GS7" s="140"/>
      <c r="GT7" s="140"/>
      <c r="GU7" s="140"/>
      <c r="GV7" s="140"/>
      <c r="GW7" s="140"/>
      <c r="GX7" s="140"/>
      <c r="GY7" s="140"/>
      <c r="GZ7" s="140"/>
      <c r="HA7" s="140"/>
      <c r="HB7" s="140"/>
      <c r="HC7" s="140"/>
      <c r="HD7" s="140"/>
      <c r="HE7" s="140"/>
      <c r="HF7" s="140"/>
      <c r="HG7" s="140"/>
      <c r="HH7" s="140"/>
      <c r="HI7" s="140"/>
      <c r="HJ7" s="140"/>
      <c r="HK7" s="140"/>
      <c r="HL7" s="140"/>
      <c r="HM7" s="140"/>
      <c r="HN7" s="140"/>
      <c r="HO7" s="140"/>
      <c r="HP7" s="140"/>
      <c r="HQ7" s="140"/>
      <c r="HR7" s="140"/>
      <c r="HS7" s="140"/>
      <c r="HT7" s="140"/>
      <c r="HU7" s="140"/>
      <c r="HV7" s="140"/>
      <c r="HW7" s="140"/>
      <c r="HX7" s="140"/>
      <c r="HY7" s="140"/>
      <c r="HZ7" s="140"/>
      <c r="IA7" s="140"/>
      <c r="IB7" s="140"/>
      <c r="IC7" s="140"/>
      <c r="ID7" s="140"/>
      <c r="IE7" s="140"/>
      <c r="IF7" s="140"/>
      <c r="IG7" s="140"/>
      <c r="IH7" s="140"/>
      <c r="II7" s="140"/>
      <c r="IJ7" s="140"/>
      <c r="IK7" s="140"/>
      <c r="IL7" s="140"/>
      <c r="IM7" s="140"/>
      <c r="IN7" s="140"/>
      <c r="IO7" s="140"/>
      <c r="IP7" s="140"/>
      <c r="IQ7" s="140"/>
      <c r="IR7" s="140"/>
      <c r="IS7" s="140"/>
      <c r="IT7" s="140"/>
      <c r="IU7" s="140"/>
      <c r="IV7" s="140"/>
      <c r="IW7" s="140"/>
    </row>
    <row r="8" spans="1:257" ht="15" thickBot="1" x14ac:dyDescent="0.35">
      <c r="B8" s="3"/>
      <c r="C8" s="912"/>
      <c r="D8" s="1308"/>
      <c r="E8" s="913" t="s">
        <v>292</v>
      </c>
      <c r="F8" s="913" t="s">
        <v>293</v>
      </c>
      <c r="G8" s="1310"/>
      <c r="H8" s="1306"/>
      <c r="I8" s="1308"/>
      <c r="J8" s="913" t="s">
        <v>292</v>
      </c>
      <c r="K8" s="913" t="s">
        <v>293</v>
      </c>
      <c r="L8" s="1310"/>
      <c r="M8" s="1306"/>
      <c r="N8" s="4" t="s">
        <v>294</v>
      </c>
      <c r="O8" s="914" t="s">
        <v>295</v>
      </c>
      <c r="P8" s="915" t="s">
        <v>294</v>
      </c>
      <c r="Q8" s="914" t="s">
        <v>295</v>
      </c>
      <c r="R8" s="915" t="s">
        <v>294</v>
      </c>
      <c r="S8" s="913" t="s">
        <v>295</v>
      </c>
      <c r="T8" s="915" t="s">
        <v>294</v>
      </c>
      <c r="U8" s="913" t="s">
        <v>295</v>
      </c>
      <c r="V8" s="677"/>
      <c r="W8" s="677"/>
      <c r="X8" s="677"/>
      <c r="Y8" s="169"/>
      <c r="Z8" s="137"/>
      <c r="AA8" s="137"/>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18"/>
      <c r="DP8" s="18"/>
      <c r="DQ8" s="18"/>
      <c r="DR8" s="18"/>
      <c r="DS8" s="18"/>
      <c r="DT8" s="18"/>
      <c r="DU8" s="18"/>
      <c r="DV8" s="18"/>
      <c r="DW8" s="18"/>
      <c r="DX8" s="18"/>
      <c r="DY8" s="18"/>
      <c r="DZ8" s="18"/>
      <c r="EA8" s="18"/>
      <c r="EB8" s="18"/>
      <c r="EC8" s="18"/>
      <c r="ED8" s="18"/>
      <c r="EE8" s="18"/>
      <c r="EF8" s="18"/>
      <c r="EG8" s="18"/>
      <c r="EH8" s="18"/>
      <c r="EI8" s="18"/>
      <c r="EJ8" s="18"/>
      <c r="EK8" s="18"/>
      <c r="EL8" s="18"/>
      <c r="EM8" s="18"/>
      <c r="EN8" s="18"/>
      <c r="EO8" s="18"/>
      <c r="EP8" s="18"/>
      <c r="EQ8" s="18"/>
      <c r="ER8" s="18"/>
      <c r="ES8" s="18"/>
      <c r="ET8" s="18"/>
      <c r="EU8" s="18"/>
      <c r="EV8" s="18"/>
      <c r="EW8" s="18"/>
      <c r="EX8" s="18"/>
      <c r="EY8" s="18"/>
      <c r="EZ8" s="18"/>
      <c r="FA8" s="18"/>
      <c r="FB8" s="18"/>
      <c r="FC8" s="18"/>
      <c r="FD8" s="18"/>
      <c r="FE8" s="18"/>
      <c r="FF8" s="18"/>
      <c r="FG8" s="18"/>
      <c r="FH8" s="18"/>
      <c r="FI8" s="18"/>
      <c r="FJ8" s="18"/>
      <c r="FK8" s="18"/>
      <c r="FL8" s="18"/>
      <c r="FM8" s="18"/>
      <c r="FN8" s="18"/>
      <c r="FO8" s="18"/>
      <c r="FP8" s="18"/>
      <c r="FQ8" s="18"/>
      <c r="FR8" s="18"/>
      <c r="FS8" s="18"/>
      <c r="FT8" s="18"/>
      <c r="FU8" s="18"/>
      <c r="FV8" s="18"/>
      <c r="FW8" s="18"/>
      <c r="FX8" s="18"/>
      <c r="FY8" s="18"/>
      <c r="FZ8" s="18"/>
      <c r="GA8" s="18"/>
      <c r="GB8" s="18"/>
      <c r="GC8" s="18"/>
      <c r="GD8" s="18"/>
      <c r="GE8" s="18"/>
      <c r="GF8" s="18"/>
      <c r="GG8" s="18"/>
      <c r="GH8" s="18"/>
      <c r="GI8" s="18"/>
      <c r="GJ8" s="18"/>
      <c r="GK8" s="18"/>
      <c r="GL8" s="18"/>
      <c r="GM8" s="18"/>
      <c r="GN8" s="18"/>
      <c r="GO8" s="18"/>
      <c r="GP8" s="18"/>
      <c r="GQ8" s="18"/>
      <c r="GR8" s="18"/>
      <c r="GS8" s="18"/>
      <c r="GT8" s="18"/>
      <c r="GU8" s="18"/>
      <c r="GV8" s="18"/>
      <c r="GW8" s="18"/>
      <c r="GX8" s="18"/>
      <c r="GY8" s="18"/>
      <c r="GZ8" s="18"/>
      <c r="HA8" s="18"/>
      <c r="HB8" s="18"/>
      <c r="HC8" s="18"/>
      <c r="HD8" s="18"/>
      <c r="HE8" s="18"/>
      <c r="HF8" s="18"/>
      <c r="HG8" s="18"/>
      <c r="HH8" s="18"/>
      <c r="HI8" s="18"/>
      <c r="HJ8" s="18"/>
      <c r="HK8" s="18"/>
      <c r="HL8" s="18"/>
      <c r="HM8" s="18"/>
      <c r="HN8" s="18"/>
      <c r="HO8" s="18"/>
      <c r="HP8" s="18"/>
      <c r="HQ8" s="18"/>
      <c r="HR8" s="18"/>
      <c r="HS8" s="18"/>
      <c r="HT8" s="18"/>
      <c r="HU8" s="18"/>
      <c r="HV8" s="18"/>
      <c r="HW8" s="18"/>
      <c r="HX8" s="18"/>
      <c r="HY8" s="18"/>
      <c r="HZ8" s="18"/>
      <c r="IA8" s="18"/>
      <c r="IB8" s="18"/>
      <c r="IC8" s="18"/>
      <c r="ID8" s="18"/>
      <c r="IE8" s="18"/>
      <c r="IF8" s="18"/>
      <c r="IG8" s="18"/>
      <c r="IH8" s="18"/>
      <c r="II8" s="18"/>
      <c r="IJ8" s="18"/>
      <c r="IK8" s="18"/>
      <c r="IL8" s="18"/>
      <c r="IM8" s="18"/>
      <c r="IN8" s="18"/>
      <c r="IO8" s="18"/>
      <c r="IP8" s="18"/>
      <c r="IQ8" s="18"/>
      <c r="IR8" s="18"/>
      <c r="IS8" s="18"/>
      <c r="IT8" s="18"/>
      <c r="IU8" s="18"/>
      <c r="IV8" s="18"/>
      <c r="IW8" s="18"/>
    </row>
    <row r="9" spans="1:257" x14ac:dyDescent="0.3">
      <c r="B9" s="5" t="s">
        <v>103</v>
      </c>
      <c r="C9" s="916" t="s">
        <v>206</v>
      </c>
      <c r="D9" s="415">
        <f>SUM(O227+AA227)</f>
        <v>145096.02115924627</v>
      </c>
      <c r="E9" s="917">
        <f>AA183</f>
        <v>2637.166702259924</v>
      </c>
      <c r="F9" s="917">
        <f>AC183</f>
        <v>9429.339664013798</v>
      </c>
      <c r="G9" s="917">
        <f t="shared" ref="G9:G41" si="0">AD95</f>
        <v>0</v>
      </c>
      <c r="H9" s="416">
        <f t="shared" ref="H9:H41" si="1">M139</f>
        <v>2592.1491937920978</v>
      </c>
      <c r="I9" s="415">
        <f>S267+AB267</f>
        <v>567627061.61372566</v>
      </c>
      <c r="J9" s="918">
        <f>Z183</f>
        <v>10281526.851315835</v>
      </c>
      <c r="K9" s="918">
        <f>AB183</f>
        <v>48222050.035868868</v>
      </c>
      <c r="L9" s="421">
        <f t="shared" ref="L9:L40" si="2">AJ51</f>
        <v>0</v>
      </c>
      <c r="M9" s="422">
        <f t="shared" ref="M9:M41" si="3">L139</f>
        <v>3896822.6611414813</v>
      </c>
      <c r="N9" s="411">
        <v>609.33840776839986</v>
      </c>
      <c r="O9" s="421">
        <v>1972.4680722920723</v>
      </c>
      <c r="P9" s="649">
        <v>0.23571199074018409</v>
      </c>
      <c r="Q9" s="649">
        <v>1.1459423606099198E-2</v>
      </c>
      <c r="R9" s="649">
        <v>9.3216672192694069E-2</v>
      </c>
      <c r="S9" s="649">
        <v>8.4820960509983945E-2</v>
      </c>
      <c r="T9" s="918">
        <f>SUM(N9+P9*25+R9*298)</f>
        <v>643.00977585032729</v>
      </c>
      <c r="U9" s="426">
        <f>SUM(O9+Q9*25+S9*298)</f>
        <v>1998.0312041142001</v>
      </c>
      <c r="V9" s="169"/>
      <c r="W9" s="679"/>
      <c r="X9" s="168"/>
      <c r="Y9" s="169"/>
      <c r="Z9" s="137"/>
      <c r="AA9" s="67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c r="HR9" s="18"/>
      <c r="HS9" s="18"/>
      <c r="HT9" s="18"/>
      <c r="HU9" s="18"/>
      <c r="HV9" s="18"/>
      <c r="HW9" s="18"/>
      <c r="HX9" s="18"/>
      <c r="HY9" s="18"/>
      <c r="HZ9" s="18"/>
      <c r="IA9" s="18"/>
      <c r="IB9" s="18"/>
      <c r="IC9" s="18"/>
      <c r="ID9" s="18"/>
      <c r="IE9" s="18"/>
      <c r="IF9" s="18"/>
      <c r="IG9" s="18"/>
      <c r="IH9" s="18"/>
      <c r="II9" s="18"/>
      <c r="IJ9" s="18"/>
      <c r="IK9" s="18"/>
      <c r="IL9" s="18"/>
      <c r="IM9" s="18"/>
      <c r="IN9" s="18"/>
      <c r="IO9" s="18"/>
      <c r="IP9" s="18"/>
      <c r="IQ9" s="18"/>
      <c r="IR9" s="18"/>
      <c r="IS9" s="18"/>
      <c r="IT9" s="18"/>
      <c r="IU9" s="18"/>
      <c r="IV9" s="18"/>
      <c r="IW9" s="18"/>
    </row>
    <row r="10" spans="1:257" x14ac:dyDescent="0.3">
      <c r="B10" s="5" t="s">
        <v>104</v>
      </c>
      <c r="C10" s="916" t="s">
        <v>207</v>
      </c>
      <c r="D10" s="415">
        <f t="shared" ref="D10:D41" si="4">SUM(O228+AA228)</f>
        <v>341742.39697730343</v>
      </c>
      <c r="E10" s="917">
        <f t="shared" ref="E10:E41" si="5">AA184</f>
        <v>10081.621020127051</v>
      </c>
      <c r="F10" s="917">
        <f t="shared" ref="F10:F42" si="6">AC184</f>
        <v>20000.265491068654</v>
      </c>
      <c r="G10" s="917">
        <f t="shared" si="0"/>
        <v>116.19416904860768</v>
      </c>
      <c r="H10" s="416">
        <f t="shared" si="1"/>
        <v>0</v>
      </c>
      <c r="I10" s="415">
        <f t="shared" ref="I10:I41" si="7">S268+AB268</f>
        <v>1339116063.9493086</v>
      </c>
      <c r="J10" s="918">
        <f t="shared" ref="J10:J41" si="8">Z184</f>
        <v>39301737.303441517</v>
      </c>
      <c r="K10" s="918">
        <f t="shared" ref="K10:K42" si="9">AB184</f>
        <v>102282220.9832702</v>
      </c>
      <c r="L10" s="917">
        <f t="shared" si="2"/>
        <v>473086.03001758811</v>
      </c>
      <c r="M10" s="422">
        <f t="shared" si="3"/>
        <v>0</v>
      </c>
      <c r="N10" s="412">
        <v>482.10597478152016</v>
      </c>
      <c r="O10" s="917">
        <v>13688.845305772253</v>
      </c>
      <c r="P10" s="919">
        <v>0.18649433158114878</v>
      </c>
      <c r="Q10" s="919">
        <v>8.4773851492049204E-2</v>
      </c>
      <c r="R10" s="919">
        <v>7.3752637352919592E-2</v>
      </c>
      <c r="S10" s="919">
        <v>0.58753702961400267</v>
      </c>
      <c r="T10" s="918">
        <f t="shared" ref="T10:T41" si="10">SUM(N10+P10*25+R10*298)</f>
        <v>508.74661900221889</v>
      </c>
      <c r="U10" s="416">
        <f t="shared" ref="U10:U41" si="11">SUM(O10+Q10*25+S10*298)</f>
        <v>13866.050686884528</v>
      </c>
      <c r="V10" s="169"/>
      <c r="W10" s="168"/>
      <c r="X10" s="168"/>
      <c r="Y10" s="169"/>
      <c r="Z10" s="137"/>
      <c r="AA10" s="137"/>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c r="EF10" s="18"/>
      <c r="EG10" s="18"/>
      <c r="EH10" s="18"/>
      <c r="EI10" s="18"/>
      <c r="EJ10" s="18"/>
      <c r="EK10" s="18"/>
      <c r="EL10" s="18"/>
      <c r="EM10" s="18"/>
      <c r="EN10" s="18"/>
      <c r="EO10" s="18"/>
      <c r="EP10" s="18"/>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c r="FT10" s="18"/>
      <c r="FU10" s="18"/>
      <c r="FV10" s="18"/>
      <c r="FW10" s="18"/>
      <c r="FX10" s="18"/>
      <c r="FY10" s="18"/>
      <c r="FZ10" s="18"/>
      <c r="GA10" s="18"/>
      <c r="GB10" s="18"/>
      <c r="GC10" s="18"/>
      <c r="GD10" s="18"/>
      <c r="GE10" s="18"/>
      <c r="GF10" s="18"/>
      <c r="GG10" s="18"/>
      <c r="GH10" s="18"/>
      <c r="GI10" s="18"/>
      <c r="GJ10" s="18"/>
      <c r="GK10" s="18"/>
      <c r="GL10" s="18"/>
      <c r="GM10" s="18"/>
      <c r="GN10" s="18"/>
      <c r="GO10" s="18"/>
      <c r="GP10" s="18"/>
      <c r="GQ10" s="18"/>
      <c r="GR10" s="18"/>
      <c r="GS10" s="18"/>
      <c r="GT10" s="18"/>
      <c r="GU10" s="18"/>
      <c r="GV10" s="18"/>
      <c r="GW10" s="18"/>
      <c r="GX10" s="18"/>
      <c r="GY10" s="18"/>
      <c r="GZ10" s="18"/>
      <c r="HA10" s="18"/>
      <c r="HB10" s="18"/>
      <c r="HC10" s="18"/>
      <c r="HD10" s="18"/>
      <c r="HE10" s="18"/>
      <c r="HF10" s="18"/>
      <c r="HG10" s="18"/>
      <c r="HH10" s="18"/>
      <c r="HI10" s="18"/>
      <c r="HJ10" s="18"/>
      <c r="HK10" s="18"/>
      <c r="HL10" s="18"/>
      <c r="HM10" s="18"/>
      <c r="HN10" s="18"/>
      <c r="HO10" s="18"/>
      <c r="HP10" s="18"/>
      <c r="HQ10" s="18"/>
      <c r="HR10" s="18"/>
      <c r="HS10" s="18"/>
      <c r="HT10" s="18"/>
      <c r="HU10" s="18"/>
      <c r="HV10" s="18"/>
      <c r="HW10" s="18"/>
      <c r="HX10" s="18"/>
      <c r="HY10" s="18"/>
      <c r="HZ10" s="18"/>
      <c r="IA10" s="18"/>
      <c r="IB10" s="18"/>
      <c r="IC10" s="18"/>
      <c r="ID10" s="18"/>
      <c r="IE10" s="18"/>
      <c r="IF10" s="18"/>
      <c r="IG10" s="18"/>
      <c r="IH10" s="18"/>
      <c r="II10" s="18"/>
      <c r="IJ10" s="18"/>
      <c r="IK10" s="18"/>
      <c r="IL10" s="18"/>
      <c r="IM10" s="18"/>
      <c r="IN10" s="18"/>
      <c r="IO10" s="18"/>
      <c r="IP10" s="18"/>
      <c r="IQ10" s="18"/>
      <c r="IR10" s="18"/>
      <c r="IS10" s="18"/>
      <c r="IT10" s="18"/>
      <c r="IU10" s="18"/>
      <c r="IV10" s="18"/>
      <c r="IW10" s="18"/>
    </row>
    <row r="11" spans="1:257" x14ac:dyDescent="0.3">
      <c r="B11" s="5" t="s">
        <v>105</v>
      </c>
      <c r="C11" s="916" t="s">
        <v>208</v>
      </c>
      <c r="D11" s="415">
        <f t="shared" si="4"/>
        <v>197821.05795343695</v>
      </c>
      <c r="E11" s="917">
        <f t="shared" si="5"/>
        <v>1208.9515582460995</v>
      </c>
      <c r="F11" s="917">
        <f t="shared" si="6"/>
        <v>7212.3792886928395</v>
      </c>
      <c r="G11" s="917">
        <f t="shared" si="0"/>
        <v>5737.4734628047099</v>
      </c>
      <c r="H11" s="416">
        <f t="shared" si="1"/>
        <v>1187.5295164333368</v>
      </c>
      <c r="I11" s="415">
        <f t="shared" si="7"/>
        <v>774724288.3383019</v>
      </c>
      <c r="J11" s="918">
        <f t="shared" si="8"/>
        <v>4707938.6200634744</v>
      </c>
      <c r="K11" s="918">
        <f t="shared" si="9"/>
        <v>36884418.986871436</v>
      </c>
      <c r="L11" s="917">
        <f t="shared" si="2"/>
        <v>23379055.690543462</v>
      </c>
      <c r="M11" s="422">
        <f t="shared" si="3"/>
        <v>1769215.5977708308</v>
      </c>
      <c r="N11" s="412">
        <v>463.50766743684414</v>
      </c>
      <c r="O11" s="917">
        <v>3436.344694061997</v>
      </c>
      <c r="P11" s="919">
        <v>0.17929989907415092</v>
      </c>
      <c r="Q11" s="919">
        <v>2.1355154215778795E-2</v>
      </c>
      <c r="R11" s="919">
        <v>7.0907465775048875E-2</v>
      </c>
      <c r="S11" s="919">
        <v>0.14720697842562117</v>
      </c>
      <c r="T11" s="918">
        <f t="shared" si="10"/>
        <v>489.12058971466251</v>
      </c>
      <c r="U11" s="416">
        <f t="shared" si="11"/>
        <v>3480.7462524882267</v>
      </c>
      <c r="V11" s="169"/>
      <c r="W11" s="168"/>
      <c r="X11" s="168"/>
      <c r="Y11" s="169"/>
      <c r="Z11" s="137"/>
      <c r="AA11" s="137"/>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c r="HR11" s="18"/>
      <c r="HS11" s="18"/>
      <c r="HT11" s="18"/>
      <c r="HU11" s="18"/>
      <c r="HV11" s="18"/>
      <c r="HW11" s="18"/>
      <c r="HX11" s="18"/>
      <c r="HY11" s="18"/>
      <c r="HZ11" s="18"/>
      <c r="IA11" s="18"/>
      <c r="IB11" s="18"/>
      <c r="IC11" s="18"/>
      <c r="ID11" s="18"/>
      <c r="IE11" s="18"/>
      <c r="IF11" s="18"/>
      <c r="IG11" s="18"/>
      <c r="IH11" s="18"/>
      <c r="II11" s="18"/>
      <c r="IJ11" s="18"/>
      <c r="IK11" s="18"/>
      <c r="IL11" s="18"/>
      <c r="IM11" s="18"/>
      <c r="IN11" s="18"/>
      <c r="IO11" s="18"/>
      <c r="IP11" s="18"/>
      <c r="IQ11" s="18"/>
      <c r="IR11" s="18"/>
      <c r="IS11" s="18"/>
      <c r="IT11" s="18"/>
      <c r="IU11" s="18"/>
      <c r="IV11" s="18"/>
      <c r="IW11" s="18"/>
    </row>
    <row r="12" spans="1:257" x14ac:dyDescent="0.3">
      <c r="B12" s="5" t="s">
        <v>106</v>
      </c>
      <c r="C12" s="916" t="s">
        <v>209</v>
      </c>
      <c r="D12" s="415">
        <f t="shared" si="4"/>
        <v>219967.61477237992</v>
      </c>
      <c r="E12" s="917">
        <f t="shared" si="5"/>
        <v>12104.215523167873</v>
      </c>
      <c r="F12" s="917">
        <f t="shared" si="6"/>
        <v>21889.100449951689</v>
      </c>
      <c r="G12" s="917">
        <f t="shared" si="0"/>
        <v>195.34923452218609</v>
      </c>
      <c r="H12" s="416">
        <f t="shared" si="1"/>
        <v>0</v>
      </c>
      <c r="I12" s="415">
        <f t="shared" si="7"/>
        <v>861252741.44955277</v>
      </c>
      <c r="J12" s="918">
        <f t="shared" si="8"/>
        <v>47170370.70313333</v>
      </c>
      <c r="K12" s="918">
        <f t="shared" si="9"/>
        <v>111941804.48988284</v>
      </c>
      <c r="L12" s="917">
        <f t="shared" si="2"/>
        <v>795739.37369420077</v>
      </c>
      <c r="M12" s="422">
        <f t="shared" si="3"/>
        <v>0</v>
      </c>
      <c r="N12" s="412">
        <v>946.02117964063893</v>
      </c>
      <c r="O12" s="917">
        <v>13039.758958022203</v>
      </c>
      <c r="P12" s="919">
        <v>0.36595187943614227</v>
      </c>
      <c r="Q12" s="919">
        <v>8.4190760111911719E-2</v>
      </c>
      <c r="R12" s="919">
        <v>0.14472244825805408</v>
      </c>
      <c r="S12" s="919">
        <v>0.55940148235234655</v>
      </c>
      <c r="T12" s="918">
        <f t="shared" si="10"/>
        <v>998.29726620744259</v>
      </c>
      <c r="U12" s="416">
        <f t="shared" si="11"/>
        <v>13208.565368766</v>
      </c>
      <c r="V12" s="169"/>
      <c r="W12" s="168"/>
      <c r="X12" s="168"/>
      <c r="Y12" s="169"/>
      <c r="Z12" s="137"/>
      <c r="AA12" s="137"/>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18"/>
      <c r="DP12" s="18"/>
      <c r="DQ12" s="18"/>
      <c r="DR12" s="18"/>
      <c r="DS12" s="18"/>
      <c r="DT12" s="18"/>
      <c r="DU12" s="18"/>
      <c r="DV12" s="18"/>
      <c r="DW12" s="18"/>
      <c r="DX12" s="18"/>
      <c r="DY12" s="18"/>
      <c r="DZ12" s="18"/>
      <c r="EA12" s="18"/>
      <c r="EB12" s="18"/>
      <c r="EC12" s="18"/>
      <c r="ED12" s="18"/>
      <c r="EE12" s="18"/>
      <c r="EF12" s="18"/>
      <c r="EG12" s="18"/>
      <c r="EH12" s="18"/>
      <c r="EI12" s="18"/>
      <c r="EJ12" s="18"/>
      <c r="EK12" s="18"/>
      <c r="EL12" s="18"/>
      <c r="EM12" s="18"/>
      <c r="EN12" s="18"/>
      <c r="EO12" s="18"/>
      <c r="EP12" s="18"/>
      <c r="EQ12" s="18"/>
      <c r="ER12" s="18"/>
      <c r="ES12" s="18"/>
      <c r="ET12" s="18"/>
      <c r="EU12" s="18"/>
      <c r="EV12" s="18"/>
      <c r="EW12" s="18"/>
      <c r="EX12" s="18"/>
      <c r="EY12" s="18"/>
      <c r="EZ12" s="18"/>
      <c r="FA12" s="18"/>
      <c r="FB12" s="18"/>
      <c r="FC12" s="18"/>
      <c r="FD12" s="18"/>
      <c r="FE12" s="18"/>
      <c r="FF12" s="18"/>
      <c r="FG12" s="18"/>
      <c r="FH12" s="18"/>
      <c r="FI12" s="18"/>
      <c r="FJ12" s="18"/>
      <c r="FK12" s="18"/>
      <c r="FL12" s="18"/>
      <c r="FM12" s="18"/>
      <c r="FN12" s="18"/>
      <c r="FO12" s="18"/>
      <c r="FP12" s="18"/>
      <c r="FQ12" s="18"/>
      <c r="FR12" s="18"/>
      <c r="FS12" s="18"/>
      <c r="FT12" s="18"/>
      <c r="FU12" s="18"/>
      <c r="FV12" s="18"/>
      <c r="FW12" s="18"/>
      <c r="FX12" s="18"/>
      <c r="FY12" s="18"/>
      <c r="FZ12" s="18"/>
      <c r="GA12" s="18"/>
      <c r="GB12" s="18"/>
      <c r="GC12" s="18"/>
      <c r="GD12" s="18"/>
      <c r="GE12" s="18"/>
      <c r="GF12" s="18"/>
      <c r="GG12" s="18"/>
      <c r="GH12" s="18"/>
      <c r="GI12" s="18"/>
      <c r="GJ12" s="18"/>
      <c r="GK12" s="18"/>
      <c r="GL12" s="18"/>
      <c r="GM12" s="18"/>
      <c r="GN12" s="18"/>
      <c r="GO12" s="18"/>
      <c r="GP12" s="18"/>
      <c r="GQ12" s="18"/>
      <c r="GR12" s="18"/>
      <c r="GS12" s="18"/>
      <c r="GT12" s="18"/>
      <c r="GU12" s="18"/>
      <c r="GV12" s="18"/>
      <c r="GW12" s="18"/>
      <c r="GX12" s="18"/>
      <c r="GY12" s="18"/>
      <c r="GZ12" s="18"/>
      <c r="HA12" s="18"/>
      <c r="HB12" s="18"/>
      <c r="HC12" s="18"/>
      <c r="HD12" s="18"/>
      <c r="HE12" s="18"/>
      <c r="HF12" s="18"/>
      <c r="HG12" s="18"/>
      <c r="HH12" s="18"/>
      <c r="HI12" s="18"/>
      <c r="HJ12" s="18"/>
      <c r="HK12" s="18"/>
      <c r="HL12" s="18"/>
      <c r="HM12" s="18"/>
      <c r="HN12" s="18"/>
      <c r="HO12" s="18"/>
      <c r="HP12" s="18"/>
      <c r="HQ12" s="18"/>
      <c r="HR12" s="18"/>
      <c r="HS12" s="18"/>
      <c r="HT12" s="18"/>
      <c r="HU12" s="18"/>
      <c r="HV12" s="18"/>
      <c r="HW12" s="18"/>
      <c r="HX12" s="18"/>
      <c r="HY12" s="18"/>
      <c r="HZ12" s="18"/>
      <c r="IA12" s="18"/>
      <c r="IB12" s="18"/>
      <c r="IC12" s="18"/>
      <c r="ID12" s="18"/>
      <c r="IE12" s="18"/>
      <c r="IF12" s="18"/>
      <c r="IG12" s="18"/>
      <c r="IH12" s="18"/>
      <c r="II12" s="18"/>
      <c r="IJ12" s="18"/>
      <c r="IK12" s="18"/>
      <c r="IL12" s="18"/>
      <c r="IM12" s="18"/>
      <c r="IN12" s="18"/>
      <c r="IO12" s="18"/>
      <c r="IP12" s="18"/>
      <c r="IQ12" s="18"/>
      <c r="IR12" s="18"/>
      <c r="IS12" s="18"/>
      <c r="IT12" s="18"/>
      <c r="IU12" s="18"/>
      <c r="IV12" s="18"/>
      <c r="IW12" s="18"/>
    </row>
    <row r="13" spans="1:257" x14ac:dyDescent="0.3">
      <c r="B13" s="5" t="s">
        <v>107</v>
      </c>
      <c r="C13" s="916" t="s">
        <v>210</v>
      </c>
      <c r="D13" s="415">
        <f t="shared" si="4"/>
        <v>276519.57630094298</v>
      </c>
      <c r="E13" s="917">
        <f t="shared" si="5"/>
        <v>1479.2362599245421</v>
      </c>
      <c r="F13" s="917">
        <f t="shared" si="6"/>
        <v>14787.915039605403</v>
      </c>
      <c r="G13" s="917">
        <f t="shared" si="0"/>
        <v>5654.0628824635924</v>
      </c>
      <c r="H13" s="416">
        <f t="shared" si="1"/>
        <v>0</v>
      </c>
      <c r="I13" s="415">
        <f t="shared" si="7"/>
        <v>1083097681.4563551</v>
      </c>
      <c r="J13" s="918">
        <f t="shared" si="8"/>
        <v>5761664.9311558595</v>
      </c>
      <c r="K13" s="918">
        <f t="shared" si="9"/>
        <v>75626035.796284154</v>
      </c>
      <c r="L13" s="917">
        <f t="shared" si="2"/>
        <v>22968811.30303362</v>
      </c>
      <c r="M13" s="422">
        <f t="shared" si="3"/>
        <v>0</v>
      </c>
      <c r="N13" s="412">
        <v>288.28159225229342</v>
      </c>
      <c r="O13" s="917">
        <v>2438.3763423226683</v>
      </c>
      <c r="P13" s="919">
        <v>0.11151673214297916</v>
      </c>
      <c r="Q13" s="919">
        <v>1.5996767425894544E-2</v>
      </c>
      <c r="R13" s="919">
        <v>4.4101357048190161E-2</v>
      </c>
      <c r="S13" s="919">
        <v>0.10444506901112509</v>
      </c>
      <c r="T13" s="918">
        <f t="shared" si="10"/>
        <v>304.21171495622855</v>
      </c>
      <c r="U13" s="416">
        <f>SUM(O13+Q13*25+S13*298)</f>
        <v>2469.900892073631</v>
      </c>
      <c r="V13" s="169"/>
      <c r="W13" s="168"/>
      <c r="X13" s="168"/>
      <c r="Y13" s="169"/>
      <c r="Z13" s="137"/>
      <c r="AA13" s="137"/>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c r="HR13" s="18"/>
      <c r="HS13" s="18"/>
      <c r="HT13" s="18"/>
      <c r="HU13" s="18"/>
      <c r="HV13" s="18"/>
      <c r="HW13" s="18"/>
      <c r="HX13" s="18"/>
      <c r="HY13" s="18"/>
      <c r="HZ13" s="18"/>
      <c r="IA13" s="18"/>
      <c r="IB13" s="18"/>
      <c r="IC13" s="18"/>
      <c r="ID13" s="18"/>
      <c r="IE13" s="18"/>
      <c r="IF13" s="18"/>
      <c r="IG13" s="18"/>
      <c r="IH13" s="18"/>
      <c r="II13" s="18"/>
      <c r="IJ13" s="18"/>
      <c r="IK13" s="18"/>
      <c r="IL13" s="18"/>
      <c r="IM13" s="18"/>
      <c r="IN13" s="18"/>
      <c r="IO13" s="18"/>
      <c r="IP13" s="18"/>
      <c r="IQ13" s="18"/>
      <c r="IR13" s="18"/>
      <c r="IS13" s="18"/>
      <c r="IT13" s="18"/>
      <c r="IU13" s="18"/>
      <c r="IV13" s="18"/>
      <c r="IW13" s="18"/>
    </row>
    <row r="14" spans="1:257" x14ac:dyDescent="0.3">
      <c r="B14" s="5" t="s">
        <v>108</v>
      </c>
      <c r="C14" s="916" t="s">
        <v>211</v>
      </c>
      <c r="D14" s="415">
        <f t="shared" si="4"/>
        <v>124558.94248067532</v>
      </c>
      <c r="E14" s="917">
        <f t="shared" si="5"/>
        <v>12062.941550882641</v>
      </c>
      <c r="F14" s="917">
        <f t="shared" si="6"/>
        <v>23892.356650157133</v>
      </c>
      <c r="G14" s="917">
        <f t="shared" si="0"/>
        <v>0</v>
      </c>
      <c r="H14" s="416">
        <f t="shared" si="1"/>
        <v>0</v>
      </c>
      <c r="I14" s="415">
        <f t="shared" si="7"/>
        <v>490049489.14223474</v>
      </c>
      <c r="J14" s="918">
        <f t="shared" si="8"/>
        <v>47016888.300577782</v>
      </c>
      <c r="K14" s="918">
        <f t="shared" si="9"/>
        <v>122186543.16332789</v>
      </c>
      <c r="L14" s="917">
        <f t="shared" si="2"/>
        <v>0</v>
      </c>
      <c r="M14" s="422">
        <f t="shared" si="3"/>
        <v>0</v>
      </c>
      <c r="N14" s="412">
        <v>1178.0060202415848</v>
      </c>
      <c r="O14" s="917">
        <v>65245.288002062676</v>
      </c>
      <c r="P14" s="919">
        <v>0.45569118997764579</v>
      </c>
      <c r="Q14" s="919">
        <v>0.28361092512209141</v>
      </c>
      <c r="R14" s="919">
        <v>0.18021152060977097</v>
      </c>
      <c r="S14" s="919">
        <v>2.84885302238377</v>
      </c>
      <c r="T14" s="918">
        <f t="shared" si="10"/>
        <v>1243.1013331327376</v>
      </c>
      <c r="U14" s="416">
        <f t="shared" si="11"/>
        <v>66101.336475861084</v>
      </c>
      <c r="V14" s="169"/>
      <c r="W14" s="168"/>
      <c r="X14" s="168"/>
      <c r="Y14" s="169"/>
      <c r="Z14" s="137"/>
      <c r="AA14" s="137"/>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18"/>
      <c r="DP14" s="18"/>
      <c r="DQ14" s="18"/>
      <c r="DR14" s="18"/>
      <c r="DS14" s="18"/>
      <c r="DT14" s="18"/>
      <c r="DU14" s="18"/>
      <c r="DV14" s="18"/>
      <c r="DW14" s="18"/>
      <c r="DX14" s="18"/>
      <c r="DY14" s="18"/>
      <c r="DZ14" s="18"/>
      <c r="EA14" s="18"/>
      <c r="EB14" s="18"/>
      <c r="EC14" s="18"/>
      <c r="ED14" s="18"/>
      <c r="EE14" s="18"/>
      <c r="EF14" s="18"/>
      <c r="EG14" s="18"/>
      <c r="EH14" s="18"/>
      <c r="EI14" s="18"/>
      <c r="EJ14" s="18"/>
      <c r="EK14" s="18"/>
      <c r="EL14" s="18"/>
      <c r="EM14" s="18"/>
      <c r="EN14" s="18"/>
      <c r="EO14" s="18"/>
      <c r="EP14" s="18"/>
      <c r="EQ14" s="18"/>
      <c r="ER14" s="18"/>
      <c r="ES14" s="18"/>
      <c r="ET14" s="18"/>
      <c r="EU14" s="18"/>
      <c r="EV14" s="18"/>
      <c r="EW14" s="18"/>
      <c r="EX14" s="18"/>
      <c r="EY14" s="18"/>
      <c r="EZ14" s="18"/>
      <c r="FA14" s="18"/>
      <c r="FB14" s="18"/>
      <c r="FC14" s="18"/>
      <c r="FD14" s="18"/>
      <c r="FE14" s="18"/>
      <c r="FF14" s="18"/>
      <c r="FG14" s="18"/>
      <c r="FH14" s="18"/>
      <c r="FI14" s="18"/>
      <c r="FJ14" s="18"/>
      <c r="FK14" s="18"/>
      <c r="FL14" s="18"/>
      <c r="FM14" s="18"/>
      <c r="FN14" s="18"/>
      <c r="FO14" s="18"/>
      <c r="FP14" s="18"/>
      <c r="FQ14" s="18"/>
      <c r="FR14" s="18"/>
      <c r="FS14" s="18"/>
      <c r="FT14" s="18"/>
      <c r="FU14" s="18"/>
      <c r="FV14" s="18"/>
      <c r="FW14" s="18"/>
      <c r="FX14" s="18"/>
      <c r="FY14" s="18"/>
      <c r="FZ14" s="18"/>
      <c r="GA14" s="18"/>
      <c r="GB14" s="18"/>
      <c r="GC14" s="18"/>
      <c r="GD14" s="18"/>
      <c r="GE14" s="18"/>
      <c r="GF14" s="18"/>
      <c r="GG14" s="18"/>
      <c r="GH14" s="18"/>
      <c r="GI14" s="18"/>
      <c r="GJ14" s="18"/>
      <c r="GK14" s="18"/>
      <c r="GL14" s="18"/>
      <c r="GM14" s="18"/>
      <c r="GN14" s="18"/>
      <c r="GO14" s="18"/>
      <c r="GP14" s="18"/>
      <c r="GQ14" s="18"/>
      <c r="GR14" s="18"/>
      <c r="GS14" s="18"/>
      <c r="GT14" s="18"/>
      <c r="GU14" s="18"/>
      <c r="GV14" s="18"/>
      <c r="GW14" s="18"/>
      <c r="GX14" s="18"/>
      <c r="GY14" s="18"/>
      <c r="GZ14" s="18"/>
      <c r="HA14" s="18"/>
      <c r="HB14" s="18"/>
      <c r="HC14" s="18"/>
      <c r="HD14" s="18"/>
      <c r="HE14" s="18"/>
      <c r="HF14" s="18"/>
      <c r="HG14" s="18"/>
      <c r="HH14" s="18"/>
      <c r="HI14" s="18"/>
      <c r="HJ14" s="18"/>
      <c r="HK14" s="18"/>
      <c r="HL14" s="18"/>
      <c r="HM14" s="18"/>
      <c r="HN14" s="18"/>
      <c r="HO14" s="18"/>
      <c r="HP14" s="18"/>
      <c r="HQ14" s="18"/>
      <c r="HR14" s="18"/>
      <c r="HS14" s="18"/>
      <c r="HT14" s="18"/>
      <c r="HU14" s="18"/>
      <c r="HV14" s="18"/>
      <c r="HW14" s="18"/>
      <c r="HX14" s="18"/>
      <c r="HY14" s="18"/>
      <c r="HZ14" s="18"/>
      <c r="IA14" s="18"/>
      <c r="IB14" s="18"/>
      <c r="IC14" s="18"/>
      <c r="ID14" s="18"/>
      <c r="IE14" s="18"/>
      <c r="IF14" s="18"/>
      <c r="IG14" s="18"/>
      <c r="IH14" s="18"/>
      <c r="II14" s="18"/>
      <c r="IJ14" s="18"/>
      <c r="IK14" s="18"/>
      <c r="IL14" s="18"/>
      <c r="IM14" s="18"/>
      <c r="IN14" s="18"/>
      <c r="IO14" s="18"/>
      <c r="IP14" s="18"/>
      <c r="IQ14" s="18"/>
      <c r="IR14" s="18"/>
      <c r="IS14" s="18"/>
      <c r="IT14" s="18"/>
      <c r="IU14" s="18"/>
      <c r="IV14" s="18"/>
      <c r="IW14" s="18"/>
    </row>
    <row r="15" spans="1:257" x14ac:dyDescent="0.3">
      <c r="B15" s="5" t="s">
        <v>109</v>
      </c>
      <c r="C15" s="916" t="s">
        <v>212</v>
      </c>
      <c r="D15" s="415">
        <f t="shared" si="4"/>
        <v>40781.313787077932</v>
      </c>
      <c r="E15" s="917">
        <f t="shared" si="5"/>
        <v>8.4247713927460186</v>
      </c>
      <c r="F15" s="917">
        <f t="shared" si="6"/>
        <v>7820.6749534721266</v>
      </c>
      <c r="G15" s="917">
        <f t="shared" si="0"/>
        <v>203.51952697302286</v>
      </c>
      <c r="H15" s="416">
        <f t="shared" si="1"/>
        <v>10333.671105849122</v>
      </c>
      <c r="I15" s="415">
        <f t="shared" si="7"/>
        <v>160815654.20982879</v>
      </c>
      <c r="J15" s="918">
        <f t="shared" si="8"/>
        <v>32808.019754453133</v>
      </c>
      <c r="K15" s="918">
        <f t="shared" si="9"/>
        <v>39995269.272129118</v>
      </c>
      <c r="L15" s="917">
        <f t="shared" si="2"/>
        <v>829062.8892082395</v>
      </c>
      <c r="M15" s="422">
        <f t="shared" si="3"/>
        <v>16385690.191191146</v>
      </c>
      <c r="N15" s="412">
        <v>631.44217885070475</v>
      </c>
      <c r="O15" s="917">
        <v>2052.3311646097568</v>
      </c>
      <c r="P15" s="919">
        <v>0.24426245107265596</v>
      </c>
      <c r="Q15" s="919">
        <v>1.2026285751891779E-2</v>
      </c>
      <c r="R15" s="919">
        <v>9.6598110088177466E-2</v>
      </c>
      <c r="S15" s="919">
        <v>8.8461074609826607E-2</v>
      </c>
      <c r="T15" s="918">
        <f t="shared" si="10"/>
        <v>666.33497693379798</v>
      </c>
      <c r="U15" s="416">
        <f t="shared" si="11"/>
        <v>2078.9932219872826</v>
      </c>
      <c r="V15" s="169"/>
      <c r="W15" s="168"/>
      <c r="X15" s="168"/>
      <c r="Y15" s="169"/>
      <c r="Z15" s="137"/>
      <c r="AA15" s="137"/>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c r="HR15" s="18"/>
      <c r="HS15" s="18"/>
      <c r="HT15" s="18"/>
      <c r="HU15" s="18"/>
      <c r="HV15" s="18"/>
      <c r="HW15" s="18"/>
      <c r="HX15" s="18"/>
      <c r="HY15" s="18"/>
      <c r="HZ15" s="18"/>
      <c r="IA15" s="18"/>
      <c r="IB15" s="18"/>
      <c r="IC15" s="18"/>
      <c r="ID15" s="18"/>
      <c r="IE15" s="18"/>
      <c r="IF15" s="18"/>
      <c r="IG15" s="18"/>
      <c r="IH15" s="18"/>
      <c r="II15" s="18"/>
      <c r="IJ15" s="18"/>
      <c r="IK15" s="18"/>
      <c r="IL15" s="18"/>
      <c r="IM15" s="18"/>
      <c r="IN15" s="18"/>
      <c r="IO15" s="18"/>
      <c r="IP15" s="18"/>
      <c r="IQ15" s="18"/>
      <c r="IR15" s="18"/>
      <c r="IS15" s="18"/>
      <c r="IT15" s="18"/>
      <c r="IU15" s="18"/>
      <c r="IV15" s="18"/>
      <c r="IW15" s="18"/>
    </row>
    <row r="16" spans="1:257" x14ac:dyDescent="0.3">
      <c r="B16" s="5" t="s">
        <v>110</v>
      </c>
      <c r="C16" s="916" t="s">
        <v>213</v>
      </c>
      <c r="D16" s="415">
        <f t="shared" si="4"/>
        <v>273956.42049047345</v>
      </c>
      <c r="E16" s="917">
        <f t="shared" si="5"/>
        <v>3851.5302592797952</v>
      </c>
      <c r="F16" s="917">
        <f t="shared" si="6"/>
        <v>20630.3793618409</v>
      </c>
      <c r="G16" s="917">
        <f t="shared" si="0"/>
        <v>261.47969645835394</v>
      </c>
      <c r="H16" s="416">
        <f t="shared" si="1"/>
        <v>0</v>
      </c>
      <c r="I16" s="415">
        <f t="shared" si="7"/>
        <v>1072697759.7383871</v>
      </c>
      <c r="J16" s="918">
        <f t="shared" si="8"/>
        <v>15009412.279349983</v>
      </c>
      <c r="K16" s="918">
        <f t="shared" si="9"/>
        <v>105504650.51570472</v>
      </c>
      <c r="L16" s="917">
        <f t="shared" si="2"/>
        <v>1065531.9737249385</v>
      </c>
      <c r="M16" s="422">
        <f t="shared" si="3"/>
        <v>0</v>
      </c>
      <c r="N16" s="412">
        <v>167.32445231223832</v>
      </c>
      <c r="O16" s="917">
        <v>13349.126788727775</v>
      </c>
      <c r="P16" s="919">
        <v>6.4726561219852444E-2</v>
      </c>
      <c r="Q16" s="919">
        <v>8.3023115046210391E-2</v>
      </c>
      <c r="R16" s="919">
        <v>2.5597317389092503E-2</v>
      </c>
      <c r="S16" s="919">
        <v>0.57222651376415612</v>
      </c>
      <c r="T16" s="918">
        <f t="shared" si="10"/>
        <v>176.5706169246842</v>
      </c>
      <c r="U16" s="416">
        <f t="shared" si="11"/>
        <v>13521.725867705651</v>
      </c>
      <c r="V16" s="169"/>
      <c r="W16" s="168"/>
      <c r="X16" s="168"/>
      <c r="Y16" s="169"/>
      <c r="Z16" s="137"/>
      <c r="AA16" s="137"/>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K16" s="18"/>
      <c r="DL16" s="18"/>
      <c r="DM16" s="18"/>
      <c r="DN16" s="18"/>
      <c r="DO16" s="18"/>
      <c r="DP16" s="18"/>
      <c r="DQ16" s="18"/>
      <c r="DR16" s="18"/>
      <c r="DS16" s="18"/>
      <c r="DT16" s="18"/>
      <c r="DU16" s="18"/>
      <c r="DV16" s="18"/>
      <c r="DW16" s="18"/>
      <c r="DX16" s="18"/>
      <c r="DY16" s="18"/>
      <c r="DZ16" s="18"/>
      <c r="EA16" s="18"/>
      <c r="EB16" s="18"/>
      <c r="EC16" s="18"/>
      <c r="ED16" s="18"/>
      <c r="EE16" s="18"/>
      <c r="EF16" s="18"/>
      <c r="EG16" s="18"/>
      <c r="EH16" s="18"/>
      <c r="EI16" s="18"/>
      <c r="EJ16" s="18"/>
      <c r="EK16" s="18"/>
      <c r="EL16" s="18"/>
      <c r="EM16" s="18"/>
      <c r="EN16" s="18"/>
      <c r="EO16" s="18"/>
      <c r="EP16" s="18"/>
      <c r="EQ16" s="18"/>
      <c r="ER16" s="18"/>
      <c r="ES16" s="18"/>
      <c r="ET16" s="18"/>
      <c r="EU16" s="18"/>
      <c r="EV16" s="18"/>
      <c r="EW16" s="18"/>
      <c r="EX16" s="18"/>
      <c r="EY16" s="18"/>
      <c r="EZ16" s="18"/>
      <c r="FA16" s="18"/>
      <c r="FB16" s="18"/>
      <c r="FC16" s="18"/>
      <c r="FD16" s="18"/>
      <c r="FE16" s="18"/>
      <c r="FF16" s="18"/>
      <c r="FG16" s="18"/>
      <c r="FH16" s="18"/>
      <c r="FI16" s="18"/>
      <c r="FJ16" s="18"/>
      <c r="FK16" s="18"/>
      <c r="FL16" s="18"/>
      <c r="FM16" s="18"/>
      <c r="FN16" s="18"/>
      <c r="FO16" s="18"/>
      <c r="FP16" s="18"/>
      <c r="FQ16" s="18"/>
      <c r="FR16" s="18"/>
      <c r="FS16" s="18"/>
      <c r="FT16" s="18"/>
      <c r="FU16" s="18"/>
      <c r="FV16" s="18"/>
      <c r="FW16" s="18"/>
      <c r="FX16" s="18"/>
      <c r="FY16" s="18"/>
      <c r="FZ16" s="18"/>
      <c r="GA16" s="18"/>
      <c r="GB16" s="18"/>
      <c r="GC16" s="18"/>
      <c r="GD16" s="18"/>
      <c r="GE16" s="18"/>
      <c r="GF16" s="18"/>
      <c r="GG16" s="18"/>
      <c r="GH16" s="18"/>
      <c r="GI16" s="18"/>
      <c r="GJ16" s="18"/>
      <c r="GK16" s="18"/>
      <c r="GL16" s="18"/>
      <c r="GM16" s="18"/>
      <c r="GN16" s="18"/>
      <c r="GO16" s="18"/>
      <c r="GP16" s="18"/>
      <c r="GQ16" s="18"/>
      <c r="GR16" s="18"/>
      <c r="GS16" s="18"/>
      <c r="GT16" s="18"/>
      <c r="GU16" s="18"/>
      <c r="GV16" s="18"/>
      <c r="GW16" s="18"/>
      <c r="GX16" s="18"/>
      <c r="GY16" s="18"/>
      <c r="GZ16" s="18"/>
      <c r="HA16" s="18"/>
      <c r="HB16" s="18"/>
      <c r="HC16" s="18"/>
      <c r="HD16" s="18"/>
      <c r="HE16" s="18"/>
      <c r="HF16" s="18"/>
      <c r="HG16" s="18"/>
      <c r="HH16" s="18"/>
      <c r="HI16" s="18"/>
      <c r="HJ16" s="18"/>
      <c r="HK16" s="18"/>
      <c r="HL16" s="18"/>
      <c r="HM16" s="18"/>
      <c r="HN16" s="18"/>
      <c r="HO16" s="18"/>
      <c r="HP16" s="18"/>
      <c r="HQ16" s="18"/>
      <c r="HR16" s="18"/>
      <c r="HS16" s="18"/>
      <c r="HT16" s="18"/>
      <c r="HU16" s="18"/>
      <c r="HV16" s="18"/>
      <c r="HW16" s="18"/>
      <c r="HX16" s="18"/>
      <c r="HY16" s="18"/>
      <c r="HZ16" s="18"/>
      <c r="IA16" s="18"/>
      <c r="IB16" s="18"/>
      <c r="IC16" s="18"/>
      <c r="ID16" s="18"/>
      <c r="IE16" s="18"/>
      <c r="IF16" s="18"/>
      <c r="IG16" s="18"/>
      <c r="IH16" s="18"/>
      <c r="II16" s="18"/>
      <c r="IJ16" s="18"/>
      <c r="IK16" s="18"/>
      <c r="IL16" s="18"/>
      <c r="IM16" s="18"/>
      <c r="IN16" s="18"/>
      <c r="IO16" s="18"/>
      <c r="IP16" s="18"/>
      <c r="IQ16" s="18"/>
      <c r="IR16" s="18"/>
      <c r="IS16" s="18"/>
      <c r="IT16" s="18"/>
      <c r="IU16" s="18"/>
      <c r="IV16" s="18"/>
      <c r="IW16" s="18"/>
    </row>
    <row r="17" spans="2:257" x14ac:dyDescent="0.3">
      <c r="B17" s="5" t="s">
        <v>111</v>
      </c>
      <c r="C17" s="916" t="s">
        <v>214</v>
      </c>
      <c r="D17" s="415">
        <f t="shared" si="4"/>
        <v>281455.8148044392</v>
      </c>
      <c r="E17" s="917">
        <f t="shared" si="5"/>
        <v>4406.9736480503543</v>
      </c>
      <c r="F17" s="917">
        <f t="shared" si="6"/>
        <v>20605.496258060317</v>
      </c>
      <c r="G17" s="917">
        <f t="shared" si="0"/>
        <v>0</v>
      </c>
      <c r="H17" s="416">
        <f t="shared" si="1"/>
        <v>0</v>
      </c>
      <c r="I17" s="415">
        <f t="shared" si="7"/>
        <v>1102091528.1031184</v>
      </c>
      <c r="J17" s="918">
        <f t="shared" si="8"/>
        <v>17166640.41723153</v>
      </c>
      <c r="K17" s="918">
        <f t="shared" si="9"/>
        <v>105377397.24895324</v>
      </c>
      <c r="L17" s="917">
        <f t="shared" si="2"/>
        <v>0</v>
      </c>
      <c r="M17" s="422">
        <f t="shared" si="3"/>
        <v>0</v>
      </c>
      <c r="N17" s="412">
        <v>666.0973424872783</v>
      </c>
      <c r="O17" s="917">
        <v>19952.324068782273</v>
      </c>
      <c r="P17" s="919">
        <v>0.25766819984224354</v>
      </c>
      <c r="Q17" s="919">
        <v>0.12024548030951314</v>
      </c>
      <c r="R17" s="919">
        <v>0.10189966171746936</v>
      </c>
      <c r="S17" s="919">
        <v>0.8593577987467147</v>
      </c>
      <c r="T17" s="918">
        <f>SUM(N17+P17*25+R17*298)</f>
        <v>702.90514667514026</v>
      </c>
      <c r="U17" s="416">
        <f t="shared" si="11"/>
        <v>20211.418829816532</v>
      </c>
      <c r="V17" s="169"/>
      <c r="W17" s="168"/>
      <c r="X17" s="168"/>
      <c r="Y17" s="169"/>
      <c r="Z17" s="137"/>
      <c r="AA17" s="137"/>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s="18"/>
      <c r="HU17" s="18"/>
      <c r="HV17" s="18"/>
      <c r="HW17" s="18"/>
      <c r="HX17" s="18"/>
      <c r="HY17" s="18"/>
      <c r="HZ17" s="18"/>
      <c r="IA17" s="18"/>
      <c r="IB17" s="18"/>
      <c r="IC17" s="18"/>
      <c r="ID17" s="18"/>
      <c r="IE17" s="18"/>
      <c r="IF17" s="18"/>
      <c r="IG17" s="18"/>
      <c r="IH17" s="18"/>
      <c r="II17" s="18"/>
      <c r="IJ17" s="18"/>
      <c r="IK17" s="18"/>
      <c r="IL17" s="18"/>
      <c r="IM17" s="18"/>
      <c r="IN17" s="18"/>
      <c r="IO17" s="18"/>
      <c r="IP17" s="18"/>
      <c r="IQ17" s="18"/>
      <c r="IR17" s="18"/>
      <c r="IS17" s="18"/>
      <c r="IT17" s="18"/>
      <c r="IU17" s="18"/>
      <c r="IV17" s="18"/>
      <c r="IW17" s="18"/>
    </row>
    <row r="18" spans="2:257" x14ac:dyDescent="0.3">
      <c r="B18" s="5" t="s">
        <v>112</v>
      </c>
      <c r="C18" s="916" t="s">
        <v>215</v>
      </c>
      <c r="D18" s="415">
        <f t="shared" si="4"/>
        <v>397629.7086198249</v>
      </c>
      <c r="E18" s="917">
        <f t="shared" si="5"/>
        <v>1231.3566704902712</v>
      </c>
      <c r="F18" s="917">
        <f t="shared" si="6"/>
        <v>5932.651061036021</v>
      </c>
      <c r="G18" s="917">
        <f t="shared" si="0"/>
        <v>200.45596224541586</v>
      </c>
      <c r="H18" s="416">
        <f t="shared" si="1"/>
        <v>0</v>
      </c>
      <c r="I18" s="415">
        <f t="shared" si="7"/>
        <v>1552339143.0250854</v>
      </c>
      <c r="J18" s="918">
        <f t="shared" si="8"/>
        <v>4795865.5568538122</v>
      </c>
      <c r="K18" s="918">
        <f t="shared" si="9"/>
        <v>30339833.594333746</v>
      </c>
      <c r="L18" s="917">
        <f t="shared" si="2"/>
        <v>814055.86702375824</v>
      </c>
      <c r="M18" s="422">
        <f t="shared" si="3"/>
        <v>0</v>
      </c>
      <c r="N18" s="412">
        <v>732.53123105857412</v>
      </c>
      <c r="O18" s="917">
        <v>13182.158801132842</v>
      </c>
      <c r="P18" s="919">
        <v>0.28336699697715834</v>
      </c>
      <c r="Q18" s="919">
        <v>8.0033024797224017E-2</v>
      </c>
      <c r="R18" s="919">
        <v>0.11206272699365361</v>
      </c>
      <c r="S18" s="919">
        <v>0.56536201775903572</v>
      </c>
      <c r="T18" s="918">
        <f t="shared" si="10"/>
        <v>773.0100986271118</v>
      </c>
      <c r="U18" s="416">
        <f>SUM(O18+Q18*25+S18*298)</f>
        <v>13352.637508044965</v>
      </c>
      <c r="V18" s="169"/>
      <c r="W18" s="168"/>
      <c r="X18" s="168"/>
      <c r="Y18" s="169"/>
      <c r="Z18" s="137"/>
      <c r="AA18" s="137"/>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18"/>
      <c r="DP18" s="18"/>
      <c r="DQ18" s="18"/>
      <c r="DR18" s="18"/>
      <c r="DS18" s="18"/>
      <c r="DT18" s="18"/>
      <c r="DU18" s="18"/>
      <c r="DV18" s="18"/>
      <c r="DW18" s="18"/>
      <c r="DX18" s="18"/>
      <c r="DY18" s="18"/>
      <c r="DZ18" s="18"/>
      <c r="EA18" s="18"/>
      <c r="EB18" s="18"/>
      <c r="EC18" s="18"/>
      <c r="ED18" s="18"/>
      <c r="EE18" s="18"/>
      <c r="EF18" s="18"/>
      <c r="EG18" s="18"/>
      <c r="EH18" s="18"/>
      <c r="EI18" s="18"/>
      <c r="EJ18" s="18"/>
      <c r="EK18" s="18"/>
      <c r="EL18" s="18"/>
      <c r="EM18" s="18"/>
      <c r="EN18" s="18"/>
      <c r="EO18" s="18"/>
      <c r="EP18" s="18"/>
      <c r="EQ18" s="18"/>
      <c r="ER18" s="18"/>
      <c r="ES18" s="18"/>
      <c r="ET18" s="18"/>
      <c r="EU18" s="18"/>
      <c r="EV18" s="18"/>
      <c r="EW18" s="18"/>
      <c r="EX18" s="18"/>
      <c r="EY18" s="18"/>
      <c r="EZ18" s="18"/>
      <c r="FA18" s="18"/>
      <c r="FB18" s="18"/>
      <c r="FC18" s="18"/>
      <c r="FD18" s="18"/>
      <c r="FE18" s="18"/>
      <c r="FF18" s="18"/>
      <c r="FG18" s="18"/>
      <c r="FH18" s="18"/>
      <c r="FI18" s="18"/>
      <c r="FJ18" s="18"/>
      <c r="FK18" s="18"/>
      <c r="FL18" s="18"/>
      <c r="FM18" s="18"/>
      <c r="FN18" s="18"/>
      <c r="FO18" s="18"/>
      <c r="FP18" s="18"/>
      <c r="FQ18" s="18"/>
      <c r="FR18" s="18"/>
      <c r="FS18" s="18"/>
      <c r="FT18" s="18"/>
      <c r="FU18" s="18"/>
      <c r="FV18" s="18"/>
      <c r="FW18" s="18"/>
      <c r="FX18" s="18"/>
      <c r="FY18" s="18"/>
      <c r="FZ18" s="18"/>
      <c r="GA18" s="18"/>
      <c r="GB18" s="18"/>
      <c r="GC18" s="18"/>
      <c r="GD18" s="18"/>
      <c r="GE18" s="18"/>
      <c r="GF18" s="18"/>
      <c r="GG18" s="18"/>
      <c r="GH18" s="18"/>
      <c r="GI18" s="18"/>
      <c r="GJ18" s="18"/>
      <c r="GK18" s="18"/>
      <c r="GL18" s="18"/>
      <c r="GM18" s="18"/>
      <c r="GN18" s="18"/>
      <c r="GO18" s="18"/>
      <c r="GP18" s="18"/>
      <c r="GQ18" s="18"/>
      <c r="GR18" s="18"/>
      <c r="GS18" s="18"/>
      <c r="GT18" s="18"/>
      <c r="GU18" s="18"/>
      <c r="GV18" s="18"/>
      <c r="GW18" s="18"/>
      <c r="GX18" s="18"/>
      <c r="GY18" s="18"/>
      <c r="GZ18" s="18"/>
      <c r="HA18" s="18"/>
      <c r="HB18" s="18"/>
      <c r="HC18" s="18"/>
      <c r="HD18" s="18"/>
      <c r="HE18" s="18"/>
      <c r="HF18" s="18"/>
      <c r="HG18" s="18"/>
      <c r="HH18" s="18"/>
      <c r="HI18" s="18"/>
      <c r="HJ18" s="18"/>
      <c r="HK18" s="18"/>
      <c r="HL18" s="18"/>
      <c r="HM18" s="18"/>
      <c r="HN18" s="18"/>
      <c r="HO18" s="18"/>
      <c r="HP18" s="18"/>
      <c r="HQ18" s="18"/>
      <c r="HR18" s="18"/>
      <c r="HS18" s="18"/>
      <c r="HT18" s="18"/>
      <c r="HU18" s="18"/>
      <c r="HV18" s="18"/>
      <c r="HW18" s="18"/>
      <c r="HX18" s="18"/>
      <c r="HY18" s="18"/>
      <c r="HZ18" s="18"/>
      <c r="IA18" s="18"/>
      <c r="IB18" s="18"/>
      <c r="IC18" s="18"/>
      <c r="ID18" s="18"/>
      <c r="IE18" s="18"/>
      <c r="IF18" s="18"/>
      <c r="IG18" s="18"/>
      <c r="IH18" s="18"/>
      <c r="II18" s="18"/>
      <c r="IJ18" s="18"/>
      <c r="IK18" s="18"/>
      <c r="IL18" s="18"/>
      <c r="IM18" s="18"/>
      <c r="IN18" s="18"/>
      <c r="IO18" s="18"/>
      <c r="IP18" s="18"/>
      <c r="IQ18" s="18"/>
      <c r="IR18" s="18"/>
      <c r="IS18" s="18"/>
      <c r="IT18" s="18"/>
      <c r="IU18" s="18"/>
      <c r="IV18" s="18"/>
      <c r="IW18" s="18"/>
    </row>
    <row r="19" spans="2:257" x14ac:dyDescent="0.3">
      <c r="B19" s="5" t="s">
        <v>113</v>
      </c>
      <c r="C19" s="916" t="s">
        <v>216</v>
      </c>
      <c r="D19" s="415">
        <f t="shared" si="4"/>
        <v>252964.79220076776</v>
      </c>
      <c r="E19" s="917">
        <f t="shared" si="5"/>
        <v>781.43263832682351</v>
      </c>
      <c r="F19" s="917">
        <f t="shared" si="6"/>
        <v>10028.154001445022</v>
      </c>
      <c r="G19" s="917">
        <f t="shared" si="0"/>
        <v>3069.122576250355</v>
      </c>
      <c r="H19" s="416">
        <f t="shared" si="1"/>
        <v>5019.9104717727168</v>
      </c>
      <c r="I19" s="415">
        <f t="shared" si="7"/>
        <v>991163626.8011173</v>
      </c>
      <c r="J19" s="918">
        <f t="shared" si="8"/>
        <v>3043080.4872729611</v>
      </c>
      <c r="K19" s="918">
        <f t="shared" si="9"/>
        <v>51284412.403830521</v>
      </c>
      <c r="L19" s="917">
        <f t="shared" si="2"/>
        <v>12504502.524964329</v>
      </c>
      <c r="M19" s="422">
        <f t="shared" si="3"/>
        <v>7651974.6097357571</v>
      </c>
      <c r="N19" s="412">
        <v>460.6058500789581</v>
      </c>
      <c r="O19" s="917">
        <v>6428.676330566198</v>
      </c>
      <c r="P19" s="919">
        <v>0.17817738137713471</v>
      </c>
      <c r="Q19" s="919">
        <v>4.0568138201487899E-2</v>
      </c>
      <c r="R19" s="919">
        <v>7.0463545362410285E-2</v>
      </c>
      <c r="S19" s="919">
        <v>0.27592624425241391</v>
      </c>
      <c r="T19" s="918">
        <f>SUM(N19+P19*25+R19*298)</f>
        <v>486.0584211313847</v>
      </c>
      <c r="U19" s="416">
        <f t="shared" si="11"/>
        <v>6511.9165548084547</v>
      </c>
      <c r="V19" s="169"/>
      <c r="W19" s="168"/>
      <c r="X19" s="168"/>
      <c r="Y19" s="169"/>
      <c r="Z19" s="137"/>
      <c r="AA19" s="137"/>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c r="HR19" s="18"/>
      <c r="HS19" s="18"/>
      <c r="HT19" s="18"/>
      <c r="HU19" s="18"/>
      <c r="HV19" s="18"/>
      <c r="HW19" s="18"/>
      <c r="HX19" s="18"/>
      <c r="HY19" s="18"/>
      <c r="HZ19" s="18"/>
      <c r="IA19" s="18"/>
      <c r="IB19" s="18"/>
      <c r="IC19" s="18"/>
      <c r="ID19" s="18"/>
      <c r="IE19" s="18"/>
      <c r="IF19" s="18"/>
      <c r="IG19" s="18"/>
      <c r="IH19" s="18"/>
      <c r="II19" s="18"/>
      <c r="IJ19" s="18"/>
      <c r="IK19" s="18"/>
      <c r="IL19" s="18"/>
      <c r="IM19" s="18"/>
      <c r="IN19" s="18"/>
      <c r="IO19" s="18"/>
      <c r="IP19" s="18"/>
      <c r="IQ19" s="18"/>
      <c r="IR19" s="18"/>
      <c r="IS19" s="18"/>
      <c r="IT19" s="18"/>
      <c r="IU19" s="18"/>
      <c r="IV19" s="18"/>
      <c r="IW19" s="18"/>
    </row>
    <row r="20" spans="2:257" x14ac:dyDescent="0.3">
      <c r="B20" s="5" t="s">
        <v>114</v>
      </c>
      <c r="C20" s="916" t="s">
        <v>217</v>
      </c>
      <c r="D20" s="415">
        <f t="shared" si="4"/>
        <v>119317.44463866383</v>
      </c>
      <c r="E20" s="917">
        <f t="shared" si="5"/>
        <v>1686.00395229428</v>
      </c>
      <c r="F20" s="917">
        <f t="shared" si="6"/>
        <v>6487.5544354280319</v>
      </c>
      <c r="G20" s="917">
        <f t="shared" si="0"/>
        <v>0</v>
      </c>
      <c r="H20" s="416">
        <f t="shared" si="1"/>
        <v>0</v>
      </c>
      <c r="I20" s="415">
        <f t="shared" si="7"/>
        <v>467852571.1300863</v>
      </c>
      <c r="J20" s="918">
        <f t="shared" si="8"/>
        <v>6565691.6246515838</v>
      </c>
      <c r="K20" s="918">
        <f t="shared" si="9"/>
        <v>33177633.402004872</v>
      </c>
      <c r="L20" s="917">
        <f t="shared" si="2"/>
        <v>0</v>
      </c>
      <c r="M20" s="422">
        <f t="shared" si="3"/>
        <v>0</v>
      </c>
      <c r="N20" s="412">
        <v>360.22014860945569</v>
      </c>
      <c r="O20" s="917">
        <v>11929.546208874181</v>
      </c>
      <c r="P20" s="919">
        <v>0.13934491450230746</v>
      </c>
      <c r="Q20" s="919">
        <v>6.666524108217875E-2</v>
      </c>
      <c r="R20" s="919">
        <v>5.510652714820153E-2</v>
      </c>
      <c r="S20" s="919">
        <v>0.51291197719537018</v>
      </c>
      <c r="T20" s="918">
        <f t="shared" si="10"/>
        <v>380.12551656217744</v>
      </c>
      <c r="U20" s="416">
        <f t="shared" si="11"/>
        <v>12084.060609105454</v>
      </c>
      <c r="V20" s="169"/>
      <c r="W20" s="168"/>
      <c r="X20" s="168"/>
      <c r="Y20" s="169"/>
      <c r="Z20" s="137"/>
      <c r="AA20" s="137"/>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18"/>
      <c r="DP20" s="18"/>
      <c r="DQ20" s="18"/>
      <c r="DR20" s="18"/>
      <c r="DS20" s="18"/>
      <c r="DT20" s="18"/>
      <c r="DU20" s="18"/>
      <c r="DV20" s="18"/>
      <c r="DW20" s="18"/>
      <c r="DX20" s="18"/>
      <c r="DY20" s="18"/>
      <c r="DZ20" s="18"/>
      <c r="EA20" s="18"/>
      <c r="EB20" s="18"/>
      <c r="EC20" s="18"/>
      <c r="ED20" s="18"/>
      <c r="EE20" s="18"/>
      <c r="EF20" s="18"/>
      <c r="EG20" s="18"/>
      <c r="EH20" s="18"/>
      <c r="EI20" s="18"/>
      <c r="EJ20" s="18"/>
      <c r="EK20" s="18"/>
      <c r="EL20" s="18"/>
      <c r="EM20" s="18"/>
      <c r="EN20" s="18"/>
      <c r="EO20" s="18"/>
      <c r="EP20" s="18"/>
      <c r="EQ20" s="18"/>
      <c r="ER20" s="18"/>
      <c r="ES20" s="18"/>
      <c r="ET20" s="18"/>
      <c r="EU20" s="18"/>
      <c r="EV20" s="18"/>
      <c r="EW20" s="18"/>
      <c r="EX20" s="18"/>
      <c r="EY20" s="18"/>
      <c r="EZ20" s="18"/>
      <c r="FA20" s="18"/>
      <c r="FB20" s="18"/>
      <c r="FC20" s="18"/>
      <c r="FD20" s="18"/>
      <c r="FE20" s="18"/>
      <c r="FF20" s="18"/>
      <c r="FG20" s="18"/>
      <c r="FH20" s="18"/>
      <c r="FI20" s="18"/>
      <c r="FJ20" s="18"/>
      <c r="FK20" s="18"/>
      <c r="FL20" s="18"/>
      <c r="FM20" s="18"/>
      <c r="FN20" s="18"/>
      <c r="FO20" s="18"/>
      <c r="FP20" s="18"/>
      <c r="FQ20" s="18"/>
      <c r="FR20" s="18"/>
      <c r="FS20" s="18"/>
      <c r="FT20" s="18"/>
      <c r="FU20" s="18"/>
      <c r="FV20" s="18"/>
      <c r="FW20" s="18"/>
      <c r="FX20" s="18"/>
      <c r="FY20" s="18"/>
      <c r="FZ20" s="18"/>
      <c r="GA20" s="18"/>
      <c r="GB20" s="18"/>
      <c r="GC20" s="18"/>
      <c r="GD20" s="18"/>
      <c r="GE20" s="18"/>
      <c r="GF20" s="18"/>
      <c r="GG20" s="18"/>
      <c r="GH20" s="18"/>
      <c r="GI20" s="18"/>
      <c r="GJ20" s="18"/>
      <c r="GK20" s="18"/>
      <c r="GL20" s="18"/>
      <c r="GM20" s="18"/>
      <c r="GN20" s="18"/>
      <c r="GO20" s="18"/>
      <c r="GP20" s="18"/>
      <c r="GQ20" s="18"/>
      <c r="GR20" s="18"/>
      <c r="GS20" s="18"/>
      <c r="GT20" s="18"/>
      <c r="GU20" s="18"/>
      <c r="GV20" s="18"/>
      <c r="GW20" s="18"/>
      <c r="GX20" s="18"/>
      <c r="GY20" s="18"/>
      <c r="GZ20" s="18"/>
      <c r="HA20" s="18"/>
      <c r="HB20" s="18"/>
      <c r="HC20" s="18"/>
      <c r="HD20" s="18"/>
      <c r="HE20" s="18"/>
      <c r="HF20" s="18"/>
      <c r="HG20" s="18"/>
      <c r="HH20" s="18"/>
      <c r="HI20" s="18"/>
      <c r="HJ20" s="18"/>
      <c r="HK20" s="18"/>
      <c r="HL20" s="18"/>
      <c r="HM20" s="18"/>
      <c r="HN20" s="18"/>
      <c r="HO20" s="18"/>
      <c r="HP20" s="18"/>
      <c r="HQ20" s="18"/>
      <c r="HR20" s="18"/>
      <c r="HS20" s="18"/>
      <c r="HT20" s="18"/>
      <c r="HU20" s="18"/>
      <c r="HV20" s="18"/>
      <c r="HW20" s="18"/>
      <c r="HX20" s="18"/>
      <c r="HY20" s="18"/>
      <c r="HZ20" s="18"/>
      <c r="IA20" s="18"/>
      <c r="IB20" s="18"/>
      <c r="IC20" s="18"/>
      <c r="ID20" s="18"/>
      <c r="IE20" s="18"/>
      <c r="IF20" s="18"/>
      <c r="IG20" s="18"/>
      <c r="IH20" s="18"/>
      <c r="II20" s="18"/>
      <c r="IJ20" s="18"/>
      <c r="IK20" s="18"/>
      <c r="IL20" s="18"/>
      <c r="IM20" s="18"/>
      <c r="IN20" s="18"/>
      <c r="IO20" s="18"/>
      <c r="IP20" s="18"/>
      <c r="IQ20" s="18"/>
      <c r="IR20" s="18"/>
      <c r="IS20" s="18"/>
      <c r="IT20" s="18"/>
      <c r="IU20" s="18"/>
      <c r="IV20" s="18"/>
      <c r="IW20" s="18"/>
    </row>
    <row r="21" spans="2:257" x14ac:dyDescent="0.3">
      <c r="B21" s="5" t="s">
        <v>115</v>
      </c>
      <c r="C21" s="916" t="s">
        <v>218</v>
      </c>
      <c r="D21" s="415">
        <f t="shared" si="4"/>
        <v>114601.52215990594</v>
      </c>
      <c r="E21" s="917">
        <f t="shared" si="5"/>
        <v>1685.5721000633168</v>
      </c>
      <c r="F21" s="917">
        <f t="shared" si="6"/>
        <v>9868.5143184946501</v>
      </c>
      <c r="G21" s="917">
        <f t="shared" si="0"/>
        <v>7866.4076267423743</v>
      </c>
      <c r="H21" s="416">
        <f t="shared" si="1"/>
        <v>6.9014007031033824</v>
      </c>
      <c r="I21" s="415">
        <f t="shared" si="7"/>
        <v>450336858.02505952</v>
      </c>
      <c r="J21" s="918">
        <f t="shared" si="8"/>
        <v>6565458.1628905861</v>
      </c>
      <c r="K21" s="918">
        <f t="shared" si="9"/>
        <v>50468008.174770646</v>
      </c>
      <c r="L21" s="917">
        <f t="shared" si="2"/>
        <v>32006672.132496022</v>
      </c>
      <c r="M21" s="422">
        <f t="shared" si="3"/>
        <v>10288.806305145867</v>
      </c>
      <c r="N21" s="412">
        <v>325.03401046294607</v>
      </c>
      <c r="O21" s="917">
        <v>31094.517174646986</v>
      </c>
      <c r="P21" s="919">
        <v>0.12573376745620615</v>
      </c>
      <c r="Q21" s="919">
        <v>0.13890040596783021</v>
      </c>
      <c r="R21" s="919">
        <v>4.9723746966426625E-2</v>
      </c>
      <c r="S21" s="919">
        <v>1.3560509981832227</v>
      </c>
      <c r="T21" s="918">
        <f t="shared" si="10"/>
        <v>342.99503124534635</v>
      </c>
      <c r="U21" s="416">
        <f t="shared" si="11"/>
        <v>31502.092882254783</v>
      </c>
      <c r="V21" s="169"/>
      <c r="W21" s="168"/>
      <c r="X21" s="168"/>
      <c r="Y21" s="169"/>
      <c r="Z21" s="137"/>
      <c r="AA21" s="137"/>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c r="HV21" s="18"/>
      <c r="HW21" s="18"/>
      <c r="HX21" s="18"/>
      <c r="HY21" s="18"/>
      <c r="HZ21" s="18"/>
      <c r="IA21" s="18"/>
      <c r="IB21" s="18"/>
      <c r="IC21" s="18"/>
      <c r="ID21" s="18"/>
      <c r="IE21" s="18"/>
      <c r="IF21" s="18"/>
      <c r="IG21" s="18"/>
      <c r="IH21" s="18"/>
      <c r="II21" s="18"/>
      <c r="IJ21" s="18"/>
      <c r="IK21" s="18"/>
      <c r="IL21" s="18"/>
      <c r="IM21" s="18"/>
      <c r="IN21" s="18"/>
      <c r="IO21" s="18"/>
      <c r="IP21" s="18"/>
      <c r="IQ21" s="18"/>
      <c r="IR21" s="18"/>
      <c r="IS21" s="18"/>
      <c r="IT21" s="18"/>
      <c r="IU21" s="18"/>
      <c r="IV21" s="18"/>
      <c r="IW21" s="18"/>
    </row>
    <row r="22" spans="2:257" x14ac:dyDescent="0.3">
      <c r="B22" s="5" t="s">
        <v>116</v>
      </c>
      <c r="C22" s="916" t="s">
        <v>219</v>
      </c>
      <c r="D22" s="415">
        <f t="shared" si="4"/>
        <v>123342.27418749324</v>
      </c>
      <c r="E22" s="917">
        <f t="shared" si="5"/>
        <v>2008.6978039434346</v>
      </c>
      <c r="F22" s="917">
        <f t="shared" si="6"/>
        <v>13077.075485204998</v>
      </c>
      <c r="G22" s="917">
        <f t="shared" si="0"/>
        <v>0</v>
      </c>
      <c r="H22" s="416">
        <f t="shared" si="1"/>
        <v>0</v>
      </c>
      <c r="I22" s="415">
        <f t="shared" si="7"/>
        <v>483715765.14284414</v>
      </c>
      <c r="J22" s="918">
        <f t="shared" si="8"/>
        <v>7824758.2825533655</v>
      </c>
      <c r="K22" s="918">
        <f t="shared" si="9"/>
        <v>66876728.470926657</v>
      </c>
      <c r="L22" s="917">
        <f t="shared" si="2"/>
        <v>0</v>
      </c>
      <c r="M22" s="422">
        <f t="shared" si="3"/>
        <v>0</v>
      </c>
      <c r="N22" s="412">
        <v>261.56630754836061</v>
      </c>
      <c r="O22" s="917">
        <v>5127.9456694284254</v>
      </c>
      <c r="P22" s="919">
        <v>0.10118238777788849</v>
      </c>
      <c r="Q22" s="919">
        <v>3.1519740537157184E-2</v>
      </c>
      <c r="R22" s="919">
        <v>4.0014449173957703E-2</v>
      </c>
      <c r="S22" s="919">
        <v>0.22005435526547587</v>
      </c>
      <c r="T22" s="918">
        <f t="shared" si="10"/>
        <v>276.02017309664717</v>
      </c>
      <c r="U22" s="416">
        <f t="shared" si="11"/>
        <v>5194.3098608109658</v>
      </c>
      <c r="V22" s="169"/>
      <c r="W22" s="168"/>
      <c r="X22" s="168"/>
      <c r="Y22" s="169"/>
      <c r="Z22" s="137"/>
      <c r="AA22" s="137"/>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8"/>
      <c r="DP22" s="18"/>
      <c r="DQ22" s="18"/>
      <c r="DR22" s="18"/>
      <c r="DS22" s="18"/>
      <c r="DT22" s="18"/>
      <c r="DU22" s="18"/>
      <c r="DV22" s="18"/>
      <c r="DW22" s="18"/>
      <c r="DX22" s="18"/>
      <c r="DY22" s="18"/>
      <c r="DZ22" s="18"/>
      <c r="EA22" s="18"/>
      <c r="EB22" s="18"/>
      <c r="EC22" s="18"/>
      <c r="ED22" s="18"/>
      <c r="EE22" s="18"/>
      <c r="EF22" s="18"/>
      <c r="EG22" s="18"/>
      <c r="EH22" s="18"/>
      <c r="EI22" s="18"/>
      <c r="EJ22" s="18"/>
      <c r="EK22" s="18"/>
      <c r="EL22" s="18"/>
      <c r="EM22" s="18"/>
      <c r="EN22" s="18"/>
      <c r="EO22" s="18"/>
      <c r="EP22" s="18"/>
      <c r="EQ22" s="18"/>
      <c r="ER22" s="18"/>
      <c r="ES22" s="18"/>
      <c r="ET22" s="18"/>
      <c r="EU22" s="18"/>
      <c r="EV22" s="18"/>
      <c r="EW22" s="18"/>
      <c r="EX22" s="18"/>
      <c r="EY22" s="18"/>
      <c r="EZ22" s="18"/>
      <c r="FA22" s="18"/>
      <c r="FB22" s="18"/>
      <c r="FC22" s="18"/>
      <c r="FD22" s="18"/>
      <c r="FE22" s="18"/>
      <c r="FF22" s="18"/>
      <c r="FG22" s="18"/>
      <c r="FH22" s="18"/>
      <c r="FI22" s="18"/>
      <c r="FJ22" s="18"/>
      <c r="FK22" s="18"/>
      <c r="FL22" s="18"/>
      <c r="FM22" s="18"/>
      <c r="FN22" s="18"/>
      <c r="FO22" s="18"/>
      <c r="FP22" s="18"/>
      <c r="FQ22" s="18"/>
      <c r="FR22" s="18"/>
      <c r="FS22" s="18"/>
      <c r="FT22" s="18"/>
      <c r="FU22" s="18"/>
      <c r="FV22" s="18"/>
      <c r="FW22" s="18"/>
      <c r="FX22" s="18"/>
      <c r="FY22" s="18"/>
      <c r="FZ22" s="18"/>
      <c r="GA22" s="18"/>
      <c r="GB22" s="18"/>
      <c r="GC22" s="18"/>
      <c r="GD22" s="18"/>
      <c r="GE22" s="18"/>
      <c r="GF22" s="18"/>
      <c r="GG22" s="18"/>
      <c r="GH22" s="18"/>
      <c r="GI22" s="18"/>
      <c r="GJ22" s="18"/>
      <c r="GK22" s="18"/>
      <c r="GL22" s="18"/>
      <c r="GM22" s="18"/>
      <c r="GN22" s="18"/>
      <c r="GO22" s="18"/>
      <c r="GP22" s="18"/>
      <c r="GQ22" s="18"/>
      <c r="GR22" s="18"/>
      <c r="GS22" s="18"/>
      <c r="GT22" s="18"/>
      <c r="GU22" s="18"/>
      <c r="GV22" s="18"/>
      <c r="GW22" s="18"/>
      <c r="GX22" s="18"/>
      <c r="GY22" s="18"/>
      <c r="GZ22" s="18"/>
      <c r="HA22" s="18"/>
      <c r="HB22" s="18"/>
      <c r="HC22" s="18"/>
      <c r="HD22" s="18"/>
      <c r="HE22" s="18"/>
      <c r="HF22" s="18"/>
      <c r="HG22" s="18"/>
      <c r="HH22" s="18"/>
      <c r="HI22" s="18"/>
      <c r="HJ22" s="18"/>
      <c r="HK22" s="18"/>
      <c r="HL22" s="18"/>
      <c r="HM22" s="18"/>
      <c r="HN22" s="18"/>
      <c r="HO22" s="18"/>
      <c r="HP22" s="18"/>
      <c r="HQ22" s="18"/>
      <c r="HR22" s="18"/>
      <c r="HS22" s="18"/>
      <c r="HT22" s="18"/>
      <c r="HU22" s="18"/>
      <c r="HV22" s="18"/>
      <c r="HW22" s="18"/>
      <c r="HX22" s="18"/>
      <c r="HY22" s="18"/>
      <c r="HZ22" s="18"/>
      <c r="IA22" s="18"/>
      <c r="IB22" s="18"/>
      <c r="IC22" s="18"/>
      <c r="ID22" s="18"/>
      <c r="IE22" s="18"/>
      <c r="IF22" s="18"/>
      <c r="IG22" s="18"/>
      <c r="IH22" s="18"/>
      <c r="II22" s="18"/>
      <c r="IJ22" s="18"/>
      <c r="IK22" s="18"/>
      <c r="IL22" s="18"/>
      <c r="IM22" s="18"/>
      <c r="IN22" s="18"/>
      <c r="IO22" s="18"/>
      <c r="IP22" s="18"/>
      <c r="IQ22" s="18"/>
      <c r="IR22" s="18"/>
      <c r="IS22" s="18"/>
      <c r="IT22" s="18"/>
      <c r="IU22" s="18"/>
      <c r="IV22" s="18"/>
      <c r="IW22" s="18"/>
    </row>
    <row r="23" spans="2:257" x14ac:dyDescent="0.3">
      <c r="B23" s="5" t="s">
        <v>117</v>
      </c>
      <c r="C23" s="916" t="s">
        <v>220</v>
      </c>
      <c r="D23" s="415">
        <f t="shared" si="4"/>
        <v>129338.97926677077</v>
      </c>
      <c r="E23" s="917">
        <f t="shared" si="5"/>
        <v>4303.1207624776307</v>
      </c>
      <c r="F23" s="917">
        <f t="shared" si="6"/>
        <v>10440.440480519585</v>
      </c>
      <c r="G23" s="917">
        <f t="shared" si="0"/>
        <v>192.52970285018927</v>
      </c>
      <c r="H23" s="416">
        <f t="shared" si="1"/>
        <v>0</v>
      </c>
      <c r="I23" s="415">
        <f t="shared" si="7"/>
        <v>507014069.17928511</v>
      </c>
      <c r="J23" s="918">
        <f t="shared" si="8"/>
        <v>16769037.579140779</v>
      </c>
      <c r="K23" s="918">
        <f t="shared" si="9"/>
        <v>53392863.253143013</v>
      </c>
      <c r="L23" s="917">
        <f t="shared" si="2"/>
        <v>784297.46203339007</v>
      </c>
      <c r="M23" s="422">
        <f t="shared" si="3"/>
        <v>0</v>
      </c>
      <c r="N23" s="412">
        <v>192.17193898523118</v>
      </c>
      <c r="O23" s="917">
        <v>5427.4145541749058</v>
      </c>
      <c r="P23" s="919">
        <v>7.4338380323839368E-2</v>
      </c>
      <c r="Q23" s="919">
        <v>3.3073841656372102E-2</v>
      </c>
      <c r="R23" s="919">
        <v>2.9398489267443977E-2</v>
      </c>
      <c r="S23" s="919">
        <v>0.23274699430050377</v>
      </c>
      <c r="T23" s="918">
        <f t="shared" si="10"/>
        <v>202.79114829502547</v>
      </c>
      <c r="U23" s="416">
        <f t="shared" si="11"/>
        <v>5497.6000045178653</v>
      </c>
      <c r="V23" s="169"/>
      <c r="W23" s="168"/>
      <c r="X23" s="168"/>
      <c r="Y23" s="169"/>
      <c r="Z23" s="137"/>
      <c r="AA23" s="137"/>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c r="HR23" s="18"/>
      <c r="HS23" s="18"/>
      <c r="HT23" s="18"/>
      <c r="HU23" s="18"/>
      <c r="HV23" s="18"/>
      <c r="HW23" s="18"/>
      <c r="HX23" s="18"/>
      <c r="HY23" s="18"/>
      <c r="HZ23" s="18"/>
      <c r="IA23" s="18"/>
      <c r="IB23" s="18"/>
      <c r="IC23" s="18"/>
      <c r="ID23" s="18"/>
      <c r="IE23" s="18"/>
      <c r="IF23" s="18"/>
      <c r="IG23" s="18"/>
      <c r="IH23" s="18"/>
      <c r="II23" s="18"/>
      <c r="IJ23" s="18"/>
      <c r="IK23" s="18"/>
      <c r="IL23" s="18"/>
      <c r="IM23" s="18"/>
      <c r="IN23" s="18"/>
      <c r="IO23" s="18"/>
      <c r="IP23" s="18"/>
      <c r="IQ23" s="18"/>
      <c r="IR23" s="18"/>
      <c r="IS23" s="18"/>
      <c r="IT23" s="18"/>
      <c r="IU23" s="18"/>
      <c r="IV23" s="18"/>
      <c r="IW23" s="18"/>
    </row>
    <row r="24" spans="2:257" x14ac:dyDescent="0.3">
      <c r="B24" s="5" t="s">
        <v>118</v>
      </c>
      <c r="C24" s="916" t="s">
        <v>221</v>
      </c>
      <c r="D24" s="415">
        <f t="shared" si="4"/>
        <v>412543.44876290363</v>
      </c>
      <c r="E24" s="917">
        <f t="shared" si="5"/>
        <v>2029.2582190700418</v>
      </c>
      <c r="F24" s="917">
        <f t="shared" si="6"/>
        <v>12939.322151165965</v>
      </c>
      <c r="G24" s="917">
        <f t="shared" si="0"/>
        <v>794.6021346058925</v>
      </c>
      <c r="H24" s="416">
        <f t="shared" si="1"/>
        <v>560.17251156955956</v>
      </c>
      <c r="I24" s="415">
        <f t="shared" si="7"/>
        <v>1608541910.0799057</v>
      </c>
      <c r="J24" s="918">
        <f t="shared" si="8"/>
        <v>7902403.5946494881</v>
      </c>
      <c r="K24" s="918">
        <f t="shared" si="9"/>
        <v>66172251.9748694</v>
      </c>
      <c r="L24" s="917">
        <f t="shared" si="2"/>
        <v>3238251.6643649247</v>
      </c>
      <c r="M24" s="422">
        <f t="shared" si="3"/>
        <v>837253.31567814271</v>
      </c>
      <c r="N24" s="412">
        <v>711.60730632143907</v>
      </c>
      <c r="O24" s="917">
        <v>4805.1447206582743</v>
      </c>
      <c r="P24" s="919">
        <v>0.27527293973243139</v>
      </c>
      <c r="Q24" s="919">
        <v>3.0756918525521076E-2</v>
      </c>
      <c r="R24" s="919">
        <v>0.10886178215193695</v>
      </c>
      <c r="S24" s="919">
        <v>0.20603696724213508</v>
      </c>
      <c r="T24" s="918">
        <f t="shared" si="10"/>
        <v>750.92994089602701</v>
      </c>
      <c r="U24" s="416">
        <f t="shared" si="11"/>
        <v>4867.3126598595682</v>
      </c>
      <c r="V24" s="169"/>
      <c r="W24" s="168"/>
      <c r="X24" s="168"/>
      <c r="Y24" s="169"/>
      <c r="Z24" s="137"/>
      <c r="AA24" s="137"/>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c r="EB24" s="18"/>
      <c r="EC24" s="18"/>
      <c r="ED24" s="18"/>
      <c r="EE24" s="18"/>
      <c r="EF24" s="18"/>
      <c r="EG24" s="18"/>
      <c r="EH24" s="18"/>
      <c r="EI24" s="18"/>
      <c r="EJ24" s="18"/>
      <c r="EK24" s="18"/>
      <c r="EL24" s="18"/>
      <c r="EM24" s="18"/>
      <c r="EN24" s="18"/>
      <c r="EO24" s="18"/>
      <c r="EP24" s="18"/>
      <c r="EQ24" s="18"/>
      <c r="ER24" s="18"/>
      <c r="ES24" s="18"/>
      <c r="ET24" s="18"/>
      <c r="EU24" s="18"/>
      <c r="EV24" s="18"/>
      <c r="EW24" s="18"/>
      <c r="EX24" s="18"/>
      <c r="EY24" s="18"/>
      <c r="EZ24" s="18"/>
      <c r="FA24" s="18"/>
      <c r="FB24" s="18"/>
      <c r="FC24" s="18"/>
      <c r="FD24" s="18"/>
      <c r="FE24" s="18"/>
      <c r="FF24" s="18"/>
      <c r="FG24" s="18"/>
      <c r="FH24" s="18"/>
      <c r="FI24" s="18"/>
      <c r="FJ24" s="18"/>
      <c r="FK24" s="18"/>
      <c r="FL24" s="18"/>
      <c r="FM24" s="18"/>
      <c r="FN24" s="18"/>
      <c r="FO24" s="18"/>
      <c r="FP24" s="18"/>
      <c r="FQ24" s="18"/>
      <c r="FR24" s="18"/>
      <c r="FS24" s="18"/>
      <c r="FT24" s="18"/>
      <c r="FU24" s="18"/>
      <c r="FV24" s="18"/>
      <c r="FW24" s="18"/>
      <c r="FX24" s="18"/>
      <c r="FY24" s="18"/>
      <c r="FZ24" s="18"/>
      <c r="GA24" s="18"/>
      <c r="GB24" s="18"/>
      <c r="GC24" s="18"/>
      <c r="GD24" s="18"/>
      <c r="GE24" s="18"/>
      <c r="GF24" s="18"/>
      <c r="GG24" s="18"/>
      <c r="GH24" s="18"/>
      <c r="GI24" s="18"/>
      <c r="GJ24" s="18"/>
      <c r="GK24" s="18"/>
      <c r="GL24" s="18"/>
      <c r="GM24" s="18"/>
      <c r="GN24" s="18"/>
      <c r="GO24" s="18"/>
      <c r="GP24" s="18"/>
      <c r="GQ24" s="18"/>
      <c r="GR24" s="18"/>
      <c r="GS24" s="18"/>
      <c r="GT24" s="18"/>
      <c r="GU24" s="18"/>
      <c r="GV24" s="18"/>
      <c r="GW24" s="18"/>
      <c r="GX24" s="18"/>
      <c r="GY24" s="18"/>
      <c r="GZ24" s="18"/>
      <c r="HA24" s="18"/>
      <c r="HB24" s="18"/>
      <c r="HC24" s="18"/>
      <c r="HD24" s="18"/>
      <c r="HE24" s="18"/>
      <c r="HF24" s="18"/>
      <c r="HG24" s="18"/>
      <c r="HH24" s="18"/>
      <c r="HI24" s="18"/>
      <c r="HJ24" s="18"/>
      <c r="HK24" s="18"/>
      <c r="HL24" s="18"/>
      <c r="HM24" s="18"/>
      <c r="HN24" s="18"/>
      <c r="HO24" s="18"/>
      <c r="HP24" s="18"/>
      <c r="HQ24" s="18"/>
      <c r="HR24" s="18"/>
      <c r="HS24" s="18"/>
      <c r="HT24" s="18"/>
      <c r="HU24" s="18"/>
      <c r="HV24" s="18"/>
      <c r="HW24" s="18"/>
      <c r="HX24" s="18"/>
      <c r="HY24" s="18"/>
      <c r="HZ24" s="18"/>
      <c r="IA24" s="18"/>
      <c r="IB24" s="18"/>
      <c r="IC24" s="18"/>
      <c r="ID24" s="18"/>
      <c r="IE24" s="18"/>
      <c r="IF24" s="18"/>
      <c r="IG24" s="18"/>
      <c r="IH24" s="18"/>
      <c r="II24" s="18"/>
      <c r="IJ24" s="18"/>
      <c r="IK24" s="18"/>
      <c r="IL24" s="18"/>
      <c r="IM24" s="18"/>
      <c r="IN24" s="18"/>
      <c r="IO24" s="18"/>
      <c r="IP24" s="18"/>
      <c r="IQ24" s="18"/>
      <c r="IR24" s="18"/>
      <c r="IS24" s="18"/>
      <c r="IT24" s="18"/>
      <c r="IU24" s="18"/>
      <c r="IV24" s="18"/>
      <c r="IW24" s="18"/>
    </row>
    <row r="25" spans="2:257" x14ac:dyDescent="0.3">
      <c r="B25" s="5" t="s">
        <v>119</v>
      </c>
      <c r="C25" s="916" t="s">
        <v>222</v>
      </c>
      <c r="D25" s="415">
        <f t="shared" si="4"/>
        <v>443801.52429901471</v>
      </c>
      <c r="E25" s="917">
        <f t="shared" si="5"/>
        <v>6001.0660452923166</v>
      </c>
      <c r="F25" s="917">
        <f t="shared" si="6"/>
        <v>19618.456095167283</v>
      </c>
      <c r="G25" s="917">
        <f t="shared" si="0"/>
        <v>649153.62504076166</v>
      </c>
      <c r="H25" s="416">
        <f t="shared" si="1"/>
        <v>0</v>
      </c>
      <c r="I25" s="415">
        <f t="shared" si="7"/>
        <v>1740354472.8770363</v>
      </c>
      <c r="J25" s="918">
        <f t="shared" si="8"/>
        <v>23389332.173859321</v>
      </c>
      <c r="K25" s="918">
        <f t="shared" si="9"/>
        <v>100329631.25277326</v>
      </c>
      <c r="L25" s="917">
        <f t="shared" si="2"/>
        <v>2613773451.0524402</v>
      </c>
      <c r="M25" s="422">
        <f t="shared" si="3"/>
        <v>0</v>
      </c>
      <c r="N25" s="412">
        <v>628.14430978956079</v>
      </c>
      <c r="O25" s="917">
        <v>27745.217271603473</v>
      </c>
      <c r="P25" s="919">
        <v>0.24298672764591633</v>
      </c>
      <c r="Q25" s="919">
        <v>0.1445296493112945</v>
      </c>
      <c r="R25" s="919">
        <v>9.6093601632304848E-2</v>
      </c>
      <c r="S25" s="919">
        <v>1.2031279243724986</v>
      </c>
      <c r="T25" s="918">
        <f t="shared" si="10"/>
        <v>662.85487126713554</v>
      </c>
      <c r="U25" s="416">
        <f t="shared" si="11"/>
        <v>28107.362634299261</v>
      </c>
      <c r="V25" s="169"/>
      <c r="W25" s="168"/>
      <c r="X25" s="168"/>
      <c r="Y25" s="169"/>
      <c r="Z25" s="137"/>
      <c r="AA25" s="137"/>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c r="HY25" s="18"/>
      <c r="HZ25" s="18"/>
      <c r="IA25" s="18"/>
      <c r="IB25" s="18"/>
      <c r="IC25" s="18"/>
      <c r="ID25" s="18"/>
      <c r="IE25" s="18"/>
      <c r="IF25" s="18"/>
      <c r="IG25" s="18"/>
      <c r="IH25" s="18"/>
      <c r="II25" s="18"/>
      <c r="IJ25" s="18"/>
      <c r="IK25" s="18"/>
      <c r="IL25" s="18"/>
      <c r="IM25" s="18"/>
      <c r="IN25" s="18"/>
      <c r="IO25" s="18"/>
      <c r="IP25" s="18"/>
      <c r="IQ25" s="18"/>
      <c r="IR25" s="18"/>
      <c r="IS25" s="18"/>
      <c r="IT25" s="18"/>
      <c r="IU25" s="18"/>
      <c r="IV25" s="18"/>
      <c r="IW25" s="18"/>
    </row>
    <row r="26" spans="2:257" x14ac:dyDescent="0.3">
      <c r="B26" s="5" t="s">
        <v>120</v>
      </c>
      <c r="C26" s="916" t="s">
        <v>223</v>
      </c>
      <c r="D26" s="415">
        <f t="shared" si="4"/>
        <v>318750.31580934738</v>
      </c>
      <c r="E26" s="917">
        <f t="shared" si="5"/>
        <v>556.9833466119785</v>
      </c>
      <c r="F26" s="917">
        <f t="shared" si="6"/>
        <v>7129.4577998728237</v>
      </c>
      <c r="G26" s="917">
        <f t="shared" si="0"/>
        <v>102215.87434817362</v>
      </c>
      <c r="H26" s="416">
        <f t="shared" si="1"/>
        <v>0</v>
      </c>
      <c r="I26" s="415">
        <f t="shared" si="7"/>
        <v>1252289358.4056656</v>
      </c>
      <c r="J26" s="918">
        <f t="shared" si="8"/>
        <v>2169081.3447533324</v>
      </c>
      <c r="K26" s="918">
        <f t="shared" si="9"/>
        <v>36460354.913945094</v>
      </c>
      <c r="L26" s="917">
        <f t="shared" si="2"/>
        <v>416589676.62392712</v>
      </c>
      <c r="M26" s="422">
        <f t="shared" si="3"/>
        <v>0</v>
      </c>
      <c r="N26" s="412">
        <v>790.096042783798</v>
      </c>
      <c r="O26" s="917">
        <v>4756.6536289454252</v>
      </c>
      <c r="P26" s="919">
        <v>0.30563494561678117</v>
      </c>
      <c r="Q26" s="919">
        <v>3.0066102069730798E-2</v>
      </c>
      <c r="R26" s="919">
        <v>0.12086899969206522</v>
      </c>
      <c r="S26" s="919">
        <v>0.20405640248722681</v>
      </c>
      <c r="T26" s="918">
        <f t="shared" si="10"/>
        <v>833.75587833245288</v>
      </c>
      <c r="U26" s="416">
        <f t="shared" si="11"/>
        <v>4818.214089438362</v>
      </c>
      <c r="V26" s="169"/>
      <c r="W26" s="169"/>
      <c r="X26" s="168"/>
      <c r="Y26" s="169"/>
      <c r="Z26" s="137"/>
      <c r="AA26" s="137"/>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c r="EF26" s="18"/>
      <c r="EG26" s="18"/>
      <c r="EH26" s="18"/>
      <c r="EI26" s="18"/>
      <c r="EJ26" s="18"/>
      <c r="EK26" s="18"/>
      <c r="EL26" s="18"/>
      <c r="EM26" s="18"/>
      <c r="EN26" s="18"/>
      <c r="EO26" s="18"/>
      <c r="EP26" s="18"/>
      <c r="EQ26" s="18"/>
      <c r="ER26" s="18"/>
      <c r="ES26" s="18"/>
      <c r="ET26" s="18"/>
      <c r="EU26" s="18"/>
      <c r="EV26" s="18"/>
      <c r="EW26" s="18"/>
      <c r="EX26" s="18"/>
      <c r="EY26" s="18"/>
      <c r="EZ26" s="18"/>
      <c r="FA26" s="18"/>
      <c r="FB26" s="18"/>
      <c r="FC26" s="18"/>
      <c r="FD26" s="18"/>
      <c r="FE26" s="18"/>
      <c r="FF26" s="18"/>
      <c r="FG26" s="18"/>
      <c r="FH26" s="18"/>
      <c r="FI26" s="18"/>
      <c r="FJ26" s="18"/>
      <c r="FK26" s="18"/>
      <c r="FL26" s="18"/>
      <c r="FM26" s="18"/>
      <c r="FN26" s="18"/>
      <c r="FO26" s="18"/>
      <c r="FP26" s="18"/>
      <c r="FQ26" s="18"/>
      <c r="FR26" s="18"/>
      <c r="FS26" s="18"/>
      <c r="FT26" s="18"/>
      <c r="FU26" s="18"/>
      <c r="FV26" s="18"/>
      <c r="FW26" s="18"/>
      <c r="FX26" s="18"/>
      <c r="FY26" s="18"/>
      <c r="FZ26" s="18"/>
      <c r="GA26" s="18"/>
      <c r="GB26" s="18"/>
      <c r="GC26" s="18"/>
      <c r="GD26" s="18"/>
      <c r="GE26" s="18"/>
      <c r="GF26" s="18"/>
      <c r="GG26" s="18"/>
      <c r="GH26" s="18"/>
      <c r="GI26" s="18"/>
      <c r="GJ26" s="18"/>
      <c r="GK26" s="18"/>
      <c r="GL26" s="18"/>
      <c r="GM26" s="18"/>
      <c r="GN26" s="18"/>
      <c r="GO26" s="18"/>
      <c r="GP26" s="18"/>
      <c r="GQ26" s="18"/>
      <c r="GR26" s="18"/>
      <c r="GS26" s="18"/>
      <c r="GT26" s="18"/>
      <c r="GU26" s="18"/>
      <c r="GV26" s="18"/>
      <c r="GW26" s="18"/>
      <c r="GX26" s="18"/>
      <c r="GY26" s="18"/>
      <c r="GZ26" s="18"/>
      <c r="HA26" s="18"/>
      <c r="HB26" s="18"/>
      <c r="HC26" s="18"/>
      <c r="HD26" s="18"/>
      <c r="HE26" s="18"/>
      <c r="HF26" s="18"/>
      <c r="HG26" s="18"/>
      <c r="HH26" s="18"/>
      <c r="HI26" s="18"/>
      <c r="HJ26" s="18"/>
      <c r="HK26" s="18"/>
      <c r="HL26" s="18"/>
      <c r="HM26" s="18"/>
      <c r="HN26" s="18"/>
      <c r="HO26" s="18"/>
      <c r="HP26" s="18"/>
      <c r="HQ26" s="18"/>
      <c r="HR26" s="18"/>
      <c r="HS26" s="18"/>
      <c r="HT26" s="18"/>
      <c r="HU26" s="18"/>
      <c r="HV26" s="18"/>
      <c r="HW26" s="18"/>
      <c r="HX26" s="18"/>
      <c r="HY26" s="18"/>
      <c r="HZ26" s="18"/>
      <c r="IA26" s="18"/>
      <c r="IB26" s="18"/>
      <c r="IC26" s="18"/>
      <c r="ID26" s="18"/>
      <c r="IE26" s="18"/>
      <c r="IF26" s="18"/>
      <c r="IG26" s="18"/>
      <c r="IH26" s="18"/>
      <c r="II26" s="18"/>
      <c r="IJ26" s="18"/>
      <c r="IK26" s="18"/>
      <c r="IL26" s="18"/>
      <c r="IM26" s="18"/>
      <c r="IN26" s="18"/>
      <c r="IO26" s="18"/>
      <c r="IP26" s="18"/>
      <c r="IQ26" s="18"/>
      <c r="IR26" s="18"/>
      <c r="IS26" s="18"/>
      <c r="IT26" s="18"/>
      <c r="IU26" s="18"/>
      <c r="IV26" s="18"/>
      <c r="IW26" s="18"/>
    </row>
    <row r="27" spans="2:257" x14ac:dyDescent="0.3">
      <c r="B27" s="5" t="s">
        <v>121</v>
      </c>
      <c r="C27" s="916" t="s">
        <v>224</v>
      </c>
      <c r="D27" s="415">
        <f t="shared" si="4"/>
        <v>100231.77227266373</v>
      </c>
      <c r="E27" s="917">
        <f t="shared" si="5"/>
        <v>2323.1424973934927</v>
      </c>
      <c r="F27" s="917">
        <f t="shared" si="6"/>
        <v>14583.901783692774</v>
      </c>
      <c r="G27" s="917">
        <f t="shared" si="0"/>
        <v>0</v>
      </c>
      <c r="H27" s="416">
        <f t="shared" si="1"/>
        <v>0</v>
      </c>
      <c r="I27" s="415">
        <f t="shared" si="7"/>
        <v>394067668.10219318</v>
      </c>
      <c r="J27" s="918">
        <f t="shared" si="8"/>
        <v>9048318.0720035136</v>
      </c>
      <c r="K27" s="918">
        <f t="shared" si="9"/>
        <v>74582703.199819848</v>
      </c>
      <c r="L27" s="917">
        <f t="shared" si="2"/>
        <v>0</v>
      </c>
      <c r="M27" s="422">
        <f t="shared" si="3"/>
        <v>0</v>
      </c>
      <c r="N27" s="412">
        <v>504.03329981055208</v>
      </c>
      <c r="O27" s="917">
        <v>110981.85842691561</v>
      </c>
      <c r="P27" s="919">
        <v>0.19497653681933325</v>
      </c>
      <c r="Q27" s="919">
        <v>0.76210992899536967</v>
      </c>
      <c r="R27" s="919">
        <v>7.7107082507262767E-2</v>
      </c>
      <c r="S27" s="919">
        <v>4.7742182409373539</v>
      </c>
      <c r="T27" s="918">
        <f t="shared" si="10"/>
        <v>531.88562381819975</v>
      </c>
      <c r="U27" s="416">
        <f t="shared" si="11"/>
        <v>112423.62821093983</v>
      </c>
      <c r="V27" s="169"/>
      <c r="W27" s="169"/>
      <c r="X27" s="168"/>
      <c r="Y27" s="169"/>
      <c r="Z27" s="137"/>
      <c r="AA27" s="137"/>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c r="HV27" s="18"/>
      <c r="HW27" s="18"/>
      <c r="HX27" s="18"/>
      <c r="HY27" s="18"/>
      <c r="HZ27" s="18"/>
      <c r="IA27" s="18"/>
      <c r="IB27" s="18"/>
      <c r="IC27" s="18"/>
      <c r="ID27" s="18"/>
      <c r="IE27" s="18"/>
      <c r="IF27" s="18"/>
      <c r="IG27" s="18"/>
      <c r="IH27" s="18"/>
      <c r="II27" s="18"/>
      <c r="IJ27" s="18"/>
      <c r="IK27" s="18"/>
      <c r="IL27" s="18"/>
      <c r="IM27" s="18"/>
      <c r="IN27" s="18"/>
      <c r="IO27" s="18"/>
      <c r="IP27" s="18"/>
      <c r="IQ27" s="18"/>
      <c r="IR27" s="18"/>
      <c r="IS27" s="18"/>
      <c r="IT27" s="18"/>
      <c r="IU27" s="18"/>
      <c r="IV27" s="18"/>
      <c r="IW27" s="18"/>
    </row>
    <row r="28" spans="2:257" x14ac:dyDescent="0.3">
      <c r="B28" s="5" t="s">
        <v>122</v>
      </c>
      <c r="C28" s="916" t="s">
        <v>225</v>
      </c>
      <c r="D28" s="415">
        <f t="shared" si="4"/>
        <v>130062.50015603295</v>
      </c>
      <c r="E28" s="917">
        <f t="shared" si="5"/>
        <v>295.42252469489233</v>
      </c>
      <c r="F28" s="917">
        <f t="shared" si="6"/>
        <v>8648.080255158442</v>
      </c>
      <c r="G28" s="917">
        <f t="shared" si="0"/>
        <v>0</v>
      </c>
      <c r="H28" s="416">
        <f t="shared" si="1"/>
        <v>16.81711617868211</v>
      </c>
      <c r="I28" s="415">
        <f t="shared" si="7"/>
        <v>511918188.72301662</v>
      </c>
      <c r="J28" s="918">
        <f t="shared" si="8"/>
        <v>1150739.5305327249</v>
      </c>
      <c r="K28" s="918">
        <f t="shared" si="9"/>
        <v>44226655.697854362</v>
      </c>
      <c r="L28" s="917">
        <f t="shared" si="2"/>
        <v>0</v>
      </c>
      <c r="M28" s="422">
        <f t="shared" si="3"/>
        <v>25318.41273281107</v>
      </c>
      <c r="N28" s="412">
        <v>618.28828935792501</v>
      </c>
      <c r="O28" s="917">
        <v>9586.4026856914206</v>
      </c>
      <c r="P28" s="919">
        <v>0.23917409714848009</v>
      </c>
      <c r="Q28" s="919">
        <v>6.6581736209844394E-2</v>
      </c>
      <c r="R28" s="919">
        <v>9.4585826291070429E-2</v>
      </c>
      <c r="S28" s="919">
        <v>0.41163446462113806</v>
      </c>
      <c r="T28" s="918">
        <f t="shared" si="10"/>
        <v>652.45421802137594</v>
      </c>
      <c r="U28" s="416">
        <f t="shared" si="11"/>
        <v>9710.7342995537656</v>
      </c>
      <c r="V28" s="169"/>
      <c r="W28" s="168"/>
      <c r="X28" s="168"/>
      <c r="Y28" s="169"/>
      <c r="Z28" s="137"/>
      <c r="AA28" s="137"/>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c r="HD28" s="18"/>
      <c r="HE28" s="18"/>
      <c r="HF28" s="18"/>
      <c r="HG28" s="18"/>
      <c r="HH28" s="18"/>
      <c r="HI28" s="18"/>
      <c r="HJ28" s="18"/>
      <c r="HK28" s="18"/>
      <c r="HL28" s="18"/>
      <c r="HM28" s="18"/>
      <c r="HN28" s="18"/>
      <c r="HO28" s="18"/>
      <c r="HP28" s="18"/>
      <c r="HQ28" s="18"/>
      <c r="HR28" s="18"/>
      <c r="HS28" s="18"/>
      <c r="HT28" s="18"/>
      <c r="HU28" s="18"/>
      <c r="HV28" s="18"/>
      <c r="HW28" s="18"/>
      <c r="HX28" s="18"/>
      <c r="HY28" s="18"/>
      <c r="HZ28" s="18"/>
      <c r="IA28" s="18"/>
      <c r="IB28" s="18"/>
      <c r="IC28" s="18"/>
      <c r="ID28" s="18"/>
      <c r="IE28" s="18"/>
      <c r="IF28" s="18"/>
      <c r="IG28" s="18"/>
      <c r="IH28" s="18"/>
      <c r="II28" s="18"/>
      <c r="IJ28" s="18"/>
      <c r="IK28" s="18"/>
      <c r="IL28" s="18"/>
      <c r="IM28" s="18"/>
      <c r="IN28" s="18"/>
      <c r="IO28" s="18"/>
      <c r="IP28" s="18"/>
      <c r="IQ28" s="18"/>
      <c r="IR28" s="18"/>
      <c r="IS28" s="18"/>
      <c r="IT28" s="18"/>
      <c r="IU28" s="18"/>
      <c r="IV28" s="18"/>
      <c r="IW28" s="18"/>
    </row>
    <row r="29" spans="2:257" x14ac:dyDescent="0.3">
      <c r="B29" s="5" t="s">
        <v>226</v>
      </c>
      <c r="C29" s="916" t="s">
        <v>227</v>
      </c>
      <c r="D29" s="415">
        <f t="shared" si="4"/>
        <v>170322.87913603088</v>
      </c>
      <c r="E29" s="917">
        <f t="shared" si="5"/>
        <v>544.96190971215617</v>
      </c>
      <c r="F29" s="917">
        <f t="shared" si="6"/>
        <v>4291.2517592901841</v>
      </c>
      <c r="G29" s="917">
        <f t="shared" si="0"/>
        <v>0</v>
      </c>
      <c r="H29" s="416">
        <f t="shared" si="1"/>
        <v>0</v>
      </c>
      <c r="I29" s="415">
        <f t="shared" si="7"/>
        <v>668413982.38046181</v>
      </c>
      <c r="J29" s="918">
        <f t="shared" si="8"/>
        <v>2124034.6900884071</v>
      </c>
      <c r="K29" s="918">
        <f t="shared" si="9"/>
        <v>21945646.718268305</v>
      </c>
      <c r="L29" s="917">
        <f t="shared" si="2"/>
        <v>0</v>
      </c>
      <c r="M29" s="422">
        <f t="shared" si="3"/>
        <v>0</v>
      </c>
      <c r="N29" s="412">
        <v>216.3957504137463</v>
      </c>
      <c r="O29" s="917">
        <v>7589.6552569899541</v>
      </c>
      <c r="P29" s="919">
        <v>8.3708941480556104E-2</v>
      </c>
      <c r="Q29" s="919">
        <v>4.9486673273803662E-2</v>
      </c>
      <c r="R29" s="919">
        <v>3.3104251222380227E-2</v>
      </c>
      <c r="S29" s="919">
        <v>0.32519794514907385</v>
      </c>
      <c r="T29" s="918">
        <f t="shared" si="10"/>
        <v>228.3535408150295</v>
      </c>
      <c r="U29" s="416">
        <f t="shared" si="11"/>
        <v>7687.8014114762227</v>
      </c>
      <c r="V29" s="169"/>
      <c r="W29" s="168"/>
      <c r="X29" s="168"/>
      <c r="Y29" s="169"/>
      <c r="Z29" s="137"/>
      <c r="AA29" s="137"/>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c r="HV29" s="18"/>
      <c r="HW29" s="18"/>
      <c r="HX29" s="18"/>
      <c r="HY29" s="18"/>
      <c r="HZ29" s="18"/>
      <c r="IA29" s="18"/>
      <c r="IB29" s="18"/>
      <c r="IC29" s="18"/>
      <c r="ID29" s="18"/>
      <c r="IE29" s="18"/>
      <c r="IF29" s="18"/>
      <c r="IG29" s="18"/>
      <c r="IH29" s="18"/>
      <c r="II29" s="18"/>
      <c r="IJ29" s="18"/>
      <c r="IK29" s="18"/>
      <c r="IL29" s="18"/>
      <c r="IM29" s="18"/>
      <c r="IN29" s="18"/>
      <c r="IO29" s="18"/>
      <c r="IP29" s="18"/>
      <c r="IQ29" s="18"/>
      <c r="IR29" s="18"/>
      <c r="IS29" s="18"/>
      <c r="IT29" s="18"/>
      <c r="IU29" s="18"/>
      <c r="IV29" s="18"/>
      <c r="IW29" s="18"/>
    </row>
    <row r="30" spans="2:257" x14ac:dyDescent="0.3">
      <c r="B30" s="5" t="s">
        <v>124</v>
      </c>
      <c r="C30" s="916" t="s">
        <v>228</v>
      </c>
      <c r="D30" s="415">
        <f t="shared" si="4"/>
        <v>191537.14415995652</v>
      </c>
      <c r="E30" s="917">
        <f t="shared" si="5"/>
        <v>1269.9390387016178</v>
      </c>
      <c r="F30" s="917">
        <f t="shared" si="6"/>
        <v>20107.06461775869</v>
      </c>
      <c r="G30" s="917">
        <f t="shared" si="0"/>
        <v>0</v>
      </c>
      <c r="H30" s="416">
        <f t="shared" si="1"/>
        <v>35.17543854302928</v>
      </c>
      <c r="I30" s="415">
        <f t="shared" si="7"/>
        <v>751363753.33044946</v>
      </c>
      <c r="J30" s="918">
        <f t="shared" si="8"/>
        <v>4946919.1645962857</v>
      </c>
      <c r="K30" s="918">
        <f t="shared" si="9"/>
        <v>102828396.32688296</v>
      </c>
      <c r="L30" s="917">
        <f t="shared" si="2"/>
        <v>0</v>
      </c>
      <c r="M30" s="422">
        <f t="shared" si="3"/>
        <v>52358.439522161701</v>
      </c>
      <c r="N30" s="412">
        <v>457.14185076181599</v>
      </c>
      <c r="O30" s="917">
        <v>11621.002894847728</v>
      </c>
      <c r="P30" s="919">
        <v>0.17683739334329884</v>
      </c>
      <c r="Q30" s="919">
        <v>7.4272482330557318E-2</v>
      </c>
      <c r="R30" s="919">
        <v>6.9933622277462623E-2</v>
      </c>
      <c r="S30" s="919">
        <v>0.49854091338804696</v>
      </c>
      <c r="T30" s="918">
        <f t="shared" si="10"/>
        <v>482.4030050340823</v>
      </c>
      <c r="U30" s="416">
        <f t="shared" si="11"/>
        <v>11771.424899095631</v>
      </c>
      <c r="V30" s="169"/>
      <c r="W30" s="168"/>
      <c r="X30" s="168"/>
      <c r="Y30" s="169"/>
      <c r="Z30" s="137"/>
      <c r="AA30" s="137"/>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c r="ET30" s="18"/>
      <c r="EU30" s="18"/>
      <c r="EV30" s="18"/>
      <c r="EW30" s="18"/>
      <c r="EX30" s="18"/>
      <c r="EY30" s="18"/>
      <c r="EZ30" s="18"/>
      <c r="FA30" s="18"/>
      <c r="FB30" s="18"/>
      <c r="FC30" s="18"/>
      <c r="FD30" s="18"/>
      <c r="FE30" s="18"/>
      <c r="FF30" s="18"/>
      <c r="FG30" s="18"/>
      <c r="FH30" s="18"/>
      <c r="FI30" s="18"/>
      <c r="FJ30" s="18"/>
      <c r="FK30" s="18"/>
      <c r="FL30" s="18"/>
      <c r="FM30" s="18"/>
      <c r="FN30" s="18"/>
      <c r="FO30" s="18"/>
      <c r="FP30" s="18"/>
      <c r="FQ30" s="18"/>
      <c r="FR30" s="18"/>
      <c r="FS30" s="18"/>
      <c r="FT30" s="18"/>
      <c r="FU30" s="18"/>
      <c r="FV30" s="18"/>
      <c r="FW30" s="18"/>
      <c r="FX30" s="18"/>
      <c r="FY30" s="18"/>
      <c r="FZ30" s="18"/>
      <c r="GA30" s="18"/>
      <c r="GB30" s="18"/>
      <c r="GC30" s="18"/>
      <c r="GD30" s="18"/>
      <c r="GE30" s="18"/>
      <c r="GF30" s="18"/>
      <c r="GG30" s="18"/>
      <c r="GH30" s="18"/>
      <c r="GI30" s="18"/>
      <c r="GJ30" s="18"/>
      <c r="GK30" s="18"/>
      <c r="GL30" s="18"/>
      <c r="GM30" s="18"/>
      <c r="GN30" s="18"/>
      <c r="GO30" s="18"/>
      <c r="GP30" s="18"/>
      <c r="GQ30" s="18"/>
      <c r="GR30" s="18"/>
      <c r="GS30" s="18"/>
      <c r="GT30" s="18"/>
      <c r="GU30" s="18"/>
      <c r="GV30" s="18"/>
      <c r="GW30" s="18"/>
      <c r="GX30" s="18"/>
      <c r="GY30" s="18"/>
      <c r="GZ30" s="18"/>
      <c r="HA30" s="18"/>
      <c r="HB30" s="18"/>
      <c r="HC30" s="18"/>
      <c r="HD30" s="18"/>
      <c r="HE30" s="18"/>
      <c r="HF30" s="18"/>
      <c r="HG30" s="18"/>
      <c r="HH30" s="18"/>
      <c r="HI30" s="18"/>
      <c r="HJ30" s="18"/>
      <c r="HK30" s="18"/>
      <c r="HL30" s="18"/>
      <c r="HM30" s="18"/>
      <c r="HN30" s="18"/>
      <c r="HO30" s="18"/>
      <c r="HP30" s="18"/>
      <c r="HQ30" s="18"/>
      <c r="HR30" s="18"/>
      <c r="HS30" s="18"/>
      <c r="HT30" s="18"/>
      <c r="HU30" s="18"/>
      <c r="HV30" s="18"/>
      <c r="HW30" s="18"/>
      <c r="HX30" s="18"/>
      <c r="HY30" s="18"/>
      <c r="HZ30" s="18"/>
      <c r="IA30" s="18"/>
      <c r="IB30" s="18"/>
      <c r="IC30" s="18"/>
      <c r="ID30" s="18"/>
      <c r="IE30" s="18"/>
      <c r="IF30" s="18"/>
      <c r="IG30" s="18"/>
      <c r="IH30" s="18"/>
      <c r="II30" s="18"/>
      <c r="IJ30" s="18"/>
      <c r="IK30" s="18"/>
      <c r="IL30" s="18"/>
      <c r="IM30" s="18"/>
      <c r="IN30" s="18"/>
      <c r="IO30" s="18"/>
      <c r="IP30" s="18"/>
      <c r="IQ30" s="18"/>
      <c r="IR30" s="18"/>
      <c r="IS30" s="18"/>
      <c r="IT30" s="18"/>
      <c r="IU30" s="18"/>
      <c r="IV30" s="18"/>
      <c r="IW30" s="18"/>
    </row>
    <row r="31" spans="2:257" x14ac:dyDescent="0.3">
      <c r="B31" s="5" t="s">
        <v>125</v>
      </c>
      <c r="C31" s="916" t="s">
        <v>229</v>
      </c>
      <c r="D31" s="415">
        <f t="shared" si="4"/>
        <v>179220.2615026244</v>
      </c>
      <c r="E31" s="917">
        <f t="shared" si="5"/>
        <v>2173.6089622223703</v>
      </c>
      <c r="F31" s="917">
        <f t="shared" si="6"/>
        <v>19159.452328075855</v>
      </c>
      <c r="G31" s="917">
        <f t="shared" si="0"/>
        <v>0</v>
      </c>
      <c r="H31" s="416">
        <f t="shared" si="1"/>
        <v>1150.0723854676505</v>
      </c>
      <c r="I31" s="415">
        <f t="shared" si="7"/>
        <v>701700682.04734766</v>
      </c>
      <c r="J31" s="918">
        <f t="shared" si="8"/>
        <v>8468868.8793931771</v>
      </c>
      <c r="K31" s="918">
        <f t="shared" si="9"/>
        <v>97982266.176106453</v>
      </c>
      <c r="L31" s="917">
        <f t="shared" si="2"/>
        <v>0</v>
      </c>
      <c r="M31" s="422">
        <f t="shared" si="3"/>
        <v>1747767.6165309041</v>
      </c>
      <c r="N31" s="412">
        <v>188.70924896127553</v>
      </c>
      <c r="O31" s="917">
        <v>5839.3646848762482</v>
      </c>
      <c r="P31" s="919">
        <v>7.299889876735606E-2</v>
      </c>
      <c r="Q31" s="919">
        <v>3.7883498708779544E-2</v>
      </c>
      <c r="R31" s="919">
        <v>2.8868766478345381E-2</v>
      </c>
      <c r="S31" s="919">
        <v>0.25041426377878634</v>
      </c>
      <c r="T31" s="918">
        <f t="shared" si="10"/>
        <v>199.13711384100637</v>
      </c>
      <c r="U31" s="416">
        <f t="shared" si="11"/>
        <v>5914.9352229500464</v>
      </c>
      <c r="V31" s="169"/>
      <c r="W31" s="168"/>
      <c r="X31" s="168"/>
      <c r="Y31" s="169"/>
      <c r="Z31" s="137"/>
      <c r="AA31" s="137"/>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c r="HV31" s="18"/>
      <c r="HW31" s="18"/>
      <c r="HX31" s="18"/>
      <c r="HY31" s="18"/>
      <c r="HZ31" s="18"/>
      <c r="IA31" s="18"/>
      <c r="IB31" s="18"/>
      <c r="IC31" s="18"/>
      <c r="ID31" s="18"/>
      <c r="IE31" s="18"/>
      <c r="IF31" s="18"/>
      <c r="IG31" s="18"/>
      <c r="IH31" s="18"/>
      <c r="II31" s="18"/>
      <c r="IJ31" s="18"/>
      <c r="IK31" s="18"/>
      <c r="IL31" s="18"/>
      <c r="IM31" s="18"/>
      <c r="IN31" s="18"/>
      <c r="IO31" s="18"/>
      <c r="IP31" s="18"/>
      <c r="IQ31" s="18"/>
      <c r="IR31" s="18"/>
      <c r="IS31" s="18"/>
      <c r="IT31" s="18"/>
      <c r="IU31" s="18"/>
      <c r="IV31" s="18"/>
      <c r="IW31" s="18"/>
    </row>
    <row r="32" spans="2:257" x14ac:dyDescent="0.3">
      <c r="B32" s="5" t="s">
        <v>126</v>
      </c>
      <c r="C32" s="916" t="s">
        <v>230</v>
      </c>
      <c r="D32" s="415">
        <f t="shared" si="4"/>
        <v>146247.49472714571</v>
      </c>
      <c r="E32" s="917">
        <f t="shared" si="5"/>
        <v>720.68474629704122</v>
      </c>
      <c r="F32" s="917">
        <f t="shared" si="6"/>
        <v>9845.0184024262544</v>
      </c>
      <c r="G32" s="917">
        <f t="shared" si="0"/>
        <v>0</v>
      </c>
      <c r="H32" s="416">
        <f t="shared" si="1"/>
        <v>0</v>
      </c>
      <c r="I32" s="415">
        <f t="shared" si="7"/>
        <v>572301230.56356943</v>
      </c>
      <c r="J32" s="918">
        <f t="shared" si="8"/>
        <v>2808529.8684300422</v>
      </c>
      <c r="K32" s="918">
        <f t="shared" si="9"/>
        <v>50347849.045853809</v>
      </c>
      <c r="L32" s="917">
        <f t="shared" si="2"/>
        <v>0</v>
      </c>
      <c r="M32" s="422">
        <f t="shared" si="3"/>
        <v>0</v>
      </c>
      <c r="N32" s="412">
        <v>311.12940183402048</v>
      </c>
      <c r="O32" s="917">
        <v>5684.045163214917</v>
      </c>
      <c r="P32" s="919">
        <v>0.12035501085953866</v>
      </c>
      <c r="Q32" s="919">
        <v>3.7602518115229848E-2</v>
      </c>
      <c r="R32" s="919">
        <v>4.7596618054140866E-2</v>
      </c>
      <c r="S32" s="919">
        <v>0.24342419464287229</v>
      </c>
      <c r="T32" s="918">
        <f t="shared" si="10"/>
        <v>328.32206928564295</v>
      </c>
      <c r="U32" s="416">
        <f t="shared" si="11"/>
        <v>5757.5256361713737</v>
      </c>
      <c r="V32" s="169"/>
      <c r="W32" s="168"/>
      <c r="X32" s="168"/>
      <c r="Y32" s="169"/>
      <c r="Z32" s="137"/>
      <c r="AA32" s="137"/>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18"/>
      <c r="FC32" s="18"/>
      <c r="FD32" s="18"/>
      <c r="FE32" s="18"/>
      <c r="FF32" s="18"/>
      <c r="FG32" s="18"/>
      <c r="FH32" s="18"/>
      <c r="FI32" s="18"/>
      <c r="FJ32" s="18"/>
      <c r="FK32" s="18"/>
      <c r="FL32" s="18"/>
      <c r="FM32" s="18"/>
      <c r="FN32" s="18"/>
      <c r="FO32" s="18"/>
      <c r="FP32" s="18"/>
      <c r="FQ32" s="18"/>
      <c r="FR32" s="18"/>
      <c r="FS32" s="18"/>
      <c r="FT32" s="18"/>
      <c r="FU32" s="18"/>
      <c r="FV32" s="18"/>
      <c r="FW32" s="18"/>
      <c r="FX32" s="18"/>
      <c r="FY32" s="18"/>
      <c r="FZ32" s="18"/>
      <c r="GA32" s="18"/>
      <c r="GB32" s="18"/>
      <c r="GC32" s="18"/>
      <c r="GD32" s="18"/>
      <c r="GE32" s="18"/>
      <c r="GF32" s="18"/>
      <c r="GG32" s="18"/>
      <c r="GH32" s="18"/>
      <c r="GI32" s="18"/>
      <c r="GJ32" s="18"/>
      <c r="GK32" s="18"/>
      <c r="GL32" s="18"/>
      <c r="GM32" s="18"/>
      <c r="GN32" s="18"/>
      <c r="GO32" s="18"/>
      <c r="GP32" s="18"/>
      <c r="GQ32" s="18"/>
      <c r="GR32" s="18"/>
      <c r="GS32" s="18"/>
      <c r="GT32" s="18"/>
      <c r="GU32" s="18"/>
      <c r="GV32" s="18"/>
      <c r="GW32" s="18"/>
      <c r="GX32" s="18"/>
      <c r="GY32" s="18"/>
      <c r="GZ32" s="18"/>
      <c r="HA32" s="18"/>
      <c r="HB32" s="18"/>
      <c r="HC32" s="18"/>
      <c r="HD32" s="18"/>
      <c r="HE32" s="18"/>
      <c r="HF32" s="18"/>
      <c r="HG32" s="18"/>
      <c r="HH32" s="18"/>
      <c r="HI32" s="18"/>
      <c r="HJ32" s="18"/>
      <c r="HK32" s="18"/>
      <c r="HL32" s="18"/>
      <c r="HM32" s="18"/>
      <c r="HN32" s="18"/>
      <c r="HO32" s="18"/>
      <c r="HP32" s="18"/>
      <c r="HQ32" s="18"/>
      <c r="HR32" s="18"/>
      <c r="HS32" s="18"/>
      <c r="HT32" s="18"/>
      <c r="HU32" s="18"/>
      <c r="HV32" s="18"/>
      <c r="HW32" s="18"/>
      <c r="HX32" s="18"/>
      <c r="HY32" s="18"/>
      <c r="HZ32" s="18"/>
      <c r="IA32" s="18"/>
      <c r="IB32" s="18"/>
      <c r="IC32" s="18"/>
      <c r="ID32" s="18"/>
      <c r="IE32" s="18"/>
      <c r="IF32" s="18"/>
      <c r="IG32" s="18"/>
      <c r="IH32" s="18"/>
      <c r="II32" s="18"/>
      <c r="IJ32" s="18"/>
      <c r="IK32" s="18"/>
      <c r="IL32" s="18"/>
      <c r="IM32" s="18"/>
      <c r="IN32" s="18"/>
      <c r="IO32" s="18"/>
      <c r="IP32" s="18"/>
      <c r="IQ32" s="18"/>
      <c r="IR32" s="18"/>
      <c r="IS32" s="18"/>
      <c r="IT32" s="18"/>
      <c r="IU32" s="18"/>
      <c r="IV32" s="18"/>
      <c r="IW32" s="18"/>
    </row>
    <row r="33" spans="2:257" x14ac:dyDescent="0.3">
      <c r="B33" s="5" t="s">
        <v>127</v>
      </c>
      <c r="C33" s="916" t="s">
        <v>231</v>
      </c>
      <c r="D33" s="415">
        <f t="shared" si="4"/>
        <v>192275.21733836425</v>
      </c>
      <c r="E33" s="917">
        <f t="shared" si="5"/>
        <v>2160.7505052978681</v>
      </c>
      <c r="F33" s="917">
        <f t="shared" si="6"/>
        <v>23796.586165177079</v>
      </c>
      <c r="G33" s="917">
        <f t="shared" si="0"/>
        <v>15060.656507203912</v>
      </c>
      <c r="H33" s="416">
        <f t="shared" si="1"/>
        <v>4128.1163236319544</v>
      </c>
      <c r="I33" s="415">
        <f t="shared" si="7"/>
        <v>754471614.15800762</v>
      </c>
      <c r="J33" s="918">
        <f t="shared" si="8"/>
        <v>8414465.1477778275</v>
      </c>
      <c r="K33" s="918">
        <f t="shared" si="9"/>
        <v>121696768.76944402</v>
      </c>
      <c r="L33" s="917">
        <f t="shared" si="2"/>
        <v>60519862.339071818</v>
      </c>
      <c r="M33" s="422">
        <f t="shared" si="3"/>
        <v>6278626.8933379091</v>
      </c>
      <c r="N33" s="412">
        <v>473.20637361057771</v>
      </c>
      <c r="O33" s="917">
        <v>8191.2582017743098</v>
      </c>
      <c r="P33" s="919">
        <v>0.18305167528039265</v>
      </c>
      <c r="Q33" s="919">
        <v>5.061202537398992E-2</v>
      </c>
      <c r="R33" s="919">
        <v>7.2391175159791599E-2</v>
      </c>
      <c r="S33" s="919">
        <v>0.35167937366687702</v>
      </c>
      <c r="T33" s="918">
        <f t="shared" si="10"/>
        <v>499.3552356902054</v>
      </c>
      <c r="U33" s="416">
        <f t="shared" si="11"/>
        <v>8297.3239557613888</v>
      </c>
      <c r="V33" s="169"/>
      <c r="W33" s="168"/>
      <c r="X33" s="168"/>
      <c r="Y33" s="169"/>
      <c r="Z33" s="137"/>
      <c r="AA33" s="137"/>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c r="HV33" s="18"/>
      <c r="HW33" s="18"/>
      <c r="HX33" s="18"/>
      <c r="HY33" s="18"/>
      <c r="HZ33" s="18"/>
      <c r="IA33" s="18"/>
      <c r="IB33" s="18"/>
      <c r="IC33" s="18"/>
      <c r="ID33" s="18"/>
      <c r="IE33" s="18"/>
      <c r="IF33" s="18"/>
      <c r="IG33" s="18"/>
      <c r="IH33" s="18"/>
      <c r="II33" s="18"/>
      <c r="IJ33" s="18"/>
      <c r="IK33" s="18"/>
      <c r="IL33" s="18"/>
      <c r="IM33" s="18"/>
      <c r="IN33" s="18"/>
      <c r="IO33" s="18"/>
      <c r="IP33" s="18"/>
      <c r="IQ33" s="18"/>
      <c r="IR33" s="18"/>
      <c r="IS33" s="18"/>
      <c r="IT33" s="18"/>
      <c r="IU33" s="18"/>
      <c r="IV33" s="18"/>
      <c r="IW33" s="18"/>
    </row>
    <row r="34" spans="2:257" x14ac:dyDescent="0.3">
      <c r="B34" s="5" t="s">
        <v>128</v>
      </c>
      <c r="C34" s="916" t="s">
        <v>232</v>
      </c>
      <c r="D34" s="415">
        <f t="shared" si="4"/>
        <v>214779.36057251954</v>
      </c>
      <c r="E34" s="917">
        <f t="shared" si="5"/>
        <v>665.03289767078559</v>
      </c>
      <c r="F34" s="917">
        <f t="shared" si="6"/>
        <v>9871.424768268691</v>
      </c>
      <c r="G34" s="917">
        <f t="shared" si="0"/>
        <v>343.59977508267002</v>
      </c>
      <c r="H34" s="416">
        <f t="shared" si="1"/>
        <v>0</v>
      </c>
      <c r="I34" s="415">
        <f t="shared" si="7"/>
        <v>842567820.79242682</v>
      </c>
      <c r="J34" s="918">
        <f t="shared" si="8"/>
        <v>2589792.8177529722</v>
      </c>
      <c r="K34" s="918">
        <f t="shared" si="9"/>
        <v>50482892.340537436</v>
      </c>
      <c r="L34" s="917">
        <f t="shared" si="2"/>
        <v>1396506.0377285772</v>
      </c>
      <c r="M34" s="422">
        <f t="shared" si="3"/>
        <v>0</v>
      </c>
      <c r="N34" s="412">
        <v>244.82930243360576</v>
      </c>
      <c r="O34" s="917">
        <v>12520.506503024586</v>
      </c>
      <c r="P34" s="919">
        <v>9.470796774407543E-2</v>
      </c>
      <c r="Q34" s="919">
        <v>8.5942493504696502E-2</v>
      </c>
      <c r="R34" s="919">
        <v>3.7454019863448006E-2</v>
      </c>
      <c r="S34" s="919">
        <v>0.53733196437995301</v>
      </c>
      <c r="T34" s="918">
        <f t="shared" si="10"/>
        <v>258.35829954651513</v>
      </c>
      <c r="U34" s="416">
        <f t="shared" si="11"/>
        <v>12682.779990747429</v>
      </c>
      <c r="V34" s="169"/>
      <c r="W34" s="168"/>
      <c r="X34" s="168"/>
      <c r="Y34" s="169"/>
      <c r="Z34" s="137"/>
      <c r="AA34" s="137"/>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c r="EE34" s="18"/>
      <c r="EF34" s="18"/>
      <c r="EG34" s="18"/>
      <c r="EH34" s="18"/>
      <c r="EI34" s="18"/>
      <c r="EJ34" s="18"/>
      <c r="EK34" s="18"/>
      <c r="EL34" s="18"/>
      <c r="EM34" s="18"/>
      <c r="EN34" s="18"/>
      <c r="EO34" s="18"/>
      <c r="EP34" s="18"/>
      <c r="EQ34" s="18"/>
      <c r="ER34" s="18"/>
      <c r="ES34" s="18"/>
      <c r="ET34" s="18"/>
      <c r="EU34" s="18"/>
      <c r="EV34" s="18"/>
      <c r="EW34" s="18"/>
      <c r="EX34" s="18"/>
      <c r="EY34" s="18"/>
      <c r="EZ34" s="18"/>
      <c r="FA34" s="18"/>
      <c r="FB34" s="18"/>
      <c r="FC34" s="18"/>
      <c r="FD34" s="18"/>
      <c r="FE34" s="18"/>
      <c r="FF34" s="18"/>
      <c r="FG34" s="18"/>
      <c r="FH34" s="18"/>
      <c r="FI34" s="18"/>
      <c r="FJ34" s="18"/>
      <c r="FK34" s="18"/>
      <c r="FL34" s="18"/>
      <c r="FM34" s="18"/>
      <c r="FN34" s="18"/>
      <c r="FO34" s="18"/>
      <c r="FP34" s="18"/>
      <c r="FQ34" s="18"/>
      <c r="FR34" s="18"/>
      <c r="FS34" s="18"/>
      <c r="FT34" s="18"/>
      <c r="FU34" s="18"/>
      <c r="FV34" s="18"/>
      <c r="FW34" s="18"/>
      <c r="FX34" s="18"/>
      <c r="FY34" s="18"/>
      <c r="FZ34" s="18"/>
      <c r="GA34" s="18"/>
      <c r="GB34" s="18"/>
      <c r="GC34" s="18"/>
      <c r="GD34" s="18"/>
      <c r="GE34" s="18"/>
      <c r="GF34" s="18"/>
      <c r="GG34" s="18"/>
      <c r="GH34" s="18"/>
      <c r="GI34" s="18"/>
      <c r="GJ34" s="18"/>
      <c r="GK34" s="18"/>
      <c r="GL34" s="18"/>
      <c r="GM34" s="18"/>
      <c r="GN34" s="18"/>
      <c r="GO34" s="18"/>
      <c r="GP34" s="18"/>
      <c r="GQ34" s="18"/>
      <c r="GR34" s="18"/>
      <c r="GS34" s="18"/>
      <c r="GT34" s="18"/>
      <c r="GU34" s="18"/>
      <c r="GV34" s="18"/>
      <c r="GW34" s="18"/>
      <c r="GX34" s="18"/>
      <c r="GY34" s="18"/>
      <c r="GZ34" s="18"/>
      <c r="HA34" s="18"/>
      <c r="HB34" s="18"/>
      <c r="HC34" s="18"/>
      <c r="HD34" s="18"/>
      <c r="HE34" s="18"/>
      <c r="HF34" s="18"/>
      <c r="HG34" s="18"/>
      <c r="HH34" s="18"/>
      <c r="HI34" s="18"/>
      <c r="HJ34" s="18"/>
      <c r="HK34" s="18"/>
      <c r="HL34" s="18"/>
      <c r="HM34" s="18"/>
      <c r="HN34" s="18"/>
      <c r="HO34" s="18"/>
      <c r="HP34" s="18"/>
      <c r="HQ34" s="18"/>
      <c r="HR34" s="18"/>
      <c r="HS34" s="18"/>
      <c r="HT34" s="18"/>
      <c r="HU34" s="18"/>
      <c r="HV34" s="18"/>
      <c r="HW34" s="18"/>
      <c r="HX34" s="18"/>
      <c r="HY34" s="18"/>
      <c r="HZ34" s="18"/>
      <c r="IA34" s="18"/>
      <c r="IB34" s="18"/>
      <c r="IC34" s="18"/>
      <c r="ID34" s="18"/>
      <c r="IE34" s="18"/>
      <c r="IF34" s="18"/>
      <c r="IG34" s="18"/>
      <c r="IH34" s="18"/>
      <c r="II34" s="18"/>
      <c r="IJ34" s="18"/>
      <c r="IK34" s="18"/>
      <c r="IL34" s="18"/>
      <c r="IM34" s="18"/>
      <c r="IN34" s="18"/>
      <c r="IO34" s="18"/>
      <c r="IP34" s="18"/>
      <c r="IQ34" s="18"/>
      <c r="IR34" s="18"/>
      <c r="IS34" s="18"/>
      <c r="IT34" s="18"/>
      <c r="IU34" s="18"/>
      <c r="IV34" s="18"/>
      <c r="IW34" s="18"/>
    </row>
    <row r="35" spans="2:257" x14ac:dyDescent="0.3">
      <c r="B35" s="5" t="s">
        <v>129</v>
      </c>
      <c r="C35" s="916" t="s">
        <v>234</v>
      </c>
      <c r="D35" s="415">
        <f t="shared" si="4"/>
        <v>164140.10857272739</v>
      </c>
      <c r="E35" s="917">
        <f t="shared" si="5"/>
        <v>381.73363228949506</v>
      </c>
      <c r="F35" s="917">
        <f t="shared" si="6"/>
        <v>4680.8791184921438</v>
      </c>
      <c r="G35" s="917">
        <f t="shared" si="0"/>
        <v>36551.532369948945</v>
      </c>
      <c r="H35" s="416">
        <f t="shared" si="1"/>
        <v>0</v>
      </c>
      <c r="I35" s="415">
        <f t="shared" si="7"/>
        <v>643346393.1869446</v>
      </c>
      <c r="J35" s="918">
        <f t="shared" si="8"/>
        <v>1486617.43221818</v>
      </c>
      <c r="K35" s="918">
        <f t="shared" si="9"/>
        <v>23938217.85052748</v>
      </c>
      <c r="L35" s="917">
        <f t="shared" si="2"/>
        <v>148913770.41513532</v>
      </c>
      <c r="M35" s="422">
        <f t="shared" si="3"/>
        <v>0</v>
      </c>
      <c r="N35" s="412">
        <v>141.23579517911375</v>
      </c>
      <c r="O35" s="917">
        <v>5484.1804634063164</v>
      </c>
      <c r="P35" s="919">
        <v>5.4634616858248712E-2</v>
      </c>
      <c r="Q35" s="919">
        <v>3.5377706220974595E-2</v>
      </c>
      <c r="R35" s="919">
        <v>2.1606271085557363E-2</v>
      </c>
      <c r="S35" s="919">
        <v>0.2348334187918536</v>
      </c>
      <c r="T35" s="918">
        <f t="shared" si="10"/>
        <v>149.04032938406607</v>
      </c>
      <c r="U35" s="416">
        <f t="shared" si="11"/>
        <v>5555.0452648618129</v>
      </c>
      <c r="V35" s="169"/>
      <c r="W35" s="168"/>
      <c r="X35" s="168"/>
      <c r="Y35" s="169"/>
      <c r="Z35" s="137"/>
      <c r="AA35" s="137"/>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s="18"/>
      <c r="HU35" s="18"/>
      <c r="HV35" s="18"/>
      <c r="HW35" s="18"/>
      <c r="HX35" s="18"/>
      <c r="HY35" s="18"/>
      <c r="HZ35" s="18"/>
      <c r="IA35" s="18"/>
      <c r="IB35" s="18"/>
      <c r="IC35" s="18"/>
      <c r="ID35" s="18"/>
      <c r="IE35" s="18"/>
      <c r="IF35" s="18"/>
      <c r="IG35" s="18"/>
      <c r="IH35" s="18"/>
      <c r="II35" s="18"/>
      <c r="IJ35" s="18"/>
      <c r="IK35" s="18"/>
      <c r="IL35" s="18"/>
      <c r="IM35" s="18"/>
      <c r="IN35" s="18"/>
      <c r="IO35" s="18"/>
      <c r="IP35" s="18"/>
      <c r="IQ35" s="18"/>
      <c r="IR35" s="18"/>
      <c r="IS35" s="18"/>
      <c r="IT35" s="18"/>
      <c r="IU35" s="18"/>
      <c r="IV35" s="18"/>
      <c r="IW35" s="18"/>
    </row>
    <row r="36" spans="2:257" x14ac:dyDescent="0.3">
      <c r="B36" s="5" t="s">
        <v>130</v>
      </c>
      <c r="C36" s="916" t="s">
        <v>235</v>
      </c>
      <c r="D36" s="415">
        <f t="shared" si="4"/>
        <v>184633.14254712814</v>
      </c>
      <c r="E36" s="917">
        <f t="shared" si="5"/>
        <v>1003.2520370924672</v>
      </c>
      <c r="F36" s="917">
        <f t="shared" si="6"/>
        <v>19905.248449615119</v>
      </c>
      <c r="G36" s="917">
        <f t="shared" si="0"/>
        <v>1243.4328394838976</v>
      </c>
      <c r="H36" s="416">
        <f t="shared" si="1"/>
        <v>9100.1075994307557</v>
      </c>
      <c r="I36" s="415">
        <f t="shared" si="7"/>
        <v>724883266.36140275</v>
      </c>
      <c r="J36" s="918">
        <f t="shared" si="8"/>
        <v>3908748.8867141698</v>
      </c>
      <c r="K36" s="918">
        <f t="shared" si="9"/>
        <v>101796299.73210149</v>
      </c>
      <c r="L36" s="917">
        <f t="shared" si="2"/>
        <v>5066433.8989448184</v>
      </c>
      <c r="M36" s="422">
        <f t="shared" si="3"/>
        <v>13839172.861442367</v>
      </c>
      <c r="N36" s="412">
        <v>931.51346059009791</v>
      </c>
      <c r="O36" s="917">
        <v>12513.924046780792</v>
      </c>
      <c r="P36" s="919">
        <v>0.36033982003711912</v>
      </c>
      <c r="Q36" s="919">
        <v>7.6913032646067164E-2</v>
      </c>
      <c r="R36" s="919">
        <v>0.14250305543174122</v>
      </c>
      <c r="S36" s="919">
        <v>0.53716808980540975</v>
      </c>
      <c r="T36" s="918">
        <f t="shared" si="10"/>
        <v>982.98786660968483</v>
      </c>
      <c r="U36" s="416">
        <f t="shared" si="11"/>
        <v>12675.922963358955</v>
      </c>
      <c r="V36" s="169"/>
      <c r="W36" s="168"/>
      <c r="X36" s="168"/>
      <c r="Y36" s="169"/>
      <c r="Z36" s="137"/>
      <c r="AA36" s="137"/>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c r="EF36" s="18"/>
      <c r="EG36" s="18"/>
      <c r="EH36" s="18"/>
      <c r="EI36" s="18"/>
      <c r="EJ36" s="18"/>
      <c r="EK36" s="18"/>
      <c r="EL36" s="18"/>
      <c r="EM36" s="18"/>
      <c r="EN36" s="18"/>
      <c r="EO36" s="18"/>
      <c r="EP36" s="18"/>
      <c r="EQ36" s="18"/>
      <c r="ER36" s="18"/>
      <c r="ES36" s="18"/>
      <c r="ET36" s="18"/>
      <c r="EU36" s="18"/>
      <c r="EV36" s="18"/>
      <c r="EW36" s="18"/>
      <c r="EX36" s="18"/>
      <c r="EY36" s="18"/>
      <c r="EZ36" s="18"/>
      <c r="FA36" s="18"/>
      <c r="FB36" s="18"/>
      <c r="FC36" s="18"/>
      <c r="FD36" s="18"/>
      <c r="FE36" s="18"/>
      <c r="FF36" s="18"/>
      <c r="FG36" s="18"/>
      <c r="FH36" s="18"/>
      <c r="FI36" s="18"/>
      <c r="FJ36" s="18"/>
      <c r="FK36" s="18"/>
      <c r="FL36" s="18"/>
      <c r="FM36" s="18"/>
      <c r="FN36" s="18"/>
      <c r="FO36" s="18"/>
      <c r="FP36" s="18"/>
      <c r="FQ36" s="18"/>
      <c r="FR36" s="18"/>
      <c r="FS36" s="18"/>
      <c r="FT36" s="18"/>
      <c r="FU36" s="18"/>
      <c r="FV36" s="18"/>
      <c r="FW36" s="18"/>
      <c r="FX36" s="18"/>
      <c r="FY36" s="18"/>
      <c r="FZ36" s="18"/>
      <c r="GA36" s="18"/>
      <c r="GB36" s="18"/>
      <c r="GC36" s="18"/>
      <c r="GD36" s="18"/>
      <c r="GE36" s="18"/>
      <c r="GF36" s="18"/>
      <c r="GG36" s="18"/>
      <c r="GH36" s="18"/>
      <c r="GI36" s="18"/>
      <c r="GJ36" s="18"/>
      <c r="GK36" s="18"/>
      <c r="GL36" s="18"/>
      <c r="GM36" s="18"/>
      <c r="GN36" s="18"/>
      <c r="GO36" s="18"/>
      <c r="GP36" s="18"/>
      <c r="GQ36" s="18"/>
      <c r="GR36" s="18"/>
      <c r="GS36" s="18"/>
      <c r="GT36" s="18"/>
      <c r="GU36" s="18"/>
      <c r="GV36" s="18"/>
      <c r="GW36" s="18"/>
      <c r="GX36" s="18"/>
      <c r="GY36" s="18"/>
      <c r="GZ36" s="18"/>
      <c r="HA36" s="18"/>
      <c r="HB36" s="18"/>
      <c r="HC36" s="18"/>
      <c r="HD36" s="18"/>
      <c r="HE36" s="18"/>
      <c r="HF36" s="18"/>
      <c r="HG36" s="18"/>
      <c r="HH36" s="18"/>
      <c r="HI36" s="18"/>
      <c r="HJ36" s="18"/>
      <c r="HK36" s="18"/>
      <c r="HL36" s="18"/>
      <c r="HM36" s="18"/>
      <c r="HN36" s="18"/>
      <c r="HO36" s="18"/>
      <c r="HP36" s="18"/>
      <c r="HQ36" s="18"/>
      <c r="HR36" s="18"/>
      <c r="HS36" s="18"/>
      <c r="HT36" s="18"/>
      <c r="HU36" s="18"/>
      <c r="HV36" s="18"/>
      <c r="HW36" s="18"/>
      <c r="HX36" s="18"/>
      <c r="HY36" s="18"/>
      <c r="HZ36" s="18"/>
      <c r="IA36" s="18"/>
      <c r="IB36" s="18"/>
      <c r="IC36" s="18"/>
      <c r="ID36" s="18"/>
      <c r="IE36" s="18"/>
      <c r="IF36" s="18"/>
      <c r="IG36" s="18"/>
      <c r="IH36" s="18"/>
      <c r="II36" s="18"/>
      <c r="IJ36" s="18"/>
      <c r="IK36" s="18"/>
      <c r="IL36" s="18"/>
      <c r="IM36" s="18"/>
      <c r="IN36" s="18"/>
      <c r="IO36" s="18"/>
      <c r="IP36" s="18"/>
      <c r="IQ36" s="18"/>
      <c r="IR36" s="18"/>
      <c r="IS36" s="18"/>
      <c r="IT36" s="18"/>
      <c r="IU36" s="18"/>
      <c r="IV36" s="18"/>
      <c r="IW36" s="18"/>
    </row>
    <row r="37" spans="2:257" x14ac:dyDescent="0.3">
      <c r="B37" s="5" t="s">
        <v>131</v>
      </c>
      <c r="C37" s="916" t="s">
        <v>236</v>
      </c>
      <c r="D37" s="415">
        <f t="shared" si="4"/>
        <v>146810.91297094637</v>
      </c>
      <c r="E37" s="917">
        <f t="shared" si="5"/>
        <v>133.59719565153267</v>
      </c>
      <c r="F37" s="917">
        <f t="shared" si="6"/>
        <v>3188.5698067750072</v>
      </c>
      <c r="G37" s="917">
        <f t="shared" si="0"/>
        <v>60.942310057785562</v>
      </c>
      <c r="H37" s="416">
        <f t="shared" si="1"/>
        <v>0</v>
      </c>
      <c r="I37" s="415">
        <f t="shared" si="7"/>
        <v>575024046.1024543</v>
      </c>
      <c r="J37" s="918">
        <f t="shared" si="8"/>
        <v>520259.43424015265</v>
      </c>
      <c r="K37" s="918">
        <f t="shared" si="9"/>
        <v>16306483.618569128</v>
      </c>
      <c r="L37" s="917">
        <f t="shared" si="2"/>
        <v>248302.83362998589</v>
      </c>
      <c r="M37" s="422">
        <f t="shared" si="3"/>
        <v>0</v>
      </c>
      <c r="N37" s="412">
        <v>303.41896233732319</v>
      </c>
      <c r="O37" s="917">
        <v>2730.6070330063981</v>
      </c>
      <c r="P37" s="919">
        <v>0.11737236111995582</v>
      </c>
      <c r="Q37" s="919">
        <v>1.7616156184777056E-2</v>
      </c>
      <c r="R37" s="919">
        <v>4.6417073975083906E-2</v>
      </c>
      <c r="S37" s="919">
        <v>0.11693835860347393</v>
      </c>
      <c r="T37" s="918">
        <f t="shared" si="10"/>
        <v>320.18555940989711</v>
      </c>
      <c r="U37" s="416">
        <f t="shared" si="11"/>
        <v>2765.8950677748526</v>
      </c>
      <c r="V37" s="169"/>
      <c r="W37" s="168"/>
      <c r="X37" s="168"/>
      <c r="Y37" s="169"/>
      <c r="Z37" s="137"/>
      <c r="AA37" s="137"/>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c r="HR37" s="18"/>
      <c r="HS37" s="18"/>
      <c r="HT37" s="18"/>
      <c r="HU37" s="18"/>
      <c r="HV37" s="18"/>
      <c r="HW37" s="18"/>
      <c r="HX37" s="18"/>
      <c r="HY37" s="18"/>
      <c r="HZ37" s="18"/>
      <c r="IA37" s="18"/>
      <c r="IB37" s="18"/>
      <c r="IC37" s="18"/>
      <c r="ID37" s="18"/>
      <c r="IE37" s="18"/>
      <c r="IF37" s="18"/>
      <c r="IG37" s="18"/>
      <c r="IH37" s="18"/>
      <c r="II37" s="18"/>
      <c r="IJ37" s="18"/>
      <c r="IK37" s="18"/>
      <c r="IL37" s="18"/>
      <c r="IM37" s="18"/>
      <c r="IN37" s="18"/>
      <c r="IO37" s="18"/>
      <c r="IP37" s="18"/>
      <c r="IQ37" s="18"/>
      <c r="IR37" s="18"/>
      <c r="IS37" s="18"/>
      <c r="IT37" s="18"/>
      <c r="IU37" s="18"/>
      <c r="IV37" s="18"/>
      <c r="IW37" s="18"/>
    </row>
    <row r="38" spans="2:257" x14ac:dyDescent="0.3">
      <c r="B38" s="5" t="s">
        <v>132</v>
      </c>
      <c r="C38" s="916" t="s">
        <v>237</v>
      </c>
      <c r="D38" s="415">
        <f t="shared" si="4"/>
        <v>197981.13144340192</v>
      </c>
      <c r="E38" s="917">
        <f t="shared" si="5"/>
        <v>69.782504748572833</v>
      </c>
      <c r="F38" s="917">
        <f t="shared" si="6"/>
        <v>20916.876747249888</v>
      </c>
      <c r="G38" s="917">
        <f t="shared" si="0"/>
        <v>9029.8052685785533</v>
      </c>
      <c r="H38" s="416">
        <f t="shared" si="1"/>
        <v>17515.889146338792</v>
      </c>
      <c r="I38" s="415">
        <f t="shared" si="7"/>
        <v>777301990.82212281</v>
      </c>
      <c r="J38" s="918">
        <f t="shared" si="8"/>
        <v>271749.30779459031</v>
      </c>
      <c r="K38" s="918">
        <f t="shared" si="9"/>
        <v>106969810.51063666</v>
      </c>
      <c r="L38" s="917">
        <f t="shared" si="2"/>
        <v>36797603.003102779</v>
      </c>
      <c r="M38" s="422">
        <f t="shared" si="3"/>
        <v>26883928.143279321</v>
      </c>
      <c r="N38" s="412">
        <v>823.64408187399363</v>
      </c>
      <c r="O38" s="917">
        <v>11184.62934408697</v>
      </c>
      <c r="P38" s="919">
        <v>0.31861242246472843</v>
      </c>
      <c r="Q38" s="919">
        <v>6.5131128105797298E-2</v>
      </c>
      <c r="R38" s="919">
        <v>0.12600118325822407</v>
      </c>
      <c r="S38" s="919">
        <v>0.48114800470475211</v>
      </c>
      <c r="T38" s="918">
        <f t="shared" si="10"/>
        <v>869.1577450465627</v>
      </c>
      <c r="U38" s="416">
        <f t="shared" si="11"/>
        <v>11329.63972769163</v>
      </c>
      <c r="V38" s="169"/>
      <c r="W38" s="168"/>
      <c r="X38" s="168"/>
      <c r="Y38" s="169"/>
      <c r="Z38" s="137"/>
      <c r="AA38" s="137"/>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18"/>
      <c r="DP38" s="18"/>
      <c r="DQ38" s="18"/>
      <c r="DR38" s="18"/>
      <c r="DS38" s="18"/>
      <c r="DT38" s="18"/>
      <c r="DU38" s="18"/>
      <c r="DV38" s="18"/>
      <c r="DW38" s="18"/>
      <c r="DX38" s="18"/>
      <c r="DY38" s="18"/>
      <c r="DZ38" s="18"/>
      <c r="EA38" s="18"/>
      <c r="EB38" s="18"/>
      <c r="EC38" s="18"/>
      <c r="ED38" s="18"/>
      <c r="EE38" s="18"/>
      <c r="EF38" s="18"/>
      <c r="EG38" s="18"/>
      <c r="EH38" s="18"/>
      <c r="EI38" s="18"/>
      <c r="EJ38" s="18"/>
      <c r="EK38" s="18"/>
      <c r="EL38" s="18"/>
      <c r="EM38" s="18"/>
      <c r="EN38" s="18"/>
      <c r="EO38" s="18"/>
      <c r="EP38" s="18"/>
      <c r="EQ38" s="18"/>
      <c r="ER38" s="18"/>
      <c r="ES38" s="18"/>
      <c r="ET38" s="18"/>
      <c r="EU38" s="18"/>
      <c r="EV38" s="18"/>
      <c r="EW38" s="18"/>
      <c r="EX38" s="18"/>
      <c r="EY38" s="18"/>
      <c r="EZ38" s="18"/>
      <c r="FA38" s="18"/>
      <c r="FB38" s="18"/>
      <c r="FC38" s="18"/>
      <c r="FD38" s="18"/>
      <c r="FE38" s="18"/>
      <c r="FF38" s="18"/>
      <c r="FG38" s="18"/>
      <c r="FH38" s="18"/>
      <c r="FI38" s="18"/>
      <c r="FJ38" s="18"/>
      <c r="FK38" s="18"/>
      <c r="FL38" s="18"/>
      <c r="FM38" s="18"/>
      <c r="FN38" s="18"/>
      <c r="FO38" s="18"/>
      <c r="FP38" s="18"/>
      <c r="FQ38" s="18"/>
      <c r="FR38" s="18"/>
      <c r="FS38" s="18"/>
      <c r="FT38" s="18"/>
      <c r="FU38" s="18"/>
      <c r="FV38" s="18"/>
      <c r="FW38" s="18"/>
      <c r="FX38" s="18"/>
      <c r="FY38" s="18"/>
      <c r="FZ38" s="18"/>
      <c r="GA38" s="18"/>
      <c r="GB38" s="18"/>
      <c r="GC38" s="18"/>
      <c r="GD38" s="18"/>
      <c r="GE38" s="18"/>
      <c r="GF38" s="18"/>
      <c r="GG38" s="18"/>
      <c r="GH38" s="18"/>
      <c r="GI38" s="18"/>
      <c r="GJ38" s="18"/>
      <c r="GK38" s="18"/>
      <c r="GL38" s="18"/>
      <c r="GM38" s="18"/>
      <c r="GN38" s="18"/>
      <c r="GO38" s="18"/>
      <c r="GP38" s="18"/>
      <c r="GQ38" s="18"/>
      <c r="GR38" s="18"/>
      <c r="GS38" s="18"/>
      <c r="GT38" s="18"/>
      <c r="GU38" s="18"/>
      <c r="GV38" s="18"/>
      <c r="GW38" s="18"/>
      <c r="GX38" s="18"/>
      <c r="GY38" s="18"/>
      <c r="GZ38" s="18"/>
      <c r="HA38" s="18"/>
      <c r="HB38" s="18"/>
      <c r="HC38" s="18"/>
      <c r="HD38" s="18"/>
      <c r="HE38" s="18"/>
      <c r="HF38" s="18"/>
      <c r="HG38" s="18"/>
      <c r="HH38" s="18"/>
      <c r="HI38" s="18"/>
      <c r="HJ38" s="18"/>
      <c r="HK38" s="18"/>
      <c r="HL38" s="18"/>
      <c r="HM38" s="18"/>
      <c r="HN38" s="18"/>
      <c r="HO38" s="18"/>
      <c r="HP38" s="18"/>
      <c r="HQ38" s="18"/>
      <c r="HR38" s="18"/>
      <c r="HS38" s="18"/>
      <c r="HT38" s="18"/>
      <c r="HU38" s="18"/>
      <c r="HV38" s="18"/>
      <c r="HW38" s="18"/>
      <c r="HX38" s="18"/>
      <c r="HY38" s="18"/>
      <c r="HZ38" s="18"/>
      <c r="IA38" s="18"/>
      <c r="IB38" s="18"/>
      <c r="IC38" s="18"/>
      <c r="ID38" s="18"/>
      <c r="IE38" s="18"/>
      <c r="IF38" s="18"/>
      <c r="IG38" s="18"/>
      <c r="IH38" s="18"/>
      <c r="II38" s="18"/>
      <c r="IJ38" s="18"/>
      <c r="IK38" s="18"/>
      <c r="IL38" s="18"/>
      <c r="IM38" s="18"/>
      <c r="IN38" s="18"/>
      <c r="IO38" s="18"/>
      <c r="IP38" s="18"/>
      <c r="IQ38" s="18"/>
      <c r="IR38" s="18"/>
      <c r="IS38" s="18"/>
      <c r="IT38" s="18"/>
      <c r="IU38" s="18"/>
      <c r="IV38" s="18"/>
      <c r="IW38" s="18"/>
    </row>
    <row r="39" spans="2:257" x14ac:dyDescent="0.3">
      <c r="B39" s="5" t="s">
        <v>133</v>
      </c>
      <c r="C39" s="916" t="s">
        <v>238</v>
      </c>
      <c r="D39" s="415">
        <f t="shared" si="4"/>
        <v>164754.08645806659</v>
      </c>
      <c r="E39" s="917">
        <f t="shared" si="5"/>
        <v>1201.5958578559678</v>
      </c>
      <c r="F39" s="917">
        <f t="shared" si="6"/>
        <v>5075.2515736247569</v>
      </c>
      <c r="G39" s="917">
        <f t="shared" si="0"/>
        <v>273.73307493684734</v>
      </c>
      <c r="H39" s="416">
        <f t="shared" si="1"/>
        <v>0</v>
      </c>
      <c r="I39" s="415">
        <f t="shared" si="7"/>
        <v>646211007.17672777</v>
      </c>
      <c r="J39" s="918">
        <f t="shared" si="8"/>
        <v>4679293.8115034383</v>
      </c>
      <c r="K39" s="918">
        <f t="shared" si="9"/>
        <v>25955055.608186342</v>
      </c>
      <c r="L39" s="917">
        <f t="shared" si="2"/>
        <v>1112463.455400358</v>
      </c>
      <c r="M39" s="422">
        <f t="shared" si="3"/>
        <v>0</v>
      </c>
      <c r="N39" s="412">
        <v>367.16755370146433</v>
      </c>
      <c r="O39" s="917">
        <v>5683.7819086716281</v>
      </c>
      <c r="P39" s="919">
        <v>0.14203239762143863</v>
      </c>
      <c r="Q39" s="919">
        <v>3.3672971791905093E-2</v>
      </c>
      <c r="R39" s="919">
        <v>5.6169342120629365E-2</v>
      </c>
      <c r="S39" s="919">
        <v>0.24373590902715153</v>
      </c>
      <c r="T39" s="918">
        <f t="shared" si="10"/>
        <v>387.45682759394782</v>
      </c>
      <c r="U39" s="416">
        <f t="shared" si="11"/>
        <v>5757.2570338565165</v>
      </c>
      <c r="V39" s="169"/>
      <c r="W39" s="168"/>
      <c r="X39" s="168"/>
      <c r="Y39" s="169"/>
      <c r="Z39" s="137"/>
      <c r="AA39" s="137"/>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c r="HR39" s="18"/>
      <c r="HS39" s="18"/>
      <c r="HT39" s="18"/>
      <c r="HU39" s="18"/>
      <c r="HV39" s="18"/>
      <c r="HW39" s="18"/>
      <c r="HX39" s="18"/>
      <c r="HY39" s="18"/>
      <c r="HZ39" s="18"/>
      <c r="IA39" s="18"/>
      <c r="IB39" s="18"/>
      <c r="IC39" s="18"/>
      <c r="ID39" s="18"/>
      <c r="IE39" s="18"/>
      <c r="IF39" s="18"/>
      <c r="IG39" s="18"/>
      <c r="IH39" s="18"/>
      <c r="II39" s="18"/>
      <c r="IJ39" s="18"/>
      <c r="IK39" s="18"/>
      <c r="IL39" s="18"/>
      <c r="IM39" s="18"/>
      <c r="IN39" s="18"/>
      <c r="IO39" s="18"/>
      <c r="IP39" s="18"/>
      <c r="IQ39" s="18"/>
      <c r="IR39" s="18"/>
      <c r="IS39" s="18"/>
      <c r="IT39" s="18"/>
      <c r="IU39" s="18"/>
      <c r="IV39" s="18"/>
      <c r="IW39" s="18"/>
    </row>
    <row r="40" spans="2:257" x14ac:dyDescent="0.3">
      <c r="B40" s="5" t="s">
        <v>134</v>
      </c>
      <c r="C40" s="916" t="s">
        <v>239</v>
      </c>
      <c r="D40" s="415">
        <f t="shared" si="4"/>
        <v>169587.97218576627</v>
      </c>
      <c r="E40" s="917">
        <f t="shared" si="5"/>
        <v>2162.4894064204741</v>
      </c>
      <c r="F40" s="917">
        <f t="shared" si="6"/>
        <v>20972.94373888641</v>
      </c>
      <c r="G40" s="917">
        <f t="shared" si="0"/>
        <v>4408.6295298263385</v>
      </c>
      <c r="H40" s="416">
        <f t="shared" si="1"/>
        <v>4.2711058769321113</v>
      </c>
      <c r="I40" s="415">
        <f t="shared" si="7"/>
        <v>664609349.06337512</v>
      </c>
      <c r="J40" s="918">
        <f t="shared" si="8"/>
        <v>8424906.1537050493</v>
      </c>
      <c r="K40" s="918">
        <f t="shared" si="9"/>
        <v>107256539.5258587</v>
      </c>
      <c r="L40" s="917">
        <f t="shared" si="2"/>
        <v>17910103.089828264</v>
      </c>
      <c r="M40" s="422">
        <f t="shared" si="3"/>
        <v>6239.1590447836534</v>
      </c>
      <c r="N40" s="412">
        <v>555.48638820455778</v>
      </c>
      <c r="O40" s="917">
        <v>10782.999462694383</v>
      </c>
      <c r="P40" s="919">
        <v>0.21488027132951931</v>
      </c>
      <c r="Q40" s="919">
        <v>6.8017057248070514E-2</v>
      </c>
      <c r="R40" s="919">
        <v>8.4978382942256403E-2</v>
      </c>
      <c r="S40" s="919">
        <v>0.46245494552030836</v>
      </c>
      <c r="T40" s="918">
        <f t="shared" si="10"/>
        <v>586.18195310458816</v>
      </c>
      <c r="U40" s="416">
        <f t="shared" si="11"/>
        <v>10922.511462890636</v>
      </c>
      <c r="V40" s="169"/>
      <c r="W40" s="168"/>
      <c r="X40" s="168"/>
      <c r="Y40" s="169"/>
      <c r="Z40" s="137"/>
      <c r="AA40" s="137"/>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18"/>
      <c r="DP40" s="18"/>
      <c r="DQ40" s="18"/>
      <c r="DR40" s="18"/>
      <c r="DS40" s="18"/>
      <c r="DT40" s="18"/>
      <c r="DU40" s="18"/>
      <c r="DV40" s="18"/>
      <c r="DW40" s="18"/>
      <c r="DX40" s="18"/>
      <c r="DY40" s="18"/>
      <c r="DZ40" s="18"/>
      <c r="EA40" s="18"/>
      <c r="EB40" s="18"/>
      <c r="EC40" s="18"/>
      <c r="ED40" s="18"/>
      <c r="EE40" s="18"/>
      <c r="EF40" s="18"/>
      <c r="EG40" s="18"/>
      <c r="EH40" s="18"/>
      <c r="EI40" s="18"/>
      <c r="EJ40" s="18"/>
      <c r="EK40" s="18"/>
      <c r="EL40" s="18"/>
      <c r="EM40" s="18"/>
      <c r="EN40" s="18"/>
      <c r="EO40" s="18"/>
      <c r="EP40" s="18"/>
      <c r="EQ40" s="18"/>
      <c r="ER40" s="18"/>
      <c r="ES40" s="18"/>
      <c r="ET40" s="18"/>
      <c r="EU40" s="18"/>
      <c r="EV40" s="18"/>
      <c r="EW40" s="18"/>
      <c r="EX40" s="18"/>
      <c r="EY40" s="18"/>
      <c r="EZ40" s="18"/>
      <c r="FA40" s="18"/>
      <c r="FB40" s="18"/>
      <c r="FC40" s="18"/>
      <c r="FD40" s="18"/>
      <c r="FE40" s="18"/>
      <c r="FF40" s="18"/>
      <c r="FG40" s="18"/>
      <c r="FH40" s="18"/>
      <c r="FI40" s="18"/>
      <c r="FJ40" s="18"/>
      <c r="FK40" s="18"/>
      <c r="FL40" s="18"/>
      <c r="FM40" s="18"/>
      <c r="FN40" s="18"/>
      <c r="FO40" s="18"/>
      <c r="FP40" s="18"/>
      <c r="FQ40" s="18"/>
      <c r="FR40" s="18"/>
      <c r="FS40" s="18"/>
      <c r="FT40" s="18"/>
      <c r="FU40" s="18"/>
      <c r="FV40" s="18"/>
      <c r="FW40" s="18"/>
      <c r="FX40" s="18"/>
      <c r="FY40" s="18"/>
      <c r="FZ40" s="18"/>
      <c r="GA40" s="18"/>
      <c r="GB40" s="18"/>
      <c r="GC40" s="18"/>
      <c r="GD40" s="18"/>
      <c r="GE40" s="18"/>
      <c r="GF40" s="18"/>
      <c r="GG40" s="18"/>
      <c r="GH40" s="18"/>
      <c r="GI40" s="18"/>
      <c r="GJ40" s="18"/>
      <c r="GK40" s="18"/>
      <c r="GL40" s="18"/>
      <c r="GM40" s="18"/>
      <c r="GN40" s="18"/>
      <c r="GO40" s="18"/>
      <c r="GP40" s="18"/>
      <c r="GQ40" s="18"/>
      <c r="GR40" s="18"/>
      <c r="GS40" s="18"/>
      <c r="GT40" s="18"/>
      <c r="GU40" s="18"/>
      <c r="GV40" s="18"/>
      <c r="GW40" s="18"/>
      <c r="GX40" s="18"/>
      <c r="GY40" s="18"/>
      <c r="GZ40" s="18"/>
      <c r="HA40" s="18"/>
      <c r="HB40" s="18"/>
      <c r="HC40" s="18"/>
      <c r="HD40" s="18"/>
      <c r="HE40" s="18"/>
      <c r="HF40" s="18"/>
      <c r="HG40" s="18"/>
      <c r="HH40" s="18"/>
      <c r="HI40" s="18"/>
      <c r="HJ40" s="18"/>
      <c r="HK40" s="18"/>
      <c r="HL40" s="18"/>
      <c r="HM40" s="18"/>
      <c r="HN40" s="18"/>
      <c r="HO40" s="18"/>
      <c r="HP40" s="18"/>
      <c r="HQ40" s="18"/>
      <c r="HR40" s="18"/>
      <c r="HS40" s="18"/>
      <c r="HT40" s="18"/>
      <c r="HU40" s="18"/>
      <c r="HV40" s="18"/>
      <c r="HW40" s="18"/>
      <c r="HX40" s="18"/>
      <c r="HY40" s="18"/>
      <c r="HZ40" s="18"/>
      <c r="IA40" s="18"/>
      <c r="IB40" s="18"/>
      <c r="IC40" s="18"/>
      <c r="ID40" s="18"/>
      <c r="IE40" s="18"/>
      <c r="IF40" s="18"/>
      <c r="IG40" s="18"/>
      <c r="IH40" s="18"/>
      <c r="II40" s="18"/>
      <c r="IJ40" s="18"/>
      <c r="IK40" s="18"/>
      <c r="IL40" s="18"/>
      <c r="IM40" s="18"/>
      <c r="IN40" s="18"/>
      <c r="IO40" s="18"/>
      <c r="IP40" s="18"/>
      <c r="IQ40" s="18"/>
      <c r="IR40" s="18"/>
      <c r="IS40" s="18"/>
      <c r="IT40" s="18"/>
      <c r="IU40" s="18"/>
      <c r="IV40" s="18"/>
      <c r="IW40" s="18"/>
    </row>
    <row r="41" spans="2:257" x14ac:dyDescent="0.3">
      <c r="B41" s="5" t="s">
        <v>135</v>
      </c>
      <c r="C41" s="916" t="s">
        <v>240</v>
      </c>
      <c r="D41" s="415">
        <f t="shared" si="4"/>
        <v>199742.75121086166</v>
      </c>
      <c r="E41" s="917">
        <f t="shared" si="5"/>
        <v>1388.6109934208644</v>
      </c>
      <c r="F41" s="917">
        <f t="shared" si="6"/>
        <v>28452.826534316409</v>
      </c>
      <c r="G41" s="917">
        <f t="shared" si="0"/>
        <v>0</v>
      </c>
      <c r="H41" s="416">
        <f t="shared" si="1"/>
        <v>7185.1260285828339</v>
      </c>
      <c r="I41" s="415">
        <f t="shared" si="7"/>
        <v>788357583.3440392</v>
      </c>
      <c r="J41" s="918">
        <f t="shared" si="8"/>
        <v>5413523.1241788482</v>
      </c>
      <c r="K41" s="918">
        <f t="shared" si="9"/>
        <v>145508982.99231058</v>
      </c>
      <c r="L41" s="917">
        <f>AJ56</f>
        <v>0</v>
      </c>
      <c r="M41" s="422">
        <f t="shared" si="3"/>
        <v>11015048.416313777</v>
      </c>
      <c r="N41" s="412">
        <v>1965.4700535683953</v>
      </c>
      <c r="O41" s="917">
        <v>20715.344562331138</v>
      </c>
      <c r="P41" s="919">
        <v>0.7603079884025794</v>
      </c>
      <c r="Q41" s="919">
        <v>0.12283652140008985</v>
      </c>
      <c r="R41" s="919">
        <v>0.30067787513843885</v>
      </c>
      <c r="S41" s="919">
        <v>0.89165327729158872</v>
      </c>
      <c r="T41" s="918">
        <f t="shared" si="10"/>
        <v>2074.0797600697147</v>
      </c>
      <c r="U41" s="416">
        <f t="shared" si="11"/>
        <v>20984.128151999033</v>
      </c>
      <c r="V41" s="169"/>
      <c r="W41" s="168"/>
      <c r="X41" s="168"/>
      <c r="Y41" s="169"/>
      <c r="Z41" s="137"/>
      <c r="AA41" s="137"/>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c r="HR41" s="18"/>
      <c r="HS41" s="18"/>
      <c r="HT41" s="18"/>
      <c r="HU41" s="18"/>
      <c r="HV41" s="18"/>
      <c r="HW41" s="18"/>
      <c r="HX41" s="18"/>
      <c r="HY41" s="18"/>
      <c r="HZ41" s="18"/>
      <c r="IA41" s="18"/>
      <c r="IB41" s="18"/>
      <c r="IC41" s="18"/>
      <c r="ID41" s="18"/>
      <c r="IE41" s="18"/>
      <c r="IF41" s="18"/>
      <c r="IG41" s="18"/>
      <c r="IH41" s="18"/>
      <c r="II41" s="18"/>
      <c r="IJ41" s="18"/>
      <c r="IK41" s="18"/>
      <c r="IL41" s="18"/>
      <c r="IM41" s="18"/>
      <c r="IN41" s="18"/>
      <c r="IO41" s="18"/>
      <c r="IP41" s="18"/>
      <c r="IQ41" s="18"/>
      <c r="IR41" s="18"/>
      <c r="IS41" s="18"/>
      <c r="IT41" s="18"/>
      <c r="IU41" s="18"/>
      <c r="IV41" s="18"/>
      <c r="IW41" s="18"/>
    </row>
    <row r="42" spans="2:257" ht="15" thickBot="1" x14ac:dyDescent="0.35">
      <c r="B42" s="6" t="s">
        <v>136</v>
      </c>
      <c r="C42" s="920"/>
      <c r="D42" s="417"/>
      <c r="E42" s="921"/>
      <c r="F42" s="917">
        <f t="shared" si="6"/>
        <v>0</v>
      </c>
      <c r="G42" s="921"/>
      <c r="H42" s="418"/>
      <c r="I42" s="417"/>
      <c r="J42" s="921"/>
      <c r="K42" s="918">
        <f t="shared" si="9"/>
        <v>0</v>
      </c>
      <c r="L42" s="922"/>
      <c r="M42" s="921"/>
      <c r="N42" s="423"/>
      <c r="O42" s="923"/>
      <c r="P42" s="924"/>
      <c r="Q42" s="924"/>
      <c r="R42" s="924"/>
      <c r="S42" s="924"/>
      <c r="T42" s="921"/>
      <c r="U42" s="427"/>
      <c r="V42" s="170"/>
      <c r="W42" s="168"/>
      <c r="X42" s="170"/>
      <c r="Y42" s="139"/>
      <c r="Z42" s="139"/>
      <c r="AA42" s="139"/>
      <c r="AB42" s="139"/>
      <c r="AC42" s="139"/>
      <c r="AD42" s="139"/>
      <c r="AE42" s="139"/>
      <c r="AF42" s="139"/>
      <c r="AG42" s="139"/>
      <c r="AH42" s="139"/>
      <c r="AI42" s="139"/>
      <c r="AJ42" s="139"/>
      <c r="AK42" s="139"/>
      <c r="AL42" s="139"/>
      <c r="AM42" s="139"/>
      <c r="AN42" s="139"/>
      <c r="AO42" s="139"/>
      <c r="AP42" s="139"/>
      <c r="AQ42" s="139"/>
      <c r="AR42" s="139"/>
      <c r="AS42" s="139"/>
      <c r="AT42" s="139"/>
      <c r="AU42" s="139"/>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9"/>
      <c r="BZ42" s="139"/>
      <c r="CA42" s="139"/>
      <c r="CB42" s="139"/>
      <c r="CC42" s="139"/>
      <c r="CD42" s="139"/>
      <c r="CE42" s="139"/>
      <c r="CF42" s="139"/>
      <c r="CG42" s="139"/>
      <c r="CH42" s="139"/>
      <c r="CI42" s="139"/>
      <c r="CJ42" s="139"/>
      <c r="CK42" s="139"/>
      <c r="CL42" s="139"/>
      <c r="CM42" s="139"/>
      <c r="CN42" s="139"/>
      <c r="CO42" s="139"/>
      <c r="CP42" s="139"/>
      <c r="CQ42" s="139"/>
      <c r="CR42" s="139"/>
      <c r="CS42" s="139"/>
      <c r="CT42" s="139"/>
      <c r="CU42" s="139"/>
      <c r="CV42" s="139"/>
      <c r="CW42" s="139"/>
      <c r="CX42" s="139"/>
      <c r="CY42" s="139"/>
      <c r="CZ42" s="139"/>
      <c r="DA42" s="139"/>
      <c r="DB42" s="139"/>
      <c r="DC42" s="139"/>
      <c r="DD42" s="139"/>
      <c r="DE42" s="139"/>
      <c r="DF42" s="139"/>
      <c r="DG42" s="139"/>
      <c r="DH42" s="139"/>
      <c r="DI42" s="139"/>
      <c r="DJ42" s="139"/>
      <c r="DK42" s="139"/>
      <c r="DL42" s="139"/>
      <c r="DM42" s="139"/>
      <c r="DN42" s="139"/>
      <c r="DO42" s="139"/>
      <c r="DP42" s="139"/>
      <c r="DQ42" s="139"/>
      <c r="DR42" s="139"/>
      <c r="DS42" s="139"/>
      <c r="DT42" s="139"/>
      <c r="DU42" s="139"/>
      <c r="DV42" s="139"/>
      <c r="DW42" s="139"/>
      <c r="DX42" s="139"/>
      <c r="DY42" s="139"/>
      <c r="DZ42" s="139"/>
      <c r="EA42" s="139"/>
      <c r="EB42" s="139"/>
      <c r="EC42" s="139"/>
      <c r="ED42" s="139"/>
      <c r="EE42" s="139"/>
      <c r="EF42" s="139"/>
      <c r="EG42" s="139"/>
      <c r="EH42" s="139"/>
      <c r="EI42" s="139"/>
      <c r="EJ42" s="139"/>
      <c r="EK42" s="139"/>
      <c r="EL42" s="139"/>
      <c r="EM42" s="139"/>
      <c r="EN42" s="139"/>
      <c r="EO42" s="139"/>
      <c r="EP42" s="139"/>
      <c r="EQ42" s="139"/>
      <c r="ER42" s="139"/>
      <c r="ES42" s="139"/>
      <c r="ET42" s="139"/>
      <c r="EU42" s="139"/>
      <c r="EV42" s="139"/>
      <c r="EW42" s="139"/>
      <c r="EX42" s="139"/>
      <c r="EY42" s="139"/>
      <c r="EZ42" s="139"/>
      <c r="FA42" s="139"/>
      <c r="FB42" s="139"/>
      <c r="FC42" s="139"/>
      <c r="FD42" s="139"/>
      <c r="FE42" s="139"/>
      <c r="FF42" s="139"/>
      <c r="FG42" s="139"/>
      <c r="FH42" s="139"/>
      <c r="FI42" s="139"/>
      <c r="FJ42" s="139"/>
      <c r="FK42" s="139"/>
      <c r="FL42" s="139"/>
      <c r="FM42" s="139"/>
      <c r="FN42" s="139"/>
      <c r="FO42" s="139"/>
      <c r="FP42" s="139"/>
      <c r="FQ42" s="139"/>
      <c r="FR42" s="139"/>
      <c r="FS42" s="139"/>
      <c r="FT42" s="139"/>
      <c r="FU42" s="139"/>
      <c r="FV42" s="139"/>
      <c r="FW42" s="139"/>
      <c r="FX42" s="139"/>
      <c r="FY42" s="139"/>
      <c r="FZ42" s="139"/>
      <c r="GA42" s="139"/>
      <c r="GB42" s="139"/>
      <c r="GC42" s="139"/>
      <c r="GD42" s="139"/>
      <c r="GE42" s="139"/>
      <c r="GF42" s="139"/>
      <c r="GG42" s="139"/>
      <c r="GH42" s="139"/>
      <c r="GI42" s="139"/>
      <c r="GJ42" s="139"/>
      <c r="GK42" s="139"/>
      <c r="GL42" s="139"/>
      <c r="GM42" s="139"/>
      <c r="GN42" s="139"/>
      <c r="GO42" s="139"/>
      <c r="GP42" s="139"/>
      <c r="GQ42" s="139"/>
      <c r="GR42" s="139"/>
      <c r="GS42" s="139"/>
      <c r="GT42" s="139"/>
      <c r="GU42" s="139"/>
      <c r="GV42" s="139"/>
      <c r="GW42" s="139"/>
      <c r="GX42" s="139"/>
      <c r="GY42" s="139"/>
      <c r="GZ42" s="139"/>
      <c r="HA42" s="139"/>
      <c r="HB42" s="139"/>
      <c r="HC42" s="139"/>
      <c r="HD42" s="139"/>
      <c r="HE42" s="139"/>
      <c r="HF42" s="139"/>
      <c r="HG42" s="139"/>
      <c r="HH42" s="139"/>
      <c r="HI42" s="139"/>
      <c r="HJ42" s="139"/>
      <c r="HK42" s="139"/>
      <c r="HL42" s="139"/>
      <c r="HM42" s="139"/>
      <c r="HN42" s="139"/>
      <c r="HO42" s="139"/>
      <c r="HP42" s="139"/>
      <c r="HQ42" s="139"/>
      <c r="HR42" s="139"/>
      <c r="HS42" s="139"/>
      <c r="HT42" s="139"/>
      <c r="HU42" s="139"/>
      <c r="HV42" s="139"/>
      <c r="HW42" s="139"/>
      <c r="HX42" s="139"/>
      <c r="HY42" s="139"/>
      <c r="HZ42" s="139"/>
      <c r="IA42" s="139"/>
      <c r="IB42" s="139"/>
      <c r="IC42" s="139"/>
      <c r="ID42" s="139"/>
      <c r="IE42" s="139"/>
      <c r="IF42" s="139"/>
      <c r="IG42" s="139"/>
      <c r="IH42" s="139"/>
      <c r="II42" s="139"/>
      <c r="IJ42" s="139"/>
      <c r="IK42" s="139"/>
      <c r="IL42" s="139"/>
      <c r="IM42" s="139"/>
      <c r="IN42" s="139"/>
      <c r="IO42" s="139"/>
      <c r="IP42" s="139"/>
      <c r="IQ42" s="139"/>
      <c r="IR42" s="139"/>
      <c r="IS42" s="139"/>
      <c r="IT42" s="139"/>
      <c r="IU42" s="139"/>
      <c r="IV42" s="139"/>
      <c r="IW42" s="139"/>
    </row>
    <row r="43" spans="2:257" ht="15" thickBot="1" x14ac:dyDescent="0.35">
      <c r="B43" s="7" t="s">
        <v>66</v>
      </c>
      <c r="C43" s="252"/>
      <c r="D43" s="419">
        <f>SUM(D9:D41)</f>
        <v>6766515.9039249048</v>
      </c>
      <c r="E43" s="409">
        <f>SUM(E9:E41)</f>
        <v>84619.157541370703</v>
      </c>
      <c r="F43" s="409">
        <f>SUM(F9:F42)</f>
        <v>455284.90903400484</v>
      </c>
      <c r="G43" s="409">
        <f>SUM(G9:G41)</f>
        <v>842633.02803901909</v>
      </c>
      <c r="H43" s="420">
        <f>SUM(H9:H41)</f>
        <v>58835.90934417057</v>
      </c>
      <c r="I43" s="419">
        <f>SUM(I9:I41)</f>
        <v>26521618618.821438</v>
      </c>
      <c r="J43" s="409">
        <f>SUM(J9:J41)</f>
        <v>329730462.5535782</v>
      </c>
      <c r="K43" s="409">
        <f>SUM(K9:K42)</f>
        <v>2328346676.0458474</v>
      </c>
      <c r="L43" s="409">
        <f t="shared" ref="L43:U43" si="12">SUM(L9:L41)</f>
        <v>3401187239.6603146</v>
      </c>
      <c r="M43" s="420">
        <f t="shared" si="12"/>
        <v>90399705.124026537</v>
      </c>
      <c r="N43" s="408">
        <f t="shared" si="12"/>
        <v>17995.771774048291</v>
      </c>
      <c r="O43" s="424">
        <f t="shared" si="12"/>
        <v>486781.69839499681</v>
      </c>
      <c r="P43" s="425">
        <f t="shared" si="12"/>
        <v>6.961352075773287</v>
      </c>
      <c r="Q43" s="425">
        <f t="shared" si="12"/>
        <v>2.8968507553401892</v>
      </c>
      <c r="R43" s="425">
        <f t="shared" si="12"/>
        <v>2.7529956046256512</v>
      </c>
      <c r="S43" s="425">
        <f t="shared" si="12"/>
        <v>20.988957174784066</v>
      </c>
      <c r="T43" s="424">
        <f t="shared" si="12"/>
        <v>18990.198266121071</v>
      </c>
      <c r="U43" s="420">
        <f t="shared" si="12"/>
        <v>493108.82890196604</v>
      </c>
      <c r="V43" s="170"/>
      <c r="W43" s="170"/>
      <c r="X43" s="143"/>
      <c r="Y43" s="139"/>
      <c r="Z43" s="139"/>
      <c r="AA43" s="139"/>
      <c r="AB43" s="139"/>
      <c r="AC43" s="139"/>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39"/>
      <c r="CA43" s="139"/>
      <c r="CB43" s="139"/>
      <c r="CC43" s="139"/>
      <c r="CD43" s="139"/>
      <c r="CE43" s="139"/>
      <c r="CF43" s="139"/>
      <c r="CG43" s="139"/>
      <c r="CH43" s="139"/>
      <c r="CI43" s="139"/>
      <c r="CJ43" s="139"/>
      <c r="CK43" s="139"/>
      <c r="CL43" s="139"/>
      <c r="CM43" s="139"/>
      <c r="CN43" s="139"/>
      <c r="CO43" s="139"/>
      <c r="CP43" s="139"/>
      <c r="CQ43" s="139"/>
      <c r="CR43" s="139"/>
      <c r="CS43" s="139"/>
      <c r="CT43" s="139"/>
      <c r="CU43" s="139"/>
      <c r="CV43" s="139"/>
      <c r="CW43" s="139"/>
      <c r="CX43" s="139"/>
      <c r="CY43" s="139"/>
      <c r="CZ43" s="139"/>
      <c r="DA43" s="139"/>
      <c r="DB43" s="139"/>
      <c r="DC43" s="139"/>
      <c r="DD43" s="139"/>
      <c r="DE43" s="139"/>
      <c r="DF43" s="139"/>
      <c r="DG43" s="139"/>
      <c r="DH43" s="139"/>
      <c r="DI43" s="139"/>
      <c r="DJ43" s="139"/>
      <c r="DK43" s="139"/>
      <c r="DL43" s="139"/>
      <c r="DM43" s="139"/>
      <c r="DN43" s="139"/>
      <c r="DO43" s="139"/>
      <c r="DP43" s="139"/>
      <c r="DQ43" s="139"/>
      <c r="DR43" s="139"/>
      <c r="DS43" s="139"/>
      <c r="DT43" s="139"/>
      <c r="DU43" s="139"/>
      <c r="DV43" s="139"/>
      <c r="DW43" s="139"/>
      <c r="DX43" s="139"/>
      <c r="DY43" s="139"/>
      <c r="DZ43" s="139"/>
      <c r="EA43" s="139"/>
      <c r="EB43" s="139"/>
      <c r="EC43" s="139"/>
      <c r="ED43" s="139"/>
      <c r="EE43" s="139"/>
      <c r="EF43" s="139"/>
      <c r="EG43" s="139"/>
      <c r="EH43" s="139"/>
      <c r="EI43" s="139"/>
      <c r="EJ43" s="139"/>
      <c r="EK43" s="139"/>
      <c r="EL43" s="139"/>
      <c r="EM43" s="139"/>
      <c r="EN43" s="139"/>
      <c r="EO43" s="139"/>
      <c r="EP43" s="139"/>
      <c r="EQ43" s="139"/>
      <c r="ER43" s="139"/>
      <c r="ES43" s="139"/>
      <c r="ET43" s="139"/>
      <c r="EU43" s="139"/>
      <c r="EV43" s="139"/>
      <c r="EW43" s="139"/>
      <c r="EX43" s="139"/>
      <c r="EY43" s="139"/>
      <c r="EZ43" s="139"/>
      <c r="FA43" s="139"/>
      <c r="FB43" s="139"/>
      <c r="FC43" s="139"/>
      <c r="FD43" s="139"/>
      <c r="FE43" s="139"/>
      <c r="FF43" s="139"/>
      <c r="FG43" s="139"/>
      <c r="FH43" s="139"/>
      <c r="FI43" s="139"/>
      <c r="FJ43" s="139"/>
      <c r="FK43" s="139"/>
      <c r="FL43" s="139"/>
      <c r="FM43" s="139"/>
      <c r="FN43" s="139"/>
      <c r="FO43" s="139"/>
      <c r="FP43" s="139"/>
      <c r="FQ43" s="139"/>
      <c r="FR43" s="139"/>
      <c r="FS43" s="139"/>
      <c r="FT43" s="139"/>
      <c r="FU43" s="139"/>
      <c r="FV43" s="139"/>
      <c r="FW43" s="139"/>
      <c r="FX43" s="139"/>
      <c r="FY43" s="139"/>
      <c r="FZ43" s="139"/>
      <c r="GA43" s="139"/>
      <c r="GB43" s="139"/>
      <c r="GC43" s="139"/>
      <c r="GD43" s="139"/>
      <c r="GE43" s="139"/>
      <c r="GF43" s="139"/>
      <c r="GG43" s="139"/>
      <c r="GH43" s="139"/>
      <c r="GI43" s="139"/>
      <c r="GJ43" s="139"/>
      <c r="GK43" s="139"/>
      <c r="GL43" s="139"/>
      <c r="GM43" s="139"/>
      <c r="GN43" s="139"/>
      <c r="GO43" s="139"/>
      <c r="GP43" s="139"/>
      <c r="GQ43" s="139"/>
      <c r="GR43" s="139"/>
      <c r="GS43" s="139"/>
      <c r="GT43" s="139"/>
      <c r="GU43" s="139"/>
      <c r="GV43" s="139"/>
      <c r="GW43" s="139"/>
      <c r="GX43" s="139"/>
      <c r="GY43" s="139"/>
      <c r="GZ43" s="139"/>
      <c r="HA43" s="139"/>
      <c r="HB43" s="139"/>
      <c r="HC43" s="139"/>
      <c r="HD43" s="139"/>
      <c r="HE43" s="139"/>
      <c r="HF43" s="139"/>
      <c r="HG43" s="139"/>
      <c r="HH43" s="139"/>
      <c r="HI43" s="139"/>
      <c r="HJ43" s="139"/>
      <c r="HK43" s="139"/>
      <c r="HL43" s="139"/>
      <c r="HM43" s="139"/>
      <c r="HN43" s="139"/>
      <c r="HO43" s="139"/>
      <c r="HP43" s="139"/>
      <c r="HQ43" s="139"/>
      <c r="HR43" s="139"/>
      <c r="HS43" s="139"/>
      <c r="HT43" s="139"/>
      <c r="HU43" s="139"/>
      <c r="HV43" s="139"/>
      <c r="HW43" s="139"/>
      <c r="HX43" s="139"/>
      <c r="HY43" s="139"/>
      <c r="HZ43" s="139"/>
      <c r="IA43" s="139"/>
      <c r="IB43" s="139"/>
      <c r="IC43" s="139"/>
      <c r="ID43" s="139"/>
      <c r="IE43" s="139"/>
      <c r="IF43" s="139"/>
      <c r="IG43" s="139"/>
      <c r="IH43" s="139"/>
      <c r="II43" s="139"/>
      <c r="IJ43" s="139"/>
      <c r="IK43" s="139"/>
      <c r="IL43" s="139"/>
      <c r="IM43" s="139"/>
      <c r="IN43" s="139"/>
      <c r="IO43" s="139"/>
      <c r="IP43" s="139"/>
      <c r="IQ43" s="139"/>
      <c r="IR43" s="139"/>
      <c r="IS43" s="139"/>
      <c r="IT43" s="139"/>
      <c r="IU43" s="139"/>
      <c r="IV43" s="139"/>
      <c r="IW43" s="139"/>
    </row>
    <row r="44" spans="2:257" x14ac:dyDescent="0.3">
      <c r="B44" s="139"/>
      <c r="C44" s="139"/>
      <c r="D44" s="139"/>
      <c r="E44" s="139"/>
      <c r="F44" s="139"/>
      <c r="G44" s="142"/>
      <c r="H44" s="142"/>
      <c r="I44" s="139"/>
      <c r="J44" s="139"/>
      <c r="K44" s="139"/>
      <c r="L44" s="139"/>
      <c r="M44" s="142"/>
      <c r="N44" s="139"/>
      <c r="O44" s="139"/>
      <c r="P44" s="139"/>
      <c r="Q44" s="139"/>
      <c r="R44" s="143"/>
      <c r="S44" s="143"/>
      <c r="T44" s="139"/>
      <c r="U44" s="139"/>
      <c r="V44" s="139"/>
      <c r="W44" s="139"/>
      <c r="X44" s="139"/>
      <c r="Y44" s="139"/>
      <c r="Z44" s="139"/>
      <c r="AA44" s="139"/>
      <c r="AB44" s="139"/>
      <c r="AC44" s="139"/>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c r="BF44" s="139"/>
      <c r="BG44" s="139"/>
      <c r="BH44" s="139"/>
      <c r="BI44" s="139"/>
      <c r="BJ44" s="139"/>
      <c r="BK44" s="139"/>
      <c r="BL44" s="139"/>
      <c r="BM44" s="139"/>
      <c r="BN44" s="139"/>
      <c r="BO44" s="139"/>
      <c r="BP44" s="139"/>
      <c r="BQ44" s="139"/>
      <c r="BR44" s="139"/>
      <c r="BS44" s="139"/>
      <c r="BT44" s="139"/>
      <c r="BU44" s="139"/>
      <c r="BV44" s="139"/>
      <c r="BW44" s="139"/>
      <c r="BX44" s="139"/>
      <c r="BY44" s="139"/>
      <c r="BZ44" s="139"/>
      <c r="CA44" s="139"/>
      <c r="CB44" s="139"/>
      <c r="CC44" s="139"/>
      <c r="CD44" s="139"/>
      <c r="CE44" s="139"/>
      <c r="CF44" s="139"/>
      <c r="CG44" s="139"/>
      <c r="CH44" s="139"/>
      <c r="CI44" s="139"/>
      <c r="CJ44" s="139"/>
      <c r="CK44" s="139"/>
      <c r="CL44" s="139"/>
      <c r="CM44" s="139"/>
      <c r="CN44" s="139"/>
      <c r="CO44" s="139"/>
      <c r="CP44" s="139"/>
      <c r="CQ44" s="139"/>
      <c r="CR44" s="139"/>
      <c r="CS44" s="139"/>
      <c r="CT44" s="139"/>
      <c r="CU44" s="139"/>
      <c r="CV44" s="139"/>
      <c r="CW44" s="139"/>
      <c r="CX44" s="139"/>
      <c r="CY44" s="139"/>
      <c r="CZ44" s="139"/>
      <c r="DA44" s="139"/>
      <c r="DB44" s="139"/>
      <c r="DC44" s="139"/>
      <c r="DD44" s="139"/>
      <c r="DE44" s="139"/>
      <c r="DF44" s="139"/>
      <c r="DG44" s="139"/>
      <c r="DH44" s="139"/>
      <c r="DI44" s="139"/>
      <c r="DJ44" s="139"/>
      <c r="DK44" s="139"/>
      <c r="DL44" s="139"/>
      <c r="DM44" s="139"/>
      <c r="DN44" s="139"/>
      <c r="DO44" s="139"/>
      <c r="DP44" s="139"/>
      <c r="DQ44" s="139"/>
      <c r="DR44" s="139"/>
      <c r="DS44" s="139"/>
      <c r="DT44" s="139"/>
      <c r="DU44" s="139"/>
      <c r="DV44" s="139"/>
      <c r="DW44" s="139"/>
      <c r="DX44" s="139"/>
      <c r="DY44" s="139"/>
      <c r="DZ44" s="139"/>
      <c r="EA44" s="139"/>
      <c r="EB44" s="139"/>
      <c r="EC44" s="139"/>
      <c r="ED44" s="139"/>
      <c r="EE44" s="139"/>
      <c r="EF44" s="139"/>
      <c r="EG44" s="139"/>
      <c r="EH44" s="139"/>
      <c r="EI44" s="139"/>
      <c r="EJ44" s="139"/>
      <c r="EK44" s="139"/>
      <c r="EL44" s="139"/>
      <c r="EM44" s="139"/>
      <c r="EN44" s="139"/>
      <c r="EO44" s="139"/>
      <c r="EP44" s="139"/>
      <c r="EQ44" s="139"/>
      <c r="ER44" s="139"/>
      <c r="ES44" s="139"/>
      <c r="ET44" s="139"/>
      <c r="EU44" s="139"/>
      <c r="EV44" s="139"/>
      <c r="EW44" s="139"/>
      <c r="EX44" s="139"/>
      <c r="EY44" s="139"/>
      <c r="EZ44" s="139"/>
      <c r="FA44" s="139"/>
      <c r="FB44" s="139"/>
      <c r="FC44" s="139"/>
      <c r="FD44" s="139"/>
      <c r="FE44" s="139"/>
      <c r="FF44" s="139"/>
      <c r="FG44" s="139"/>
      <c r="FH44" s="139"/>
      <c r="FI44" s="139"/>
      <c r="FJ44" s="139"/>
      <c r="FK44" s="139"/>
      <c r="FL44" s="139"/>
      <c r="FM44" s="139"/>
      <c r="FN44" s="139"/>
      <c r="FO44" s="139"/>
      <c r="FP44" s="139"/>
      <c r="FQ44" s="139"/>
      <c r="FR44" s="139"/>
      <c r="FS44" s="139"/>
      <c r="FT44" s="139"/>
      <c r="FU44" s="139"/>
      <c r="FV44" s="139"/>
      <c r="FW44" s="139"/>
      <c r="FX44" s="139"/>
      <c r="FY44" s="139"/>
      <c r="FZ44" s="139"/>
      <c r="GA44" s="139"/>
      <c r="GB44" s="139"/>
      <c r="GC44" s="139"/>
      <c r="GD44" s="139"/>
      <c r="GE44" s="139"/>
      <c r="GF44" s="139"/>
      <c r="GG44" s="139"/>
      <c r="GH44" s="139"/>
      <c r="GI44" s="139"/>
      <c r="GJ44" s="139"/>
      <c r="GK44" s="139"/>
      <c r="GL44" s="139"/>
      <c r="GM44" s="139"/>
      <c r="GN44" s="139"/>
      <c r="GO44" s="139"/>
      <c r="GP44" s="139"/>
      <c r="GQ44" s="139"/>
      <c r="GR44" s="139"/>
      <c r="GS44" s="139"/>
      <c r="GT44" s="139"/>
      <c r="GU44" s="139"/>
      <c r="GV44" s="139"/>
      <c r="GW44" s="139"/>
      <c r="GX44" s="139"/>
      <c r="GY44" s="139"/>
      <c r="GZ44" s="139"/>
      <c r="HA44" s="139"/>
      <c r="HB44" s="139"/>
      <c r="HC44" s="139"/>
      <c r="HD44" s="139"/>
      <c r="HE44" s="139"/>
      <c r="HF44" s="139"/>
      <c r="HG44" s="139"/>
      <c r="HH44" s="139"/>
      <c r="HI44" s="139"/>
      <c r="HJ44" s="139"/>
      <c r="HK44" s="139"/>
      <c r="HL44" s="139"/>
      <c r="HM44" s="139"/>
      <c r="HN44" s="139"/>
      <c r="HO44" s="139"/>
      <c r="HP44" s="139"/>
      <c r="HQ44" s="139"/>
      <c r="HR44" s="139"/>
      <c r="HS44" s="139"/>
      <c r="HT44" s="139"/>
      <c r="HU44" s="139"/>
      <c r="HV44" s="139"/>
      <c r="HW44" s="139"/>
      <c r="HX44" s="139"/>
      <c r="HY44" s="139"/>
      <c r="HZ44" s="139"/>
      <c r="IA44" s="139"/>
      <c r="IB44" s="139"/>
      <c r="IC44" s="139"/>
      <c r="ID44" s="139"/>
      <c r="IE44" s="139"/>
      <c r="IF44" s="139"/>
      <c r="IG44" s="139"/>
      <c r="IH44" s="139"/>
      <c r="II44" s="139"/>
      <c r="IJ44" s="139"/>
      <c r="IK44" s="139"/>
      <c r="IL44" s="139"/>
      <c r="IM44" s="139"/>
      <c r="IN44" s="139"/>
      <c r="IO44" s="139"/>
      <c r="IP44" s="139"/>
      <c r="IQ44" s="139"/>
      <c r="IR44" s="139"/>
      <c r="IS44" s="139"/>
    </row>
    <row r="45" spans="2:257" ht="21" x14ac:dyDescent="0.3">
      <c r="B45" s="567" t="s">
        <v>296</v>
      </c>
      <c r="D45" s="139"/>
      <c r="E45" s="139"/>
      <c r="F45" s="139"/>
      <c r="G45" s="139"/>
      <c r="H45" s="139"/>
      <c r="I45" s="487"/>
      <c r="J45" s="509"/>
      <c r="K45" s="139"/>
      <c r="L45" s="139"/>
      <c r="M45" s="139"/>
      <c r="N45" s="676"/>
      <c r="O45" s="676"/>
      <c r="P45" s="676"/>
      <c r="Q45" s="676"/>
      <c r="R45" s="676"/>
      <c r="S45" s="676"/>
      <c r="T45" s="139"/>
      <c r="U45" s="139"/>
      <c r="V45" s="139"/>
      <c r="W45" s="139"/>
      <c r="X45" s="139"/>
      <c r="Y45" s="139"/>
      <c r="Z45" s="139"/>
      <c r="AA45" s="139"/>
      <c r="AB45" s="139"/>
      <c r="AC45" s="139"/>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9"/>
      <c r="BZ45" s="139"/>
      <c r="CA45" s="139"/>
      <c r="CB45" s="139"/>
      <c r="CC45" s="139"/>
      <c r="CD45" s="139"/>
      <c r="CE45" s="139"/>
      <c r="CF45" s="139"/>
      <c r="CG45" s="139"/>
      <c r="CH45" s="139"/>
      <c r="CI45" s="139"/>
      <c r="CJ45" s="139"/>
      <c r="CK45" s="139"/>
      <c r="CL45" s="139"/>
      <c r="CM45" s="139"/>
      <c r="CN45" s="139"/>
      <c r="CO45" s="139"/>
      <c r="CP45" s="139"/>
      <c r="CQ45" s="139"/>
      <c r="CR45" s="139"/>
      <c r="CS45" s="139"/>
      <c r="CT45" s="139"/>
      <c r="CU45" s="139"/>
      <c r="CV45" s="139"/>
      <c r="CW45" s="139"/>
      <c r="CX45" s="139"/>
      <c r="CY45" s="139"/>
      <c r="CZ45" s="139"/>
      <c r="DA45" s="139"/>
      <c r="DB45" s="139"/>
      <c r="DC45" s="139"/>
      <c r="DD45" s="139"/>
      <c r="DE45" s="139"/>
      <c r="DF45" s="139"/>
      <c r="DG45" s="139"/>
      <c r="DH45" s="139"/>
      <c r="DI45" s="139"/>
      <c r="DJ45" s="139"/>
      <c r="DK45" s="139"/>
      <c r="DL45" s="139"/>
      <c r="DM45" s="139"/>
      <c r="DN45" s="139"/>
      <c r="DO45" s="139"/>
      <c r="DP45" s="139"/>
      <c r="DQ45" s="139"/>
      <c r="DR45" s="139"/>
      <c r="DS45" s="139"/>
      <c r="DT45" s="139"/>
      <c r="DU45" s="139"/>
      <c r="DV45" s="139"/>
      <c r="DW45" s="139"/>
      <c r="DX45" s="139"/>
      <c r="DY45" s="139"/>
      <c r="DZ45" s="139"/>
      <c r="EA45" s="139"/>
      <c r="EB45" s="139"/>
      <c r="EC45" s="139"/>
      <c r="ED45" s="139"/>
      <c r="EE45" s="139"/>
      <c r="EF45" s="139"/>
      <c r="EG45" s="139"/>
      <c r="EH45" s="139"/>
      <c r="EI45" s="139"/>
      <c r="EJ45" s="139"/>
      <c r="EK45" s="139"/>
      <c r="EL45" s="139"/>
      <c r="EM45" s="139"/>
      <c r="EN45" s="139"/>
      <c r="EO45" s="139"/>
      <c r="EP45" s="139"/>
      <c r="EQ45" s="139"/>
      <c r="ER45" s="139"/>
      <c r="ES45" s="139"/>
      <c r="ET45" s="139"/>
      <c r="EU45" s="139"/>
      <c r="EV45" s="139"/>
      <c r="EW45" s="139"/>
      <c r="EX45" s="139"/>
      <c r="EY45" s="139"/>
      <c r="EZ45" s="139"/>
      <c r="FA45" s="139"/>
      <c r="FB45" s="139"/>
      <c r="FC45" s="139"/>
      <c r="FD45" s="139"/>
      <c r="FE45" s="139"/>
      <c r="FF45" s="139"/>
      <c r="FG45" s="139"/>
      <c r="FH45" s="139"/>
      <c r="FI45" s="139"/>
      <c r="FJ45" s="139"/>
      <c r="FK45" s="139"/>
      <c r="FL45" s="139"/>
      <c r="FM45" s="139"/>
      <c r="FN45" s="139"/>
      <c r="FO45" s="139"/>
      <c r="FP45" s="139"/>
      <c r="FQ45" s="139"/>
      <c r="FR45" s="139"/>
      <c r="FS45" s="139"/>
      <c r="FT45" s="139"/>
      <c r="FU45" s="139"/>
      <c r="FV45" s="139"/>
      <c r="FW45" s="139"/>
      <c r="FX45" s="139"/>
      <c r="FY45" s="139"/>
      <c r="FZ45" s="139"/>
      <c r="GA45" s="139"/>
      <c r="GB45" s="139"/>
      <c r="GC45" s="139"/>
      <c r="GD45" s="139"/>
      <c r="GE45" s="139"/>
      <c r="GF45" s="139"/>
      <c r="GG45" s="139"/>
      <c r="GH45" s="139"/>
      <c r="GI45" s="139"/>
      <c r="GJ45" s="139"/>
      <c r="GK45" s="139"/>
      <c r="GL45" s="139"/>
      <c r="GM45" s="139"/>
      <c r="GN45" s="139"/>
      <c r="GO45" s="139"/>
      <c r="GP45" s="139"/>
      <c r="GQ45" s="139"/>
      <c r="GR45" s="139"/>
      <c r="GS45" s="139"/>
      <c r="GT45" s="139"/>
      <c r="GU45" s="139"/>
      <c r="GV45" s="139"/>
      <c r="GW45" s="139"/>
      <c r="GX45" s="139"/>
      <c r="GY45" s="139"/>
      <c r="GZ45" s="139"/>
      <c r="HA45" s="139"/>
      <c r="HB45" s="139"/>
      <c r="HC45" s="139"/>
      <c r="HD45" s="139"/>
      <c r="HE45" s="139"/>
      <c r="HF45" s="139"/>
      <c r="HG45" s="139"/>
      <c r="HH45" s="139"/>
      <c r="HI45" s="139"/>
      <c r="HJ45" s="139"/>
      <c r="HK45" s="139"/>
      <c r="HL45" s="139"/>
      <c r="HM45" s="139"/>
      <c r="HN45" s="139"/>
      <c r="HO45" s="139"/>
      <c r="HP45" s="139"/>
      <c r="HQ45" s="139"/>
      <c r="HR45" s="139"/>
      <c r="HS45" s="139"/>
      <c r="HT45" s="139"/>
      <c r="HU45" s="139"/>
      <c r="HV45" s="139"/>
      <c r="HW45" s="139"/>
      <c r="HX45" s="139"/>
      <c r="HY45" s="139"/>
      <c r="HZ45" s="139"/>
      <c r="IA45" s="139"/>
      <c r="IB45" s="139"/>
      <c r="IC45" s="139"/>
      <c r="ID45" s="139"/>
      <c r="IE45" s="139"/>
      <c r="IF45" s="139"/>
      <c r="IG45" s="139"/>
      <c r="IH45" s="139"/>
      <c r="II45" s="139"/>
      <c r="IJ45" s="139"/>
      <c r="IK45" s="139"/>
      <c r="IL45" s="139"/>
      <c r="IM45" s="139"/>
      <c r="IN45" s="139"/>
      <c r="IO45" s="139"/>
      <c r="IP45" s="139"/>
      <c r="IQ45" s="139"/>
      <c r="IR45" s="139"/>
      <c r="IS45" s="139"/>
    </row>
    <row r="46" spans="2:257" ht="15" thickBot="1" x14ac:dyDescent="0.35">
      <c r="B46" s="139"/>
      <c r="C46" s="144"/>
      <c r="D46" s="139"/>
      <c r="E46" s="139"/>
      <c r="F46" s="139"/>
      <c r="G46" s="139"/>
      <c r="H46" s="139"/>
      <c r="I46" s="139"/>
      <c r="J46" s="139"/>
      <c r="K46" s="139"/>
      <c r="L46" s="139"/>
      <c r="M46" s="139"/>
      <c r="N46" s="139"/>
      <c r="O46" s="139"/>
      <c r="P46" s="139"/>
      <c r="Q46" s="139"/>
      <c r="R46" s="139"/>
      <c r="S46" s="139"/>
      <c r="T46" s="139"/>
      <c r="U46" s="139"/>
      <c r="V46" s="139"/>
      <c r="W46" s="139"/>
      <c r="X46" s="139"/>
      <c r="Y46" s="139"/>
      <c r="Z46" s="139"/>
      <c r="AA46" s="139"/>
      <c r="AB46" s="139"/>
      <c r="AC46" s="139"/>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39"/>
      <c r="CD46" s="139"/>
      <c r="CE46" s="139"/>
      <c r="CF46" s="139"/>
      <c r="CG46" s="139"/>
      <c r="CH46" s="139"/>
      <c r="CI46" s="139"/>
      <c r="CJ46" s="139"/>
      <c r="CK46" s="139"/>
      <c r="CL46" s="139"/>
      <c r="CM46" s="139"/>
      <c r="CN46" s="139"/>
      <c r="CO46" s="139"/>
      <c r="CP46" s="139"/>
      <c r="CQ46" s="139"/>
      <c r="CR46" s="139"/>
      <c r="CS46" s="139"/>
      <c r="CT46" s="139"/>
      <c r="CU46" s="139"/>
      <c r="CV46" s="139"/>
      <c r="CW46" s="139"/>
      <c r="CX46" s="139"/>
      <c r="CY46" s="139"/>
      <c r="CZ46" s="139"/>
      <c r="DA46" s="139"/>
      <c r="DB46" s="139"/>
      <c r="DC46" s="139"/>
      <c r="DD46" s="139"/>
      <c r="DE46" s="139"/>
      <c r="DF46" s="139"/>
      <c r="DG46" s="139"/>
      <c r="DH46" s="139"/>
      <c r="DI46" s="139"/>
      <c r="DJ46" s="139"/>
      <c r="DK46" s="139"/>
      <c r="DL46" s="139"/>
      <c r="DM46" s="139"/>
      <c r="DN46" s="139"/>
      <c r="DO46" s="139"/>
      <c r="DP46" s="139"/>
      <c r="DQ46" s="139"/>
      <c r="DR46" s="139"/>
      <c r="DS46" s="139"/>
      <c r="DT46" s="139"/>
      <c r="DU46" s="139"/>
      <c r="DV46" s="139"/>
      <c r="DW46" s="139"/>
      <c r="DX46" s="139"/>
      <c r="DY46" s="139"/>
      <c r="DZ46" s="139"/>
      <c r="EA46" s="139"/>
      <c r="EB46" s="139"/>
      <c r="EC46" s="139"/>
      <c r="ED46" s="139"/>
      <c r="EE46" s="139"/>
      <c r="EF46" s="139"/>
      <c r="EG46" s="139"/>
      <c r="EH46" s="139"/>
      <c r="EI46" s="139"/>
      <c r="EJ46" s="139"/>
      <c r="EK46" s="139"/>
      <c r="EL46" s="139"/>
      <c r="EM46" s="139"/>
      <c r="EN46" s="139"/>
      <c r="EO46" s="139"/>
      <c r="EP46" s="139"/>
      <c r="EQ46" s="139"/>
      <c r="ER46" s="139"/>
      <c r="ES46" s="139"/>
      <c r="ET46" s="139"/>
      <c r="EU46" s="139"/>
      <c r="EV46" s="139"/>
      <c r="EW46" s="139"/>
      <c r="EX46" s="139"/>
      <c r="EY46" s="139"/>
      <c r="EZ46" s="139"/>
      <c r="FA46" s="139"/>
      <c r="FB46" s="139"/>
      <c r="FC46" s="139"/>
      <c r="FD46" s="139"/>
      <c r="FE46" s="139"/>
      <c r="FF46" s="139"/>
      <c r="FG46" s="139"/>
      <c r="FH46" s="139"/>
      <c r="FI46" s="139"/>
      <c r="FJ46" s="139"/>
      <c r="FK46" s="139"/>
      <c r="FL46" s="139"/>
      <c r="FM46" s="139"/>
      <c r="FN46" s="139"/>
      <c r="FO46" s="139"/>
      <c r="FP46" s="139"/>
      <c r="FQ46" s="139"/>
      <c r="FR46" s="139"/>
      <c r="FS46" s="139"/>
      <c r="FT46" s="139"/>
      <c r="FU46" s="139"/>
      <c r="FV46" s="139"/>
      <c r="FW46" s="139"/>
      <c r="FX46" s="139"/>
      <c r="FY46" s="139"/>
      <c r="FZ46" s="139"/>
      <c r="GA46" s="139"/>
      <c r="GB46" s="139"/>
      <c r="GC46" s="139"/>
      <c r="GD46" s="139"/>
      <c r="GE46" s="139"/>
      <c r="GF46" s="139"/>
      <c r="GG46" s="139"/>
      <c r="GH46" s="139"/>
      <c r="GI46" s="139"/>
      <c r="GJ46" s="139"/>
      <c r="GK46" s="139"/>
      <c r="GL46" s="139"/>
      <c r="GM46" s="139"/>
      <c r="GN46" s="139"/>
      <c r="GO46" s="139"/>
      <c r="GP46" s="139"/>
      <c r="GQ46" s="139"/>
      <c r="GR46" s="139"/>
      <c r="GS46" s="139"/>
      <c r="GT46" s="139"/>
      <c r="GU46" s="139"/>
      <c r="GV46" s="139"/>
      <c r="GW46" s="139"/>
      <c r="GX46" s="139"/>
      <c r="GY46" s="139"/>
      <c r="GZ46" s="139"/>
      <c r="HA46" s="139"/>
      <c r="HB46" s="139"/>
      <c r="HC46" s="139"/>
      <c r="HD46" s="139"/>
      <c r="HE46" s="139"/>
      <c r="HF46" s="139"/>
      <c r="HG46" s="139"/>
      <c r="HH46" s="139"/>
      <c r="HI46" s="139"/>
      <c r="HJ46" s="139"/>
      <c r="HK46" s="139"/>
      <c r="HL46" s="139"/>
      <c r="HM46" s="139"/>
      <c r="HN46" s="139"/>
      <c r="HO46" s="139"/>
      <c r="HP46" s="139"/>
      <c r="HQ46" s="139"/>
      <c r="HR46" s="139"/>
      <c r="HS46" s="139"/>
      <c r="HT46" s="139"/>
      <c r="HU46" s="139"/>
      <c r="HV46" s="139"/>
      <c r="HW46" s="139"/>
      <c r="HX46" s="139"/>
      <c r="HY46" s="139"/>
      <c r="HZ46" s="139"/>
      <c r="IA46" s="139"/>
      <c r="IB46" s="139"/>
      <c r="IC46" s="139"/>
      <c r="ID46" s="139"/>
      <c r="IE46" s="139"/>
      <c r="IF46" s="139"/>
      <c r="IG46" s="139"/>
      <c r="IH46" s="139"/>
      <c r="II46" s="139"/>
      <c r="IJ46" s="139"/>
      <c r="IK46" s="139"/>
      <c r="IL46" s="139"/>
      <c r="IM46" s="139"/>
      <c r="IN46" s="139"/>
      <c r="IO46" s="139"/>
      <c r="IP46" s="139"/>
      <c r="IQ46" s="139"/>
      <c r="IR46" s="139"/>
      <c r="IS46" s="139"/>
    </row>
    <row r="47" spans="2:257" x14ac:dyDescent="0.3">
      <c r="B47" s="1325" t="s">
        <v>199</v>
      </c>
      <c r="C47" s="1328" t="s">
        <v>200</v>
      </c>
      <c r="D47" s="1317" t="s">
        <v>50</v>
      </c>
      <c r="E47" s="1318"/>
      <c r="F47" s="1318"/>
      <c r="G47" s="1318"/>
      <c r="H47" s="1318"/>
      <c r="I47" s="1318"/>
      <c r="J47" s="1318"/>
      <c r="K47" s="1318"/>
      <c r="L47" s="1318"/>
      <c r="M47" s="1318"/>
      <c r="N47" s="1318"/>
      <c r="O47" s="1318"/>
      <c r="P47" s="1318"/>
      <c r="Q47" s="1318"/>
      <c r="R47" s="1318"/>
      <c r="S47" s="1318"/>
      <c r="T47" s="1318"/>
      <c r="U47" s="1318"/>
      <c r="V47" s="1318"/>
      <c r="W47" s="1318"/>
      <c r="X47" s="1318"/>
      <c r="Y47" s="1318"/>
      <c r="Z47" s="1318"/>
      <c r="AA47" s="1318"/>
      <c r="AB47" s="1318"/>
      <c r="AC47" s="1318"/>
      <c r="AD47" s="1318"/>
      <c r="AE47" s="1318"/>
      <c r="AF47" s="1318"/>
      <c r="AG47" s="1318"/>
      <c r="AH47" s="1318"/>
      <c r="AI47" s="1319"/>
      <c r="AJ47" s="1350" t="s">
        <v>96</v>
      </c>
      <c r="AK47" s="165"/>
      <c r="AL47" s="165"/>
      <c r="AM47" s="165"/>
      <c r="AN47" s="165"/>
      <c r="AO47" s="139"/>
      <c r="AP47" s="139"/>
      <c r="AQ47" s="139"/>
      <c r="AR47" s="139"/>
      <c r="AS47" s="139"/>
      <c r="AT47" s="139"/>
      <c r="AU47" s="139"/>
      <c r="AV47" s="139"/>
      <c r="AW47" s="139"/>
      <c r="AX47" s="139"/>
      <c r="AY47" s="139"/>
      <c r="AZ47" s="139"/>
      <c r="BA47" s="139"/>
      <c r="BB47" s="139"/>
      <c r="BC47" s="139"/>
      <c r="BD47" s="139"/>
      <c r="BE47" s="139"/>
      <c r="BF47" s="139"/>
      <c r="BG47" s="139"/>
      <c r="BH47" s="139"/>
      <c r="BI47" s="139"/>
      <c r="BJ47" s="139"/>
      <c r="BK47" s="139"/>
      <c r="BL47" s="139"/>
      <c r="BM47" s="139"/>
      <c r="BN47" s="139"/>
      <c r="BO47" s="139"/>
      <c r="BP47" s="139"/>
      <c r="BQ47" s="139"/>
      <c r="BR47" s="139"/>
      <c r="BS47" s="139"/>
      <c r="BT47" s="139"/>
      <c r="BU47" s="139"/>
      <c r="BV47" s="139"/>
      <c r="BW47" s="139"/>
      <c r="BX47" s="139"/>
      <c r="BY47" s="139"/>
      <c r="BZ47" s="139"/>
      <c r="CA47" s="139"/>
      <c r="CB47" s="139"/>
      <c r="CC47" s="139"/>
      <c r="CD47" s="139"/>
      <c r="CE47" s="139"/>
      <c r="CF47" s="139"/>
      <c r="CG47" s="139"/>
      <c r="CH47" s="139"/>
      <c r="CI47" s="139"/>
      <c r="CJ47" s="139"/>
      <c r="CK47" s="139"/>
      <c r="CL47" s="139"/>
      <c r="CM47" s="139"/>
      <c r="CN47" s="139"/>
      <c r="CO47" s="139"/>
      <c r="CP47" s="139"/>
      <c r="CQ47" s="139"/>
      <c r="CR47" s="139"/>
      <c r="CS47" s="139"/>
      <c r="CT47" s="139"/>
      <c r="CU47" s="139"/>
      <c r="CV47" s="139"/>
      <c r="CW47" s="139"/>
      <c r="CX47" s="139"/>
      <c r="CY47" s="139"/>
      <c r="CZ47" s="139"/>
      <c r="DA47" s="139"/>
      <c r="DB47" s="139"/>
      <c r="DC47" s="139"/>
      <c r="DD47" s="139"/>
      <c r="DE47" s="139"/>
      <c r="DF47" s="139"/>
      <c r="DG47" s="139"/>
      <c r="DH47" s="139"/>
      <c r="DI47" s="139"/>
      <c r="DJ47" s="139"/>
      <c r="DK47" s="139"/>
      <c r="DL47" s="139"/>
      <c r="DM47" s="139"/>
      <c r="DN47" s="139"/>
      <c r="DO47" s="139"/>
      <c r="DP47" s="139"/>
      <c r="DQ47" s="139"/>
      <c r="DR47" s="139"/>
      <c r="DS47" s="139"/>
      <c r="DT47" s="139"/>
      <c r="DU47" s="139"/>
      <c r="DV47" s="139"/>
      <c r="DW47" s="139"/>
      <c r="DX47" s="139"/>
      <c r="DY47" s="139"/>
      <c r="DZ47" s="139"/>
      <c r="EA47" s="139"/>
      <c r="EB47" s="139"/>
      <c r="EC47" s="139"/>
      <c r="ED47" s="139"/>
      <c r="EE47" s="139"/>
      <c r="EF47" s="139"/>
      <c r="EG47" s="139"/>
      <c r="EH47" s="139"/>
      <c r="EI47" s="139"/>
      <c r="EJ47" s="139"/>
      <c r="EK47" s="139"/>
      <c r="EL47" s="139"/>
      <c r="EM47" s="139"/>
      <c r="EN47" s="139"/>
      <c r="EO47" s="139"/>
      <c r="EP47" s="139"/>
      <c r="EQ47" s="139"/>
      <c r="ER47" s="139"/>
      <c r="ES47" s="139"/>
      <c r="ET47" s="139"/>
      <c r="EU47" s="139"/>
      <c r="EV47" s="139"/>
      <c r="EW47" s="139"/>
      <c r="EX47" s="139"/>
      <c r="EY47" s="139"/>
      <c r="EZ47" s="139"/>
      <c r="FA47" s="139"/>
      <c r="FB47" s="139"/>
      <c r="FC47" s="139"/>
      <c r="FD47" s="139"/>
      <c r="FE47" s="139"/>
      <c r="FF47" s="139"/>
      <c r="FG47" s="139"/>
      <c r="FH47" s="139"/>
      <c r="FI47" s="139"/>
      <c r="FJ47" s="139"/>
      <c r="FK47" s="139"/>
      <c r="FL47" s="139"/>
      <c r="FM47" s="139"/>
      <c r="FN47" s="139"/>
      <c r="FO47" s="139"/>
      <c r="FP47" s="139"/>
      <c r="FQ47" s="139"/>
      <c r="FR47" s="139"/>
      <c r="FS47" s="139"/>
      <c r="FT47" s="139"/>
      <c r="FU47" s="139"/>
      <c r="FV47" s="139"/>
      <c r="FW47" s="139"/>
      <c r="FX47" s="139"/>
      <c r="FY47" s="139"/>
      <c r="FZ47" s="139"/>
      <c r="GA47" s="139"/>
      <c r="GB47" s="139"/>
      <c r="GC47" s="139"/>
      <c r="GD47" s="139"/>
      <c r="GE47" s="139"/>
      <c r="GF47" s="139"/>
      <c r="GG47" s="139"/>
      <c r="GH47" s="139"/>
      <c r="GI47" s="139"/>
      <c r="GJ47" s="139"/>
      <c r="GK47" s="139"/>
      <c r="GL47" s="139"/>
      <c r="GM47" s="139"/>
      <c r="GN47" s="139"/>
      <c r="GO47" s="139"/>
      <c r="GP47" s="139"/>
      <c r="GQ47" s="139"/>
      <c r="GR47" s="139"/>
      <c r="GS47" s="139"/>
      <c r="GT47" s="139"/>
      <c r="GU47" s="139"/>
      <c r="GV47" s="139"/>
      <c r="GW47" s="139"/>
      <c r="GX47" s="139"/>
      <c r="GY47" s="139"/>
      <c r="GZ47" s="139"/>
      <c r="HA47" s="139"/>
      <c r="HB47" s="139"/>
      <c r="HC47" s="139"/>
      <c r="HD47" s="139"/>
      <c r="HE47" s="139"/>
      <c r="HF47" s="139"/>
      <c r="HG47" s="139"/>
      <c r="HH47" s="139"/>
      <c r="HI47" s="139"/>
      <c r="HJ47" s="139"/>
      <c r="HK47" s="139"/>
      <c r="HL47" s="139"/>
      <c r="HM47" s="139"/>
      <c r="HN47" s="139"/>
      <c r="HO47" s="139"/>
      <c r="HP47" s="139"/>
      <c r="HQ47" s="139"/>
      <c r="HR47" s="139"/>
      <c r="HS47" s="139"/>
      <c r="HT47" s="139"/>
      <c r="HU47" s="139"/>
      <c r="HV47" s="139"/>
      <c r="HW47" s="139"/>
      <c r="HX47" s="139"/>
      <c r="HY47" s="139"/>
      <c r="HZ47" s="139"/>
      <c r="IA47" s="139"/>
      <c r="IB47" s="139"/>
      <c r="IC47" s="139"/>
      <c r="ID47" s="139"/>
      <c r="IE47" s="139"/>
      <c r="IF47" s="139"/>
      <c r="IG47" s="139"/>
      <c r="IH47" s="139"/>
      <c r="II47" s="139"/>
      <c r="IJ47" s="139"/>
      <c r="IK47" s="139"/>
      <c r="IL47" s="139"/>
      <c r="IM47" s="139"/>
      <c r="IN47" s="139"/>
      <c r="IO47" s="139"/>
      <c r="IP47" s="139"/>
      <c r="IQ47" s="139"/>
      <c r="IR47" s="139"/>
    </row>
    <row r="48" spans="2:257" ht="15" customHeight="1" x14ac:dyDescent="0.3">
      <c r="B48" s="1326"/>
      <c r="C48" s="1329"/>
      <c r="D48" s="1342" t="s">
        <v>297</v>
      </c>
      <c r="E48" s="1323"/>
      <c r="F48" s="1323"/>
      <c r="G48" s="1323"/>
      <c r="H48" s="1323"/>
      <c r="I48" s="1323"/>
      <c r="J48" s="1323"/>
      <c r="K48" s="1323"/>
      <c r="L48" s="1323"/>
      <c r="M48" s="1323"/>
      <c r="N48" s="1323"/>
      <c r="O48" s="1324"/>
      <c r="P48" s="1331" t="s">
        <v>298</v>
      </c>
      <c r="Q48" s="1323"/>
      <c r="R48" s="1323"/>
      <c r="S48" s="1323"/>
      <c r="T48" s="1323"/>
      <c r="U48" s="1323"/>
      <c r="V48" s="1323"/>
      <c r="W48" s="1323"/>
      <c r="X48" s="1323"/>
      <c r="Y48" s="1323"/>
      <c r="Z48" s="1324"/>
      <c r="AA48" s="1353" t="s">
        <v>299</v>
      </c>
      <c r="AB48" s="1354"/>
      <c r="AC48" s="1353" t="s">
        <v>300</v>
      </c>
      <c r="AD48" s="1354"/>
      <c r="AE48" s="1353" t="s">
        <v>301</v>
      </c>
      <c r="AF48" s="1354"/>
      <c r="AG48" s="925" t="s">
        <v>302</v>
      </c>
      <c r="AH48" s="926" t="s">
        <v>303</v>
      </c>
      <c r="AI48" s="927" t="s">
        <v>304</v>
      </c>
      <c r="AJ48" s="1351"/>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9"/>
      <c r="BZ48" s="139"/>
      <c r="CA48" s="139"/>
      <c r="CB48" s="139"/>
      <c r="CC48" s="139"/>
      <c r="CD48" s="139"/>
      <c r="CE48" s="139"/>
      <c r="CF48" s="139"/>
      <c r="CG48" s="139"/>
      <c r="CH48" s="139"/>
      <c r="CI48" s="139"/>
      <c r="CJ48" s="139"/>
      <c r="CK48" s="139"/>
      <c r="CL48" s="139"/>
      <c r="CM48" s="139"/>
      <c r="CN48" s="139"/>
      <c r="CO48" s="139"/>
      <c r="CP48" s="139"/>
      <c r="CQ48" s="139"/>
      <c r="CR48" s="139"/>
      <c r="CS48" s="139"/>
      <c r="CT48" s="139"/>
      <c r="CU48" s="139"/>
      <c r="CV48" s="139"/>
      <c r="CW48" s="139"/>
      <c r="CX48" s="139"/>
      <c r="CY48" s="139"/>
      <c r="CZ48" s="139"/>
      <c r="DA48" s="139"/>
      <c r="DB48" s="139"/>
      <c r="DC48" s="139"/>
      <c r="DD48" s="139"/>
      <c r="DE48" s="139"/>
      <c r="DF48" s="139"/>
      <c r="DG48" s="139"/>
      <c r="DH48" s="139"/>
      <c r="DI48" s="139"/>
      <c r="DJ48" s="139"/>
      <c r="DK48" s="139"/>
      <c r="DL48" s="139"/>
      <c r="DM48" s="139"/>
      <c r="DN48" s="139"/>
      <c r="DO48" s="139"/>
      <c r="DP48" s="139"/>
      <c r="DQ48" s="139"/>
      <c r="DR48" s="139"/>
      <c r="DS48" s="139"/>
      <c r="DT48" s="139"/>
      <c r="DU48" s="139"/>
      <c r="DV48" s="139"/>
      <c r="DW48" s="139"/>
      <c r="DX48" s="139"/>
      <c r="DY48" s="139"/>
      <c r="DZ48" s="139"/>
      <c r="EA48" s="139"/>
      <c r="EB48" s="139"/>
      <c r="EC48" s="139"/>
      <c r="ED48" s="139"/>
      <c r="EE48" s="139"/>
      <c r="EF48" s="139"/>
      <c r="EG48" s="139"/>
      <c r="EH48" s="139"/>
      <c r="EI48" s="139"/>
      <c r="EJ48" s="139"/>
      <c r="EK48" s="139"/>
      <c r="EL48" s="139"/>
      <c r="EM48" s="139"/>
      <c r="EN48" s="139"/>
      <c r="EO48" s="139"/>
      <c r="EP48" s="139"/>
      <c r="EQ48" s="139"/>
      <c r="ER48" s="139"/>
      <c r="ES48" s="139"/>
      <c r="ET48" s="139"/>
      <c r="EU48" s="139"/>
      <c r="EV48" s="139"/>
      <c r="EW48" s="139"/>
      <c r="EX48" s="139"/>
      <c r="EY48" s="139"/>
      <c r="EZ48" s="139"/>
      <c r="FA48" s="139"/>
      <c r="FB48" s="139"/>
      <c r="FC48" s="139"/>
      <c r="FD48" s="139"/>
      <c r="FE48" s="139"/>
      <c r="FF48" s="139"/>
      <c r="FG48" s="139"/>
      <c r="FH48" s="139"/>
      <c r="FI48" s="139"/>
      <c r="FJ48" s="139"/>
      <c r="FK48" s="139"/>
      <c r="FL48" s="139"/>
      <c r="FM48" s="139"/>
      <c r="FN48" s="139"/>
      <c r="FO48" s="139"/>
      <c r="FP48" s="139"/>
      <c r="FQ48" s="139"/>
      <c r="FR48" s="139"/>
      <c r="FS48" s="139"/>
      <c r="FT48" s="139"/>
      <c r="FU48" s="139"/>
      <c r="FV48" s="139"/>
      <c r="FW48" s="139"/>
      <c r="FX48" s="139"/>
      <c r="FY48" s="139"/>
      <c r="FZ48" s="139"/>
      <c r="GA48" s="139"/>
      <c r="GB48" s="139"/>
      <c r="GC48" s="139"/>
      <c r="GD48" s="139"/>
      <c r="GE48" s="139"/>
      <c r="GF48" s="139"/>
      <c r="GG48" s="139"/>
      <c r="GH48" s="139"/>
      <c r="GI48" s="139"/>
      <c r="GJ48" s="139"/>
      <c r="GK48" s="139"/>
      <c r="GL48" s="139"/>
      <c r="GM48" s="139"/>
      <c r="GN48" s="139"/>
      <c r="GO48" s="139"/>
      <c r="GP48" s="139"/>
      <c r="GQ48" s="139"/>
      <c r="GR48" s="139"/>
      <c r="GS48" s="139"/>
      <c r="GT48" s="139"/>
      <c r="GU48" s="139"/>
      <c r="GV48" s="139"/>
      <c r="GW48" s="139"/>
      <c r="GX48" s="139"/>
      <c r="GY48" s="139"/>
      <c r="GZ48" s="139"/>
      <c r="HA48" s="139"/>
      <c r="HB48" s="139"/>
      <c r="HC48" s="139"/>
      <c r="HD48" s="139"/>
      <c r="HE48" s="139"/>
      <c r="HF48" s="139"/>
      <c r="HG48" s="139"/>
      <c r="HH48" s="139"/>
      <c r="HI48" s="139"/>
      <c r="HJ48" s="139"/>
      <c r="HK48" s="139"/>
      <c r="HL48" s="139"/>
      <c r="HM48" s="139"/>
      <c r="HN48" s="139"/>
      <c r="HO48" s="139"/>
      <c r="HP48" s="139"/>
      <c r="HQ48" s="139"/>
      <c r="HR48" s="139"/>
      <c r="HS48" s="139"/>
      <c r="HT48" s="139"/>
      <c r="HU48" s="139"/>
      <c r="HV48" s="139"/>
      <c r="HW48" s="139"/>
      <c r="HX48" s="139"/>
      <c r="HY48" s="139"/>
      <c r="HZ48" s="139"/>
      <c r="IA48" s="139"/>
      <c r="IB48" s="139"/>
      <c r="IC48" s="139"/>
      <c r="ID48" s="139"/>
      <c r="IE48" s="139"/>
      <c r="IF48" s="139"/>
      <c r="IG48" s="139"/>
      <c r="IH48" s="139"/>
      <c r="II48" s="139"/>
      <c r="IJ48" s="139"/>
      <c r="IK48" s="139"/>
      <c r="IL48" s="139"/>
      <c r="IM48" s="139"/>
      <c r="IN48" s="139"/>
      <c r="IO48" s="139"/>
      <c r="IP48" s="139"/>
      <c r="IQ48" s="139"/>
      <c r="IR48" s="139"/>
    </row>
    <row r="49" spans="2:252" x14ac:dyDescent="0.3">
      <c r="B49" s="1326"/>
      <c r="C49" s="1329"/>
      <c r="D49" s="928" t="s">
        <v>305</v>
      </c>
      <c r="E49" s="928" t="s">
        <v>306</v>
      </c>
      <c r="F49" s="1309" t="s">
        <v>307</v>
      </c>
      <c r="G49" s="1309"/>
      <c r="H49" s="1309"/>
      <c r="I49" s="1309"/>
      <c r="J49" s="1355" t="s">
        <v>308</v>
      </c>
      <c r="K49" s="1355"/>
      <c r="L49" s="1342" t="s">
        <v>309</v>
      </c>
      <c r="M49" s="1323"/>
      <c r="N49" s="1323"/>
      <c r="O49" s="1324"/>
      <c r="P49" s="929" t="s">
        <v>305</v>
      </c>
      <c r="Q49" s="928" t="s">
        <v>306</v>
      </c>
      <c r="R49" s="1356" t="s">
        <v>307</v>
      </c>
      <c r="S49" s="1357"/>
      <c r="T49" s="1357"/>
      <c r="U49" s="1358"/>
      <c r="V49" s="1355" t="s">
        <v>308</v>
      </c>
      <c r="W49" s="1355"/>
      <c r="X49" s="1355" t="s">
        <v>309</v>
      </c>
      <c r="Y49" s="1355"/>
      <c r="Z49" s="1305"/>
      <c r="AA49" s="929" t="s">
        <v>305</v>
      </c>
      <c r="AB49" s="930" t="s">
        <v>306</v>
      </c>
      <c r="AC49" s="929" t="s">
        <v>305</v>
      </c>
      <c r="AD49" s="930" t="s">
        <v>306</v>
      </c>
      <c r="AE49" s="929" t="s">
        <v>305</v>
      </c>
      <c r="AF49" s="930" t="s">
        <v>306</v>
      </c>
      <c r="AG49" s="930" t="s">
        <v>306</v>
      </c>
      <c r="AH49" s="931" t="s">
        <v>306</v>
      </c>
      <c r="AI49" s="932" t="s">
        <v>306</v>
      </c>
      <c r="AJ49" s="1352"/>
      <c r="AK49" s="139"/>
      <c r="AL49" s="139"/>
      <c r="AM49" s="139"/>
      <c r="AN49" s="139"/>
      <c r="AO49" s="165"/>
      <c r="AP49" s="165"/>
      <c r="AQ49" s="165"/>
      <c r="AR49" s="165"/>
      <c r="AS49" s="165"/>
      <c r="AT49" s="165"/>
      <c r="AU49" s="165"/>
      <c r="AV49" s="165"/>
      <c r="AW49" s="165"/>
      <c r="AX49" s="165"/>
      <c r="AY49" s="165"/>
      <c r="AZ49" s="165"/>
      <c r="BA49" s="165"/>
      <c r="BB49" s="165"/>
      <c r="BC49" s="165"/>
      <c r="BD49" s="165"/>
      <c r="BE49" s="165"/>
      <c r="BF49" s="165"/>
      <c r="BG49" s="165"/>
      <c r="BH49" s="165"/>
      <c r="BI49" s="165"/>
      <c r="BJ49" s="165"/>
      <c r="BK49" s="165"/>
      <c r="BL49" s="165"/>
      <c r="BM49" s="165"/>
      <c r="BN49" s="165"/>
      <c r="BO49" s="165"/>
      <c r="BP49" s="165"/>
      <c r="BQ49" s="165"/>
      <c r="BR49" s="165"/>
      <c r="BS49" s="165"/>
      <c r="BT49" s="165"/>
      <c r="BU49" s="165"/>
      <c r="BV49" s="165"/>
      <c r="BW49" s="165"/>
      <c r="BX49" s="165"/>
      <c r="BY49" s="165"/>
      <c r="BZ49" s="165"/>
      <c r="CA49" s="165"/>
      <c r="CB49" s="165"/>
      <c r="CC49" s="165"/>
      <c r="CD49" s="165"/>
      <c r="CE49" s="165"/>
      <c r="CF49" s="165"/>
      <c r="CG49" s="165"/>
      <c r="CH49" s="165"/>
      <c r="CI49" s="165"/>
      <c r="CJ49" s="165"/>
      <c r="CK49" s="165"/>
      <c r="CL49" s="165"/>
      <c r="CM49" s="165"/>
      <c r="CN49" s="165"/>
      <c r="CO49" s="165"/>
      <c r="CP49" s="165"/>
      <c r="CQ49" s="165"/>
      <c r="CR49" s="165"/>
      <c r="CS49" s="165"/>
      <c r="CT49" s="165"/>
      <c r="CU49" s="165"/>
      <c r="CV49" s="165"/>
      <c r="CW49" s="165"/>
      <c r="CX49" s="165"/>
      <c r="CY49" s="165"/>
      <c r="CZ49" s="165"/>
      <c r="DA49" s="165"/>
      <c r="DB49" s="165"/>
      <c r="DC49" s="165"/>
      <c r="DD49" s="165"/>
      <c r="DE49" s="165"/>
      <c r="DF49" s="165"/>
      <c r="DG49" s="165"/>
      <c r="DH49" s="165"/>
      <c r="DI49" s="165"/>
      <c r="DJ49" s="165"/>
      <c r="DK49" s="165"/>
      <c r="DL49" s="165"/>
      <c r="DM49" s="165"/>
      <c r="DN49" s="165"/>
      <c r="DO49" s="165"/>
      <c r="DP49" s="165"/>
      <c r="DQ49" s="165"/>
      <c r="DR49" s="165"/>
      <c r="DS49" s="165"/>
      <c r="DT49" s="165"/>
      <c r="DU49" s="165"/>
      <c r="DV49" s="165"/>
      <c r="DW49" s="165"/>
      <c r="DX49" s="165"/>
      <c r="DY49" s="165"/>
      <c r="DZ49" s="165"/>
      <c r="EA49" s="165"/>
      <c r="EB49" s="165"/>
      <c r="EC49" s="165"/>
      <c r="ED49" s="165"/>
      <c r="EE49" s="165"/>
      <c r="EF49" s="165"/>
      <c r="EG49" s="165"/>
      <c r="EH49" s="165"/>
      <c r="EI49" s="165"/>
      <c r="EJ49" s="165"/>
      <c r="EK49" s="165"/>
      <c r="EL49" s="165"/>
      <c r="EM49" s="165"/>
      <c r="EN49" s="165"/>
      <c r="EO49" s="165"/>
      <c r="EP49" s="165"/>
      <c r="EQ49" s="165"/>
      <c r="ER49" s="165"/>
      <c r="ES49" s="165"/>
      <c r="ET49" s="165"/>
      <c r="EU49" s="165"/>
      <c r="EV49" s="165"/>
      <c r="EW49" s="165"/>
      <c r="EX49" s="165"/>
      <c r="EY49" s="165"/>
      <c r="EZ49" s="165"/>
      <c r="FA49" s="165"/>
      <c r="FB49" s="165"/>
      <c r="FC49" s="165"/>
      <c r="FD49" s="165"/>
      <c r="FE49" s="165"/>
      <c r="FF49" s="165"/>
      <c r="FG49" s="165"/>
      <c r="FH49" s="165"/>
      <c r="FI49" s="165"/>
      <c r="FJ49" s="165"/>
      <c r="FK49" s="165"/>
      <c r="FL49" s="165"/>
      <c r="FM49" s="165"/>
      <c r="FN49" s="165"/>
      <c r="FO49" s="165"/>
      <c r="FP49" s="165"/>
      <c r="FQ49" s="165"/>
      <c r="FR49" s="165"/>
      <c r="FS49" s="165"/>
      <c r="FT49" s="165"/>
      <c r="FU49" s="165"/>
      <c r="FV49" s="165"/>
      <c r="FW49" s="165"/>
      <c r="FX49" s="165"/>
      <c r="FY49" s="165"/>
      <c r="FZ49" s="165"/>
      <c r="GA49" s="165"/>
      <c r="GB49" s="165"/>
      <c r="GC49" s="165"/>
      <c r="GD49" s="165"/>
      <c r="GE49" s="165"/>
      <c r="GF49" s="165"/>
      <c r="GG49" s="165"/>
      <c r="GH49" s="165"/>
      <c r="GI49" s="165"/>
      <c r="GJ49" s="165"/>
      <c r="GK49" s="165"/>
      <c r="GL49" s="165"/>
      <c r="GM49" s="165"/>
      <c r="GN49" s="165"/>
      <c r="GO49" s="165"/>
      <c r="GP49" s="165"/>
      <c r="GQ49" s="165"/>
      <c r="GR49" s="165"/>
      <c r="GS49" s="165"/>
      <c r="GT49" s="165"/>
      <c r="GU49" s="165"/>
      <c r="GV49" s="165"/>
      <c r="GW49" s="165"/>
      <c r="GX49" s="165"/>
      <c r="GY49" s="165"/>
      <c r="GZ49" s="165"/>
      <c r="HA49" s="165"/>
      <c r="HB49" s="165"/>
      <c r="HC49" s="165"/>
      <c r="HD49" s="165"/>
      <c r="HE49" s="165"/>
      <c r="HF49" s="165"/>
      <c r="HG49" s="165"/>
      <c r="HH49" s="165"/>
      <c r="HI49" s="165"/>
      <c r="HJ49" s="165"/>
      <c r="HK49" s="165"/>
      <c r="HL49" s="165"/>
      <c r="HM49" s="165"/>
      <c r="HN49" s="165"/>
      <c r="HO49" s="165"/>
      <c r="HP49" s="165"/>
      <c r="HQ49" s="165"/>
      <c r="HR49" s="165"/>
      <c r="HS49" s="165"/>
      <c r="HT49" s="165"/>
      <c r="HU49" s="165"/>
      <c r="HV49" s="165"/>
      <c r="HW49" s="165"/>
      <c r="HX49" s="165"/>
      <c r="HY49" s="165"/>
      <c r="HZ49" s="165"/>
      <c r="IA49" s="165"/>
      <c r="IB49" s="165"/>
      <c r="IC49" s="165"/>
      <c r="ID49" s="165"/>
      <c r="IE49" s="165"/>
      <c r="IF49" s="165"/>
      <c r="IG49" s="165"/>
      <c r="IH49" s="165"/>
      <c r="II49" s="165"/>
      <c r="IJ49" s="165"/>
      <c r="IK49" s="165"/>
      <c r="IL49" s="165"/>
      <c r="IM49" s="165"/>
      <c r="IN49" s="165"/>
      <c r="IO49" s="165"/>
      <c r="IP49" s="165"/>
      <c r="IQ49" s="165"/>
      <c r="IR49" s="165"/>
    </row>
    <row r="50" spans="2:252" x14ac:dyDescent="0.3">
      <c r="B50" s="1327"/>
      <c r="C50" s="1330"/>
      <c r="D50" s="933" t="s">
        <v>310</v>
      </c>
      <c r="E50" s="933" t="s">
        <v>310</v>
      </c>
      <c r="F50" s="934" t="s">
        <v>311</v>
      </c>
      <c r="G50" s="934" t="s">
        <v>312</v>
      </c>
      <c r="H50" s="934" t="s">
        <v>313</v>
      </c>
      <c r="I50" s="934" t="s">
        <v>314</v>
      </c>
      <c r="J50" s="935" t="s">
        <v>311</v>
      </c>
      <c r="K50" s="934" t="s">
        <v>314</v>
      </c>
      <c r="L50" s="933" t="s">
        <v>315</v>
      </c>
      <c r="M50" s="936" t="s">
        <v>316</v>
      </c>
      <c r="N50" s="933" t="s">
        <v>317</v>
      </c>
      <c r="O50" s="937" t="s">
        <v>318</v>
      </c>
      <c r="P50" s="938" t="s">
        <v>310</v>
      </c>
      <c r="Q50" s="936" t="s">
        <v>310</v>
      </c>
      <c r="R50" s="934" t="s">
        <v>311</v>
      </c>
      <c r="S50" s="934" t="s">
        <v>319</v>
      </c>
      <c r="T50" s="934" t="s">
        <v>320</v>
      </c>
      <c r="U50" s="934" t="s">
        <v>314</v>
      </c>
      <c r="V50" s="934" t="s">
        <v>321</v>
      </c>
      <c r="W50" s="934" t="s">
        <v>322</v>
      </c>
      <c r="X50" s="936" t="s">
        <v>323</v>
      </c>
      <c r="Y50" s="936" t="s">
        <v>324</v>
      </c>
      <c r="Z50" s="937" t="s">
        <v>325</v>
      </c>
      <c r="AA50" s="939" t="s">
        <v>310</v>
      </c>
      <c r="AB50" s="937" t="s">
        <v>310</v>
      </c>
      <c r="AC50" s="939" t="s">
        <v>310</v>
      </c>
      <c r="AD50" s="937" t="s">
        <v>310</v>
      </c>
      <c r="AE50" s="939" t="s">
        <v>310</v>
      </c>
      <c r="AF50" s="937" t="s">
        <v>310</v>
      </c>
      <c r="AG50" s="937" t="s">
        <v>310</v>
      </c>
      <c r="AH50" s="939" t="s">
        <v>310</v>
      </c>
      <c r="AI50" s="940" t="s">
        <v>310</v>
      </c>
      <c r="AJ50" s="940" t="s">
        <v>245</v>
      </c>
      <c r="AK50" s="165"/>
      <c r="AL50" s="165"/>
      <c r="AM50" s="165"/>
      <c r="AN50" s="165"/>
      <c r="AO50" s="139"/>
      <c r="AP50" s="139"/>
      <c r="AQ50" s="139"/>
      <c r="AR50" s="139"/>
      <c r="AS50" s="139"/>
      <c r="AT50" s="139"/>
      <c r="AU50" s="139"/>
      <c r="AV50" s="139"/>
      <c r="AW50" s="139"/>
      <c r="AX50" s="139"/>
      <c r="AY50" s="139"/>
      <c r="AZ50" s="139"/>
      <c r="BA50" s="139"/>
      <c r="BB50" s="139"/>
      <c r="BC50" s="139"/>
      <c r="BD50" s="139"/>
      <c r="BE50" s="139"/>
      <c r="BF50" s="139"/>
      <c r="BG50" s="139"/>
      <c r="BH50" s="139"/>
      <c r="BI50" s="139"/>
      <c r="BJ50" s="139"/>
      <c r="BK50" s="139"/>
      <c r="BL50" s="139"/>
      <c r="BM50" s="139"/>
      <c r="BN50" s="139"/>
      <c r="BO50" s="139"/>
      <c r="BP50" s="139"/>
      <c r="BQ50" s="139"/>
      <c r="BR50" s="139"/>
      <c r="BS50" s="139"/>
      <c r="BT50" s="139"/>
      <c r="BU50" s="139"/>
      <c r="BV50" s="139"/>
      <c r="BW50" s="139"/>
      <c r="BX50" s="139"/>
      <c r="BY50" s="139"/>
      <c r="BZ50" s="139"/>
      <c r="CA50" s="139"/>
      <c r="CB50" s="139"/>
      <c r="CC50" s="139"/>
      <c r="CD50" s="139"/>
      <c r="CE50" s="139"/>
      <c r="CF50" s="139"/>
      <c r="CG50" s="139"/>
      <c r="CH50" s="139"/>
      <c r="CI50" s="139"/>
      <c r="CJ50" s="139"/>
      <c r="CK50" s="139"/>
      <c r="CL50" s="139"/>
      <c r="CM50" s="139"/>
      <c r="CN50" s="139"/>
      <c r="CO50" s="139"/>
      <c r="CP50" s="139"/>
      <c r="CQ50" s="139"/>
      <c r="CR50" s="139"/>
      <c r="CS50" s="139"/>
      <c r="CT50" s="139"/>
      <c r="CU50" s="139"/>
      <c r="CV50" s="139"/>
      <c r="CW50" s="139"/>
      <c r="CX50" s="139"/>
      <c r="CY50" s="139"/>
      <c r="CZ50" s="139"/>
      <c r="DA50" s="139"/>
      <c r="DB50" s="139"/>
      <c r="DC50" s="139"/>
      <c r="DD50" s="139"/>
      <c r="DE50" s="139"/>
      <c r="DF50" s="139"/>
      <c r="DG50" s="139"/>
      <c r="DH50" s="139"/>
      <c r="DI50" s="139"/>
      <c r="DJ50" s="139"/>
      <c r="DK50" s="139"/>
      <c r="DL50" s="139"/>
      <c r="DM50" s="139"/>
      <c r="DN50" s="139"/>
      <c r="DO50" s="139"/>
      <c r="DP50" s="139"/>
      <c r="DQ50" s="139"/>
      <c r="DR50" s="139"/>
      <c r="DS50" s="139"/>
      <c r="DT50" s="139"/>
      <c r="DU50" s="139"/>
      <c r="DV50" s="139"/>
      <c r="DW50" s="139"/>
      <c r="DX50" s="139"/>
      <c r="DY50" s="139"/>
      <c r="DZ50" s="139"/>
      <c r="EA50" s="139"/>
      <c r="EB50" s="139"/>
      <c r="EC50" s="139"/>
      <c r="ED50" s="139"/>
      <c r="EE50" s="139"/>
      <c r="EF50" s="139"/>
      <c r="EG50" s="139"/>
      <c r="EH50" s="139"/>
      <c r="EI50" s="139"/>
      <c r="EJ50" s="139"/>
      <c r="EK50" s="139"/>
      <c r="EL50" s="139"/>
      <c r="EM50" s="139"/>
      <c r="EN50" s="139"/>
      <c r="EO50" s="139"/>
      <c r="EP50" s="139"/>
      <c r="EQ50" s="139"/>
      <c r="ER50" s="139"/>
      <c r="ES50" s="139"/>
      <c r="ET50" s="139"/>
      <c r="EU50" s="139"/>
      <c r="EV50" s="139"/>
      <c r="EW50" s="139"/>
      <c r="EX50" s="139"/>
      <c r="EY50" s="139"/>
      <c r="EZ50" s="139"/>
      <c r="FA50" s="139"/>
      <c r="FB50" s="139"/>
      <c r="FC50" s="139"/>
      <c r="FD50" s="139"/>
      <c r="FE50" s="139"/>
      <c r="FF50" s="139"/>
      <c r="FG50" s="139"/>
      <c r="FH50" s="139"/>
      <c r="FI50" s="139"/>
      <c r="FJ50" s="139"/>
      <c r="FK50" s="139"/>
      <c r="FL50" s="139"/>
      <c r="FM50" s="139"/>
      <c r="FN50" s="139"/>
      <c r="FO50" s="139"/>
      <c r="FP50" s="139"/>
      <c r="FQ50" s="139"/>
      <c r="FR50" s="139"/>
      <c r="FS50" s="139"/>
      <c r="FT50" s="139"/>
      <c r="FU50" s="139"/>
      <c r="FV50" s="139"/>
      <c r="FW50" s="139"/>
      <c r="FX50" s="139"/>
      <c r="FY50" s="139"/>
      <c r="FZ50" s="139"/>
      <c r="GA50" s="139"/>
      <c r="GB50" s="139"/>
      <c r="GC50" s="139"/>
      <c r="GD50" s="139"/>
      <c r="GE50" s="139"/>
      <c r="GF50" s="139"/>
      <c r="GG50" s="139"/>
      <c r="GH50" s="139"/>
      <c r="GI50" s="139"/>
      <c r="GJ50" s="139"/>
      <c r="GK50" s="139"/>
      <c r="GL50" s="139"/>
      <c r="GM50" s="139"/>
      <c r="GN50" s="139"/>
      <c r="GO50" s="139"/>
      <c r="GP50" s="139"/>
      <c r="GQ50" s="139"/>
      <c r="GR50" s="139"/>
      <c r="GS50" s="139"/>
      <c r="GT50" s="139"/>
      <c r="GU50" s="139"/>
      <c r="GV50" s="139"/>
      <c r="GW50" s="139"/>
      <c r="GX50" s="139"/>
      <c r="GY50" s="139"/>
      <c r="GZ50" s="139"/>
      <c r="HA50" s="139"/>
      <c r="HB50" s="139"/>
      <c r="HC50" s="139"/>
      <c r="HD50" s="139"/>
      <c r="HE50" s="139"/>
      <c r="HF50" s="139"/>
      <c r="HG50" s="139"/>
      <c r="HH50" s="139"/>
      <c r="HI50" s="139"/>
      <c r="HJ50" s="139"/>
      <c r="HK50" s="139"/>
      <c r="HL50" s="139"/>
      <c r="HM50" s="139"/>
      <c r="HN50" s="139"/>
      <c r="HO50" s="139"/>
      <c r="HP50" s="139"/>
      <c r="HQ50" s="139"/>
      <c r="HR50" s="139"/>
      <c r="HS50" s="139"/>
      <c r="HT50" s="139"/>
      <c r="HU50" s="139"/>
      <c r="HV50" s="139"/>
      <c r="HW50" s="139"/>
      <c r="HX50" s="139"/>
      <c r="HY50" s="139"/>
      <c r="HZ50" s="139"/>
      <c r="IA50" s="139"/>
      <c r="IB50" s="139"/>
      <c r="IC50" s="139"/>
      <c r="ID50" s="139"/>
      <c r="IE50" s="139"/>
      <c r="IF50" s="139"/>
      <c r="IG50" s="139"/>
      <c r="IH50" s="139"/>
      <c r="II50" s="139"/>
      <c r="IJ50" s="139"/>
      <c r="IK50" s="139"/>
      <c r="IL50" s="139"/>
      <c r="IM50" s="139"/>
      <c r="IN50" s="139"/>
      <c r="IO50" s="139"/>
      <c r="IP50" s="139"/>
      <c r="IQ50" s="139"/>
      <c r="IR50" s="139"/>
    </row>
    <row r="51" spans="2:252" x14ac:dyDescent="0.3">
      <c r="B51" s="5" t="s">
        <v>103</v>
      </c>
      <c r="C51" s="916" t="s">
        <v>206</v>
      </c>
      <c r="D51" s="941">
        <v>0</v>
      </c>
      <c r="E51" s="941">
        <v>0</v>
      </c>
      <c r="F51" s="941">
        <v>0</v>
      </c>
      <c r="G51" s="941">
        <v>0</v>
      </c>
      <c r="H51" s="941">
        <v>0</v>
      </c>
      <c r="I51" s="941">
        <v>0</v>
      </c>
      <c r="J51" s="941">
        <v>0</v>
      </c>
      <c r="K51" s="941">
        <v>0</v>
      </c>
      <c r="L51" s="941">
        <v>0</v>
      </c>
      <c r="M51" s="941">
        <v>0</v>
      </c>
      <c r="N51" s="941">
        <v>0</v>
      </c>
      <c r="O51" s="941">
        <v>0</v>
      </c>
      <c r="P51" s="941">
        <v>0</v>
      </c>
      <c r="Q51" s="941">
        <v>0</v>
      </c>
      <c r="R51" s="941">
        <v>0</v>
      </c>
      <c r="S51" s="941">
        <v>0</v>
      </c>
      <c r="T51" s="941">
        <v>0</v>
      </c>
      <c r="U51" s="941">
        <v>0</v>
      </c>
      <c r="V51" s="941">
        <v>0</v>
      </c>
      <c r="W51" s="941">
        <v>0</v>
      </c>
      <c r="X51" s="941">
        <v>0</v>
      </c>
      <c r="Y51" s="941">
        <v>0</v>
      </c>
      <c r="Z51" s="941">
        <v>0</v>
      </c>
      <c r="AA51" s="941">
        <v>0</v>
      </c>
      <c r="AB51" s="941">
        <v>0</v>
      </c>
      <c r="AC51" s="941">
        <v>0</v>
      </c>
      <c r="AD51" s="941">
        <v>0</v>
      </c>
      <c r="AE51" s="941">
        <v>0</v>
      </c>
      <c r="AF51" s="941">
        <v>0</v>
      </c>
      <c r="AG51" s="941">
        <v>0</v>
      </c>
      <c r="AH51" s="941">
        <v>0</v>
      </c>
      <c r="AI51" s="941">
        <v>0</v>
      </c>
      <c r="AJ51" s="629">
        <f>((D51+E51+P51+Q51+SUM(AA51:AI51))*'Emission &amp; Conversion Factors'!$H$232*1000)+((F51+R51)*'Emission &amp; Conversion Factors'!$H$240*1000)+((G51+S51)*'Emission &amp; Conversion Factors'!$H$242*1000)+((H51+T51)*'Emission &amp; Conversion Factors'!$H$254*1000)+((I51+U51)*'Emission &amp; Conversion Factors'!$H$251*1000)+((J51+V51)*'Emission &amp; Conversion Factors'!$J$240)+((K51+W51)*'Emission &amp; Conversion Factors'!$J$251)</f>
        <v>0</v>
      </c>
      <c r="AK51" s="139"/>
      <c r="AL51" s="139"/>
      <c r="AM51" s="142"/>
      <c r="AN51" s="139"/>
      <c r="AO51" s="139"/>
      <c r="AP51" s="139"/>
      <c r="AQ51" s="139"/>
      <c r="AR51" s="139"/>
      <c r="AS51" s="139"/>
      <c r="AT51" s="139"/>
      <c r="AU51" s="139"/>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c r="CF51" s="139"/>
      <c r="CG51" s="139"/>
      <c r="CH51" s="139"/>
      <c r="CI51" s="139"/>
      <c r="CJ51" s="139"/>
      <c r="CK51" s="139"/>
      <c r="CL51" s="139"/>
      <c r="CM51" s="139"/>
      <c r="CN51" s="139"/>
      <c r="CO51" s="139"/>
      <c r="CP51" s="139"/>
      <c r="CQ51" s="139"/>
      <c r="CR51" s="139"/>
      <c r="CS51" s="139"/>
      <c r="CT51" s="139"/>
      <c r="CU51" s="139"/>
      <c r="CV51" s="139"/>
      <c r="CW51" s="139"/>
      <c r="CX51" s="139"/>
      <c r="CY51" s="139"/>
      <c r="CZ51" s="139"/>
      <c r="DA51" s="139"/>
      <c r="DB51" s="139"/>
      <c r="DC51" s="139"/>
      <c r="DD51" s="139"/>
      <c r="DE51" s="139"/>
      <c r="DF51" s="139"/>
      <c r="DG51" s="139"/>
      <c r="DH51" s="139"/>
      <c r="DI51" s="139"/>
      <c r="DJ51" s="139"/>
      <c r="DK51" s="139"/>
      <c r="DL51" s="139"/>
      <c r="DM51" s="139"/>
      <c r="DN51" s="139"/>
      <c r="DO51" s="139"/>
      <c r="DP51" s="139"/>
      <c r="DQ51" s="139"/>
      <c r="DR51" s="139"/>
      <c r="DS51" s="139"/>
      <c r="DT51" s="139"/>
      <c r="DU51" s="139"/>
      <c r="DV51" s="139"/>
      <c r="DW51" s="139"/>
      <c r="DX51" s="139"/>
      <c r="DY51" s="139"/>
      <c r="DZ51" s="139"/>
      <c r="EA51" s="139"/>
      <c r="EB51" s="139"/>
      <c r="EC51" s="139"/>
      <c r="ED51" s="139"/>
      <c r="EE51" s="139"/>
      <c r="EF51" s="139"/>
      <c r="EG51" s="139"/>
      <c r="EH51" s="139"/>
      <c r="EI51" s="139"/>
      <c r="EJ51" s="139"/>
      <c r="EK51" s="139"/>
      <c r="EL51" s="139"/>
      <c r="EM51" s="139"/>
      <c r="EN51" s="139"/>
      <c r="EO51" s="139"/>
      <c r="EP51" s="139"/>
      <c r="EQ51" s="139"/>
      <c r="ER51" s="139"/>
      <c r="ES51" s="139"/>
      <c r="ET51" s="139"/>
      <c r="EU51" s="139"/>
      <c r="EV51" s="139"/>
      <c r="EW51" s="139"/>
      <c r="EX51" s="139"/>
      <c r="EY51" s="139"/>
      <c r="EZ51" s="139"/>
      <c r="FA51" s="139"/>
      <c r="FB51" s="139"/>
      <c r="FC51" s="139"/>
      <c r="FD51" s="139"/>
      <c r="FE51" s="139"/>
      <c r="FF51" s="139"/>
      <c r="FG51" s="139"/>
      <c r="FH51" s="139"/>
      <c r="FI51" s="139"/>
      <c r="FJ51" s="139"/>
      <c r="FK51" s="139"/>
      <c r="FL51" s="139"/>
      <c r="FM51" s="139"/>
      <c r="FN51" s="139"/>
      <c r="FO51" s="139"/>
      <c r="FP51" s="139"/>
      <c r="FQ51" s="139"/>
      <c r="FR51" s="139"/>
      <c r="FS51" s="139"/>
      <c r="FT51" s="139"/>
      <c r="FU51" s="139"/>
      <c r="FV51" s="139"/>
      <c r="FW51" s="139"/>
      <c r="FX51" s="139"/>
      <c r="FY51" s="139"/>
      <c r="FZ51" s="139"/>
      <c r="GA51" s="139"/>
      <c r="GB51" s="139"/>
      <c r="GC51" s="139"/>
      <c r="GD51" s="139"/>
      <c r="GE51" s="139"/>
      <c r="GF51" s="139"/>
      <c r="GG51" s="139"/>
      <c r="GH51" s="139"/>
      <c r="GI51" s="139"/>
      <c r="GJ51" s="139"/>
      <c r="GK51" s="139"/>
      <c r="GL51" s="139"/>
      <c r="GM51" s="139"/>
      <c r="GN51" s="139"/>
      <c r="GO51" s="139"/>
      <c r="GP51" s="139"/>
      <c r="GQ51" s="139"/>
      <c r="GR51" s="139"/>
      <c r="GS51" s="139"/>
      <c r="GT51" s="139"/>
      <c r="GU51" s="139"/>
      <c r="GV51" s="139"/>
      <c r="GW51" s="139"/>
      <c r="GX51" s="139"/>
      <c r="GY51" s="139"/>
      <c r="GZ51" s="139"/>
      <c r="HA51" s="139"/>
      <c r="HB51" s="139"/>
      <c r="HC51" s="139"/>
      <c r="HD51" s="139"/>
      <c r="HE51" s="139"/>
      <c r="HF51" s="139"/>
      <c r="HG51" s="139"/>
      <c r="HH51" s="139"/>
      <c r="HI51" s="139"/>
      <c r="HJ51" s="139"/>
      <c r="HK51" s="139"/>
      <c r="HL51" s="139"/>
      <c r="HM51" s="139"/>
      <c r="HN51" s="139"/>
      <c r="HO51" s="139"/>
      <c r="HP51" s="139"/>
      <c r="HQ51" s="139"/>
      <c r="HR51" s="139"/>
      <c r="HS51" s="139"/>
      <c r="HT51" s="139"/>
      <c r="HU51" s="139"/>
      <c r="HV51" s="139"/>
      <c r="HW51" s="139"/>
      <c r="HX51" s="139"/>
      <c r="HY51" s="139"/>
      <c r="HZ51" s="139"/>
      <c r="IA51" s="139"/>
      <c r="IB51" s="139"/>
      <c r="IC51" s="139"/>
      <c r="ID51" s="139"/>
      <c r="IE51" s="139"/>
      <c r="IF51" s="139"/>
      <c r="IG51" s="139"/>
      <c r="IH51" s="139"/>
      <c r="II51" s="139"/>
      <c r="IJ51" s="139"/>
      <c r="IK51" s="139"/>
      <c r="IL51" s="139"/>
      <c r="IM51" s="139"/>
      <c r="IN51" s="139"/>
      <c r="IO51" s="139"/>
      <c r="IP51" s="139"/>
      <c r="IQ51" s="139"/>
      <c r="IR51" s="139"/>
    </row>
    <row r="52" spans="2:252" x14ac:dyDescent="0.3">
      <c r="B52" s="5" t="s">
        <v>104</v>
      </c>
      <c r="C52" s="916" t="s">
        <v>207</v>
      </c>
      <c r="D52" s="941">
        <v>0</v>
      </c>
      <c r="E52" s="941">
        <v>0</v>
      </c>
      <c r="F52" s="941">
        <v>0</v>
      </c>
      <c r="G52" s="941">
        <v>0</v>
      </c>
      <c r="H52" s="941">
        <v>0</v>
      </c>
      <c r="I52" s="941">
        <v>0</v>
      </c>
      <c r="J52" s="941">
        <v>0</v>
      </c>
      <c r="K52" s="941">
        <v>0</v>
      </c>
      <c r="L52" s="941">
        <v>0</v>
      </c>
      <c r="M52" s="941">
        <v>0</v>
      </c>
      <c r="N52" s="941">
        <v>0</v>
      </c>
      <c r="O52" s="941">
        <v>0</v>
      </c>
      <c r="P52" s="941">
        <v>0</v>
      </c>
      <c r="Q52" s="941">
        <v>0</v>
      </c>
      <c r="R52" s="941">
        <v>0</v>
      </c>
      <c r="S52" s="941">
        <v>0</v>
      </c>
      <c r="T52" s="941">
        <v>0</v>
      </c>
      <c r="U52" s="941">
        <v>0</v>
      </c>
      <c r="V52" s="941">
        <v>0</v>
      </c>
      <c r="W52" s="941">
        <v>0</v>
      </c>
      <c r="X52" s="941">
        <v>0</v>
      </c>
      <c r="Y52" s="941">
        <v>0</v>
      </c>
      <c r="Z52" s="941">
        <v>0</v>
      </c>
      <c r="AA52" s="941">
        <v>0</v>
      </c>
      <c r="AB52" s="941">
        <v>0</v>
      </c>
      <c r="AC52" s="941">
        <v>0</v>
      </c>
      <c r="AD52" s="941">
        <v>0</v>
      </c>
      <c r="AE52" s="941">
        <v>0</v>
      </c>
      <c r="AF52" s="941">
        <v>36.850446332574244</v>
      </c>
      <c r="AG52" s="941">
        <v>0</v>
      </c>
      <c r="AH52" s="941">
        <v>0</v>
      </c>
      <c r="AI52" s="941">
        <v>0</v>
      </c>
      <c r="AJ52" s="629">
        <f>((D52+E52+P52+Q52+SUM(AA52:AI52))*'Emission &amp; Conversion Factors'!$H$232*1000)+((F52+R52)*'Emission &amp; Conversion Factors'!$H$240*1000)+((G52+S52)*'Emission &amp; Conversion Factors'!$H$242*1000)+((H52+T52)*'Emission &amp; Conversion Factors'!$H$254*1000)+((I52+U52)*'Emission &amp; Conversion Factors'!$H$251*1000)+((J52+V52)*'Emission &amp; Conversion Factors'!$J$240)+((K52+W52)*'Emission &amp; Conversion Factors'!$J$251)</f>
        <v>473086.03001758811</v>
      </c>
      <c r="AK52" s="139"/>
      <c r="AL52" s="139"/>
      <c r="AM52" s="142"/>
      <c r="AN52" s="139"/>
      <c r="AO52" s="139"/>
      <c r="AP52" s="139"/>
      <c r="AQ52" s="139"/>
      <c r="AR52" s="139"/>
      <c r="AS52" s="139"/>
      <c r="AT52" s="139"/>
      <c r="AU52" s="139"/>
      <c r="AV52" s="139"/>
      <c r="AW52" s="139"/>
      <c r="AX52" s="139"/>
      <c r="AY52" s="139"/>
      <c r="AZ52" s="139"/>
      <c r="BA52" s="139"/>
      <c r="BB52" s="139"/>
      <c r="BC52" s="139"/>
      <c r="BD52" s="139"/>
      <c r="BE52" s="139"/>
      <c r="BF52" s="139"/>
      <c r="BG52" s="139"/>
      <c r="BH52" s="139"/>
      <c r="BI52" s="139"/>
      <c r="BJ52" s="139"/>
      <c r="BK52" s="139"/>
      <c r="BL52" s="139"/>
      <c r="BM52" s="139"/>
      <c r="BN52" s="139"/>
      <c r="BO52" s="139"/>
      <c r="BP52" s="139"/>
      <c r="BQ52" s="139"/>
      <c r="BR52" s="139"/>
      <c r="BS52" s="139"/>
      <c r="BT52" s="139"/>
      <c r="BU52" s="139"/>
      <c r="BV52" s="139"/>
      <c r="BW52" s="139"/>
      <c r="BX52" s="139"/>
      <c r="BY52" s="139"/>
      <c r="BZ52" s="139"/>
      <c r="CA52" s="139"/>
      <c r="CB52" s="139"/>
      <c r="CC52" s="139"/>
      <c r="CD52" s="139"/>
      <c r="CE52" s="139"/>
      <c r="CF52" s="139"/>
      <c r="CG52" s="139"/>
      <c r="CH52" s="139"/>
      <c r="CI52" s="139"/>
      <c r="CJ52" s="139"/>
      <c r="CK52" s="139"/>
      <c r="CL52" s="139"/>
      <c r="CM52" s="139"/>
      <c r="CN52" s="139"/>
      <c r="CO52" s="139"/>
      <c r="CP52" s="139"/>
      <c r="CQ52" s="139"/>
      <c r="CR52" s="139"/>
      <c r="CS52" s="139"/>
      <c r="CT52" s="139"/>
      <c r="CU52" s="139"/>
      <c r="CV52" s="139"/>
      <c r="CW52" s="139"/>
      <c r="CX52" s="139"/>
      <c r="CY52" s="139"/>
      <c r="CZ52" s="139"/>
      <c r="DA52" s="139"/>
      <c r="DB52" s="139"/>
      <c r="DC52" s="139"/>
      <c r="DD52" s="139"/>
      <c r="DE52" s="139"/>
      <c r="DF52" s="139"/>
      <c r="DG52" s="139"/>
      <c r="DH52" s="139"/>
      <c r="DI52" s="139"/>
      <c r="DJ52" s="139"/>
      <c r="DK52" s="139"/>
      <c r="DL52" s="139"/>
      <c r="DM52" s="139"/>
      <c r="DN52" s="139"/>
      <c r="DO52" s="139"/>
      <c r="DP52" s="139"/>
      <c r="DQ52" s="139"/>
      <c r="DR52" s="139"/>
      <c r="DS52" s="139"/>
      <c r="DT52" s="139"/>
      <c r="DU52" s="139"/>
      <c r="DV52" s="139"/>
      <c r="DW52" s="139"/>
      <c r="DX52" s="139"/>
      <c r="DY52" s="139"/>
      <c r="DZ52" s="139"/>
      <c r="EA52" s="139"/>
      <c r="EB52" s="139"/>
      <c r="EC52" s="139"/>
      <c r="ED52" s="139"/>
      <c r="EE52" s="139"/>
      <c r="EF52" s="139"/>
      <c r="EG52" s="139"/>
      <c r="EH52" s="139"/>
      <c r="EI52" s="139"/>
      <c r="EJ52" s="139"/>
      <c r="EK52" s="139"/>
      <c r="EL52" s="139"/>
      <c r="EM52" s="139"/>
      <c r="EN52" s="139"/>
      <c r="EO52" s="139"/>
      <c r="EP52" s="139"/>
      <c r="EQ52" s="139"/>
      <c r="ER52" s="139"/>
      <c r="ES52" s="139"/>
      <c r="ET52" s="139"/>
      <c r="EU52" s="139"/>
      <c r="EV52" s="139"/>
      <c r="EW52" s="139"/>
      <c r="EX52" s="139"/>
      <c r="EY52" s="139"/>
      <c r="EZ52" s="139"/>
      <c r="FA52" s="139"/>
      <c r="FB52" s="139"/>
      <c r="FC52" s="139"/>
      <c r="FD52" s="139"/>
      <c r="FE52" s="139"/>
      <c r="FF52" s="139"/>
      <c r="FG52" s="139"/>
      <c r="FH52" s="139"/>
      <c r="FI52" s="139"/>
      <c r="FJ52" s="139"/>
      <c r="FK52" s="139"/>
      <c r="FL52" s="139"/>
      <c r="FM52" s="139"/>
      <c r="FN52" s="139"/>
      <c r="FO52" s="139"/>
      <c r="FP52" s="139"/>
      <c r="FQ52" s="139"/>
      <c r="FR52" s="139"/>
      <c r="FS52" s="139"/>
      <c r="FT52" s="139"/>
      <c r="FU52" s="139"/>
      <c r="FV52" s="139"/>
      <c r="FW52" s="139"/>
      <c r="FX52" s="139"/>
      <c r="FY52" s="139"/>
      <c r="FZ52" s="139"/>
      <c r="GA52" s="139"/>
      <c r="GB52" s="139"/>
      <c r="GC52" s="139"/>
      <c r="GD52" s="139"/>
      <c r="GE52" s="139"/>
      <c r="GF52" s="139"/>
      <c r="GG52" s="139"/>
      <c r="GH52" s="139"/>
      <c r="GI52" s="139"/>
      <c r="GJ52" s="139"/>
      <c r="GK52" s="139"/>
      <c r="GL52" s="139"/>
      <c r="GM52" s="139"/>
      <c r="GN52" s="139"/>
      <c r="GO52" s="139"/>
      <c r="GP52" s="139"/>
      <c r="GQ52" s="139"/>
      <c r="GR52" s="139"/>
      <c r="GS52" s="139"/>
      <c r="GT52" s="139"/>
      <c r="GU52" s="139"/>
      <c r="GV52" s="139"/>
      <c r="GW52" s="139"/>
      <c r="GX52" s="139"/>
      <c r="GY52" s="139"/>
      <c r="GZ52" s="139"/>
      <c r="HA52" s="139"/>
      <c r="HB52" s="139"/>
      <c r="HC52" s="139"/>
      <c r="HD52" s="139"/>
      <c r="HE52" s="139"/>
      <c r="HF52" s="139"/>
      <c r="HG52" s="139"/>
      <c r="HH52" s="139"/>
      <c r="HI52" s="139"/>
      <c r="HJ52" s="139"/>
      <c r="HK52" s="139"/>
      <c r="HL52" s="139"/>
      <c r="HM52" s="139"/>
      <c r="HN52" s="139"/>
      <c r="HO52" s="139"/>
      <c r="HP52" s="139"/>
      <c r="HQ52" s="139"/>
      <c r="HR52" s="139"/>
      <c r="HS52" s="139"/>
      <c r="HT52" s="139"/>
      <c r="HU52" s="139"/>
      <c r="HV52" s="139"/>
      <c r="HW52" s="139"/>
      <c r="HX52" s="139"/>
      <c r="HY52" s="139"/>
      <c r="HZ52" s="139"/>
      <c r="IA52" s="139"/>
      <c r="IB52" s="139"/>
      <c r="IC52" s="139"/>
      <c r="ID52" s="139"/>
      <c r="IE52" s="139"/>
      <c r="IF52" s="139"/>
      <c r="IG52" s="139"/>
      <c r="IH52" s="139"/>
      <c r="II52" s="139"/>
      <c r="IJ52" s="139"/>
      <c r="IK52" s="139"/>
      <c r="IL52" s="139"/>
      <c r="IM52" s="139"/>
      <c r="IN52" s="139"/>
      <c r="IO52" s="139"/>
      <c r="IP52" s="139"/>
      <c r="IQ52" s="139"/>
      <c r="IR52" s="139"/>
    </row>
    <row r="53" spans="2:252" x14ac:dyDescent="0.3">
      <c r="B53" s="5" t="s">
        <v>105</v>
      </c>
      <c r="C53" s="916" t="s">
        <v>208</v>
      </c>
      <c r="D53" s="941">
        <v>0</v>
      </c>
      <c r="E53" s="941">
        <v>0</v>
      </c>
      <c r="F53" s="941">
        <v>0</v>
      </c>
      <c r="G53" s="941">
        <v>0</v>
      </c>
      <c r="H53" s="941">
        <v>0</v>
      </c>
      <c r="I53" s="941">
        <v>0</v>
      </c>
      <c r="J53" s="941">
        <v>0</v>
      </c>
      <c r="K53" s="941">
        <v>0</v>
      </c>
      <c r="L53" s="941">
        <v>0</v>
      </c>
      <c r="M53" s="941">
        <v>0</v>
      </c>
      <c r="N53" s="941">
        <v>0</v>
      </c>
      <c r="O53" s="941">
        <v>0</v>
      </c>
      <c r="P53" s="941">
        <v>0</v>
      </c>
      <c r="Q53" s="941">
        <v>1720.3910750948405</v>
      </c>
      <c r="R53" s="941">
        <v>0</v>
      </c>
      <c r="S53" s="941">
        <v>0</v>
      </c>
      <c r="T53" s="941">
        <v>0</v>
      </c>
      <c r="U53" s="941">
        <v>0</v>
      </c>
      <c r="V53" s="941">
        <v>0</v>
      </c>
      <c r="W53" s="941">
        <v>0</v>
      </c>
      <c r="X53" s="941">
        <v>0</v>
      </c>
      <c r="Y53" s="941">
        <v>0</v>
      </c>
      <c r="Z53" s="941">
        <v>0</v>
      </c>
      <c r="AA53" s="941">
        <v>0</v>
      </c>
      <c r="AB53" s="941">
        <v>0</v>
      </c>
      <c r="AC53" s="941">
        <v>0</v>
      </c>
      <c r="AD53" s="941">
        <v>100.69131239101877</v>
      </c>
      <c r="AE53" s="941">
        <v>0</v>
      </c>
      <c r="AF53" s="941">
        <v>0</v>
      </c>
      <c r="AG53" s="941">
        <v>0</v>
      </c>
      <c r="AH53" s="941">
        <v>0</v>
      </c>
      <c r="AI53" s="941">
        <v>0</v>
      </c>
      <c r="AJ53" s="629">
        <f>((D53+E53+P53+Q53+SUM(AA53:AI53))*'Emission &amp; Conversion Factors'!$H$232*1000)+((F53+R53)*'Emission &amp; Conversion Factors'!$H$240*1000)+((G53+S53)*'Emission &amp; Conversion Factors'!$H$242*1000)+((H53+T53)*'Emission &amp; Conversion Factors'!$H$254*1000)+((I53+U53)*'Emission &amp; Conversion Factors'!$H$251*1000)+((J53+V53)*'Emission &amp; Conversion Factors'!$J$240)+((K53+W53)*'Emission &amp; Conversion Factors'!$J$251)</f>
        <v>23379055.690543462</v>
      </c>
      <c r="AK53" s="139"/>
      <c r="AL53" s="139"/>
      <c r="AM53" s="142"/>
      <c r="AN53" s="142"/>
      <c r="AO53" s="142"/>
      <c r="AP53" s="139"/>
      <c r="AQ53" s="139"/>
      <c r="AR53" s="139"/>
      <c r="AS53" s="139"/>
      <c r="AT53" s="139"/>
      <c r="AU53" s="139"/>
      <c r="AV53" s="139"/>
      <c r="AW53" s="139"/>
      <c r="AX53" s="139"/>
      <c r="AY53" s="139"/>
      <c r="AZ53" s="139"/>
      <c r="BA53" s="139"/>
      <c r="BB53" s="139"/>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9"/>
      <c r="BZ53" s="139"/>
      <c r="CA53" s="139"/>
      <c r="CB53" s="139"/>
      <c r="CC53" s="139"/>
      <c r="CD53" s="139"/>
      <c r="CE53" s="139"/>
      <c r="CF53" s="139"/>
      <c r="CG53" s="139"/>
      <c r="CH53" s="139"/>
      <c r="CI53" s="139"/>
      <c r="CJ53" s="139"/>
      <c r="CK53" s="139"/>
      <c r="CL53" s="139"/>
      <c r="CM53" s="139"/>
      <c r="CN53" s="139"/>
      <c r="CO53" s="139"/>
      <c r="CP53" s="139"/>
      <c r="CQ53" s="139"/>
      <c r="CR53" s="139"/>
      <c r="CS53" s="139"/>
      <c r="CT53" s="139"/>
      <c r="CU53" s="139"/>
      <c r="CV53" s="139"/>
      <c r="CW53" s="139"/>
      <c r="CX53" s="139"/>
      <c r="CY53" s="139"/>
      <c r="CZ53" s="139"/>
      <c r="DA53" s="139"/>
      <c r="DB53" s="139"/>
      <c r="DC53" s="139"/>
      <c r="DD53" s="139"/>
      <c r="DE53" s="139"/>
      <c r="DF53" s="139"/>
      <c r="DG53" s="139"/>
      <c r="DH53" s="139"/>
      <c r="DI53" s="139"/>
      <c r="DJ53" s="139"/>
      <c r="DK53" s="139"/>
      <c r="DL53" s="139"/>
      <c r="DM53" s="139"/>
      <c r="DN53" s="139"/>
      <c r="DO53" s="139"/>
      <c r="DP53" s="139"/>
      <c r="DQ53" s="139"/>
      <c r="DR53" s="139"/>
      <c r="DS53" s="139"/>
      <c r="DT53" s="139"/>
      <c r="DU53" s="139"/>
      <c r="DV53" s="139"/>
      <c r="DW53" s="139"/>
      <c r="DX53" s="139"/>
      <c r="DY53" s="139"/>
      <c r="DZ53" s="139"/>
      <c r="EA53" s="139"/>
      <c r="EB53" s="139"/>
      <c r="EC53" s="139"/>
      <c r="ED53" s="139"/>
      <c r="EE53" s="139"/>
      <c r="EF53" s="139"/>
      <c r="EG53" s="139"/>
      <c r="EH53" s="139"/>
      <c r="EI53" s="139"/>
      <c r="EJ53" s="139"/>
      <c r="EK53" s="139"/>
      <c r="EL53" s="139"/>
      <c r="EM53" s="139"/>
      <c r="EN53" s="139"/>
      <c r="EO53" s="139"/>
      <c r="EP53" s="139"/>
      <c r="EQ53" s="139"/>
      <c r="ER53" s="139"/>
      <c r="ES53" s="139"/>
      <c r="ET53" s="139"/>
      <c r="EU53" s="139"/>
      <c r="EV53" s="139"/>
      <c r="EW53" s="139"/>
      <c r="EX53" s="139"/>
      <c r="EY53" s="139"/>
      <c r="EZ53" s="139"/>
      <c r="FA53" s="139"/>
      <c r="FB53" s="139"/>
      <c r="FC53" s="139"/>
      <c r="FD53" s="139"/>
      <c r="FE53" s="139"/>
      <c r="FF53" s="139"/>
      <c r="FG53" s="139"/>
      <c r="FH53" s="139"/>
      <c r="FI53" s="139"/>
      <c r="FJ53" s="139"/>
      <c r="FK53" s="139"/>
      <c r="FL53" s="139"/>
      <c r="FM53" s="139"/>
      <c r="FN53" s="139"/>
      <c r="FO53" s="139"/>
      <c r="FP53" s="139"/>
      <c r="FQ53" s="139"/>
      <c r="FR53" s="139"/>
      <c r="FS53" s="139"/>
      <c r="FT53" s="139"/>
      <c r="FU53" s="139"/>
      <c r="FV53" s="139"/>
      <c r="FW53" s="139"/>
      <c r="FX53" s="139"/>
      <c r="FY53" s="139"/>
      <c r="FZ53" s="139"/>
      <c r="GA53" s="139"/>
      <c r="GB53" s="139"/>
      <c r="GC53" s="139"/>
      <c r="GD53" s="139"/>
      <c r="GE53" s="139"/>
      <c r="GF53" s="139"/>
      <c r="GG53" s="139"/>
      <c r="GH53" s="139"/>
      <c r="GI53" s="139"/>
      <c r="GJ53" s="139"/>
      <c r="GK53" s="139"/>
      <c r="GL53" s="139"/>
      <c r="GM53" s="139"/>
      <c r="GN53" s="139"/>
      <c r="GO53" s="139"/>
      <c r="GP53" s="139"/>
      <c r="GQ53" s="139"/>
      <c r="GR53" s="139"/>
      <c r="GS53" s="139"/>
      <c r="GT53" s="139"/>
      <c r="GU53" s="139"/>
      <c r="GV53" s="139"/>
      <c r="GW53" s="139"/>
      <c r="GX53" s="139"/>
      <c r="GY53" s="139"/>
      <c r="GZ53" s="139"/>
      <c r="HA53" s="139"/>
      <c r="HB53" s="139"/>
      <c r="HC53" s="139"/>
      <c r="HD53" s="139"/>
      <c r="HE53" s="139"/>
      <c r="HF53" s="139"/>
      <c r="HG53" s="139"/>
      <c r="HH53" s="139"/>
      <c r="HI53" s="139"/>
      <c r="HJ53" s="139"/>
      <c r="HK53" s="139"/>
      <c r="HL53" s="139"/>
      <c r="HM53" s="139"/>
      <c r="HN53" s="139"/>
      <c r="HO53" s="139"/>
      <c r="HP53" s="139"/>
      <c r="HQ53" s="139"/>
      <c r="HR53" s="139"/>
      <c r="HS53" s="139"/>
      <c r="HT53" s="139"/>
      <c r="HU53" s="139"/>
      <c r="HV53" s="139"/>
      <c r="HW53" s="139"/>
      <c r="HX53" s="139"/>
      <c r="HY53" s="139"/>
      <c r="HZ53" s="139"/>
      <c r="IA53" s="139"/>
      <c r="IB53" s="139"/>
      <c r="IC53" s="139"/>
      <c r="ID53" s="139"/>
      <c r="IE53" s="139"/>
      <c r="IF53" s="139"/>
      <c r="IG53" s="139"/>
      <c r="IH53" s="139"/>
      <c r="II53" s="139"/>
      <c r="IJ53" s="139"/>
      <c r="IK53" s="139"/>
      <c r="IL53" s="139"/>
      <c r="IM53" s="139"/>
      <c r="IN53" s="139"/>
      <c r="IO53" s="139"/>
      <c r="IP53" s="139"/>
      <c r="IQ53" s="139"/>
      <c r="IR53" s="139"/>
    </row>
    <row r="54" spans="2:252" x14ac:dyDescent="0.3">
      <c r="B54" s="5" t="s">
        <v>106</v>
      </c>
      <c r="C54" s="916" t="s">
        <v>209</v>
      </c>
      <c r="D54" s="941">
        <v>0</v>
      </c>
      <c r="E54" s="941">
        <v>0</v>
      </c>
      <c r="F54" s="941">
        <v>0</v>
      </c>
      <c r="G54" s="941">
        <v>0</v>
      </c>
      <c r="H54" s="941">
        <v>0</v>
      </c>
      <c r="I54" s="941">
        <v>0</v>
      </c>
      <c r="J54" s="941">
        <v>0</v>
      </c>
      <c r="K54" s="941">
        <v>0</v>
      </c>
      <c r="L54" s="941">
        <v>0</v>
      </c>
      <c r="M54" s="941">
        <v>0</v>
      </c>
      <c r="N54" s="941">
        <v>0</v>
      </c>
      <c r="O54" s="941">
        <v>0</v>
      </c>
      <c r="P54" s="941">
        <v>0</v>
      </c>
      <c r="Q54" s="941">
        <v>0</v>
      </c>
      <c r="R54" s="941">
        <v>0</v>
      </c>
      <c r="S54" s="941">
        <v>0</v>
      </c>
      <c r="T54" s="941">
        <v>0</v>
      </c>
      <c r="U54" s="941">
        <v>0</v>
      </c>
      <c r="V54" s="941">
        <v>0</v>
      </c>
      <c r="W54" s="941">
        <v>0</v>
      </c>
      <c r="X54" s="941">
        <v>0</v>
      </c>
      <c r="Y54" s="941">
        <v>0</v>
      </c>
      <c r="Z54" s="941">
        <v>0</v>
      </c>
      <c r="AA54" s="941">
        <v>0</v>
      </c>
      <c r="AB54" s="941">
        <v>0</v>
      </c>
      <c r="AC54" s="941">
        <v>0</v>
      </c>
      <c r="AD54" s="941">
        <v>0</v>
      </c>
      <c r="AE54" s="941">
        <v>0</v>
      </c>
      <c r="AF54" s="941">
        <v>61.98312616405989</v>
      </c>
      <c r="AG54" s="941">
        <v>0</v>
      </c>
      <c r="AH54" s="941">
        <v>0</v>
      </c>
      <c r="AI54" s="941">
        <v>0</v>
      </c>
      <c r="AJ54" s="629">
        <f>((D54+E54+P54+Q54+SUM(AA54:AI54))*'Emission &amp; Conversion Factors'!$H$232*1000)+((F54+R54)*'Emission &amp; Conversion Factors'!$H$240*1000)+((G54+S54)*'Emission &amp; Conversion Factors'!$H$242*1000)+((H54+T54)*'Emission &amp; Conversion Factors'!$H$254*1000)+((I54+U54)*'Emission &amp; Conversion Factors'!$H$251*1000)+((J54+V54)*'Emission &amp; Conversion Factors'!$J$240)+((K54+W54)*'Emission &amp; Conversion Factors'!$J$251)</f>
        <v>795739.37369420077</v>
      </c>
      <c r="AK54" s="139"/>
      <c r="AL54" s="139"/>
      <c r="AM54" s="139"/>
      <c r="AN54" s="139"/>
      <c r="AO54" s="139"/>
      <c r="AP54" s="139"/>
      <c r="AQ54" s="139"/>
      <c r="AR54" s="139"/>
      <c r="AS54" s="139"/>
      <c r="AT54" s="139"/>
      <c r="AU54" s="139"/>
      <c r="AV54" s="139"/>
      <c r="AW54" s="139"/>
      <c r="AX54" s="139"/>
      <c r="AY54" s="139"/>
      <c r="AZ54" s="139"/>
      <c r="BA54" s="139"/>
      <c r="BB54" s="139"/>
      <c r="BC54" s="139"/>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9"/>
      <c r="CB54" s="139"/>
      <c r="CC54" s="139"/>
      <c r="CD54" s="139"/>
      <c r="CE54" s="139"/>
      <c r="CF54" s="139"/>
      <c r="CG54" s="139"/>
      <c r="CH54" s="139"/>
      <c r="CI54" s="139"/>
      <c r="CJ54" s="139"/>
      <c r="CK54" s="139"/>
      <c r="CL54" s="139"/>
      <c r="CM54" s="139"/>
      <c r="CN54" s="139"/>
      <c r="CO54" s="139"/>
      <c r="CP54" s="139"/>
      <c r="CQ54" s="139"/>
      <c r="CR54" s="139"/>
      <c r="CS54" s="139"/>
      <c r="CT54" s="139"/>
      <c r="CU54" s="139"/>
      <c r="CV54" s="139"/>
      <c r="CW54" s="139"/>
      <c r="CX54" s="139"/>
      <c r="CY54" s="139"/>
      <c r="CZ54" s="139"/>
      <c r="DA54" s="139"/>
      <c r="DB54" s="139"/>
      <c r="DC54" s="139"/>
      <c r="DD54" s="139"/>
      <c r="DE54" s="139"/>
      <c r="DF54" s="139"/>
      <c r="DG54" s="139"/>
      <c r="DH54" s="139"/>
      <c r="DI54" s="139"/>
      <c r="DJ54" s="139"/>
      <c r="DK54" s="139"/>
      <c r="DL54" s="139"/>
      <c r="DM54" s="139"/>
      <c r="DN54" s="139"/>
      <c r="DO54" s="139"/>
      <c r="DP54" s="139"/>
      <c r="DQ54" s="139"/>
      <c r="DR54" s="139"/>
      <c r="DS54" s="139"/>
      <c r="DT54" s="139"/>
      <c r="DU54" s="139"/>
      <c r="DV54" s="139"/>
      <c r="DW54" s="139"/>
      <c r="DX54" s="139"/>
      <c r="DY54" s="139"/>
      <c r="DZ54" s="139"/>
      <c r="EA54" s="139"/>
      <c r="EB54" s="139"/>
      <c r="EC54" s="139"/>
      <c r="ED54" s="139"/>
      <c r="EE54" s="139"/>
      <c r="EF54" s="139"/>
      <c r="EG54" s="139"/>
      <c r="EH54" s="139"/>
      <c r="EI54" s="139"/>
      <c r="EJ54" s="139"/>
      <c r="EK54" s="139"/>
      <c r="EL54" s="139"/>
      <c r="EM54" s="139"/>
      <c r="EN54" s="139"/>
      <c r="EO54" s="139"/>
      <c r="EP54" s="139"/>
      <c r="EQ54" s="139"/>
      <c r="ER54" s="139"/>
      <c r="ES54" s="139"/>
      <c r="ET54" s="139"/>
      <c r="EU54" s="139"/>
      <c r="EV54" s="139"/>
      <c r="EW54" s="139"/>
      <c r="EX54" s="139"/>
      <c r="EY54" s="139"/>
      <c r="EZ54" s="139"/>
      <c r="FA54" s="139"/>
      <c r="FB54" s="139"/>
      <c r="FC54" s="139"/>
      <c r="FD54" s="139"/>
      <c r="FE54" s="139"/>
      <c r="FF54" s="139"/>
      <c r="FG54" s="139"/>
      <c r="FH54" s="139"/>
      <c r="FI54" s="139"/>
      <c r="FJ54" s="139"/>
      <c r="FK54" s="139"/>
      <c r="FL54" s="139"/>
      <c r="FM54" s="139"/>
      <c r="FN54" s="139"/>
      <c r="FO54" s="139"/>
      <c r="FP54" s="139"/>
      <c r="FQ54" s="139"/>
      <c r="FR54" s="139"/>
      <c r="FS54" s="139"/>
      <c r="FT54" s="139"/>
      <c r="FU54" s="139"/>
      <c r="FV54" s="139"/>
      <c r="FW54" s="139"/>
      <c r="FX54" s="139"/>
      <c r="FY54" s="139"/>
      <c r="FZ54" s="139"/>
      <c r="GA54" s="139"/>
      <c r="GB54" s="139"/>
      <c r="GC54" s="139"/>
      <c r="GD54" s="139"/>
      <c r="GE54" s="139"/>
      <c r="GF54" s="139"/>
      <c r="GG54" s="139"/>
      <c r="GH54" s="139"/>
      <c r="GI54" s="139"/>
      <c r="GJ54" s="139"/>
      <c r="GK54" s="139"/>
      <c r="GL54" s="139"/>
      <c r="GM54" s="139"/>
      <c r="GN54" s="139"/>
      <c r="GO54" s="139"/>
      <c r="GP54" s="139"/>
      <c r="GQ54" s="139"/>
      <c r="GR54" s="139"/>
      <c r="GS54" s="139"/>
      <c r="GT54" s="139"/>
      <c r="GU54" s="139"/>
      <c r="GV54" s="139"/>
      <c r="GW54" s="139"/>
      <c r="GX54" s="139"/>
      <c r="GY54" s="139"/>
      <c r="GZ54" s="139"/>
      <c r="HA54" s="139"/>
      <c r="HB54" s="139"/>
      <c r="HC54" s="139"/>
      <c r="HD54" s="139"/>
      <c r="HE54" s="139"/>
      <c r="HF54" s="139"/>
      <c r="HG54" s="139"/>
      <c r="HH54" s="139"/>
      <c r="HI54" s="139"/>
      <c r="HJ54" s="139"/>
      <c r="HK54" s="139"/>
      <c r="HL54" s="139"/>
      <c r="HM54" s="139"/>
      <c r="HN54" s="139"/>
      <c r="HO54" s="139"/>
      <c r="HP54" s="139"/>
      <c r="HQ54" s="139"/>
      <c r="HR54" s="139"/>
      <c r="HS54" s="139"/>
      <c r="HT54" s="139"/>
      <c r="HU54" s="139"/>
      <c r="HV54" s="139"/>
      <c r="HW54" s="139"/>
      <c r="HX54" s="139"/>
      <c r="HY54" s="139"/>
      <c r="HZ54" s="139"/>
      <c r="IA54" s="139"/>
      <c r="IB54" s="139"/>
      <c r="IC54" s="139"/>
      <c r="ID54" s="139"/>
      <c r="IE54" s="139"/>
      <c r="IF54" s="139"/>
      <c r="IG54" s="139"/>
      <c r="IH54" s="139"/>
      <c r="II54" s="139"/>
      <c r="IJ54" s="139"/>
      <c r="IK54" s="139"/>
      <c r="IL54" s="139"/>
      <c r="IM54" s="139"/>
      <c r="IN54" s="139"/>
      <c r="IO54" s="139"/>
      <c r="IP54" s="139"/>
      <c r="IQ54" s="139"/>
      <c r="IR54" s="139"/>
    </row>
    <row r="55" spans="2:252" x14ac:dyDescent="0.3">
      <c r="B55" s="5" t="s">
        <v>107</v>
      </c>
      <c r="C55" s="916" t="s">
        <v>210</v>
      </c>
      <c r="D55" s="941">
        <v>0</v>
      </c>
      <c r="E55" s="941">
        <v>0</v>
      </c>
      <c r="F55" s="941">
        <v>0</v>
      </c>
      <c r="G55" s="941">
        <v>0</v>
      </c>
      <c r="H55" s="941">
        <v>0</v>
      </c>
      <c r="I55" s="941">
        <v>0</v>
      </c>
      <c r="J55" s="941">
        <v>0</v>
      </c>
      <c r="K55" s="941">
        <v>0</v>
      </c>
      <c r="L55" s="941">
        <v>0</v>
      </c>
      <c r="M55" s="941">
        <v>0</v>
      </c>
      <c r="N55" s="941">
        <v>0</v>
      </c>
      <c r="O55" s="941">
        <v>0</v>
      </c>
      <c r="P55" s="941">
        <v>0</v>
      </c>
      <c r="Q55" s="941">
        <v>0</v>
      </c>
      <c r="R55" s="941">
        <v>0</v>
      </c>
      <c r="S55" s="941">
        <v>0</v>
      </c>
      <c r="T55" s="941">
        <v>0</v>
      </c>
      <c r="U55" s="941">
        <v>0</v>
      </c>
      <c r="V55" s="941">
        <v>0</v>
      </c>
      <c r="W55" s="941">
        <v>0</v>
      </c>
      <c r="X55" s="941">
        <v>0</v>
      </c>
      <c r="Y55" s="941">
        <v>0</v>
      </c>
      <c r="Z55" s="941">
        <v>0</v>
      </c>
      <c r="AA55" s="941">
        <v>0</v>
      </c>
      <c r="AB55" s="941">
        <v>0</v>
      </c>
      <c r="AC55" s="941">
        <v>1153.8059028260291</v>
      </c>
      <c r="AD55" s="941">
        <v>635.32100970190527</v>
      </c>
      <c r="AE55" s="941">
        <v>0</v>
      </c>
      <c r="AF55" s="941">
        <v>0</v>
      </c>
      <c r="AG55" s="941">
        <v>0</v>
      </c>
      <c r="AH55" s="941">
        <v>0</v>
      </c>
      <c r="AI55" s="941">
        <v>0</v>
      </c>
      <c r="AJ55" s="629">
        <f>((D55+E55+P55+Q55+SUM(AA55:AI55))*'Emission &amp; Conversion Factors'!$H$232*1000)+((F55+R55)*'Emission &amp; Conversion Factors'!$H$240*1000)+((G55+S55)*'Emission &amp; Conversion Factors'!$H$242*1000)+((H55+T55)*'Emission &amp; Conversion Factors'!$H$254*1000)+((I55+U55)*'Emission &amp; Conversion Factors'!$H$251*1000)+((J55+V55)*'Emission &amp; Conversion Factors'!$J$240)+((K55+W55)*'Emission &amp; Conversion Factors'!$J$251)</f>
        <v>22968811.30303362</v>
      </c>
      <c r="AK55" s="139"/>
      <c r="AL55" s="139"/>
      <c r="AM55" s="139"/>
      <c r="AN55" s="139"/>
      <c r="AO55" s="139"/>
      <c r="AP55" s="139"/>
      <c r="AQ55" s="139"/>
      <c r="AR55" s="139"/>
      <c r="AS55" s="139"/>
      <c r="AT55" s="139"/>
      <c r="AU55" s="139"/>
      <c r="AV55" s="139"/>
      <c r="AW55" s="139"/>
      <c r="AX55" s="139"/>
      <c r="AY55" s="139"/>
      <c r="AZ55" s="139"/>
      <c r="BA55" s="139"/>
      <c r="BB55" s="139"/>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39"/>
      <c r="CN55" s="139"/>
      <c r="CO55" s="139"/>
      <c r="CP55" s="139"/>
      <c r="CQ55" s="139"/>
      <c r="CR55" s="139"/>
      <c r="CS55" s="139"/>
      <c r="CT55" s="139"/>
      <c r="CU55" s="139"/>
      <c r="CV55" s="139"/>
      <c r="CW55" s="139"/>
      <c r="CX55" s="139"/>
      <c r="CY55" s="139"/>
      <c r="CZ55" s="139"/>
      <c r="DA55" s="139"/>
      <c r="DB55" s="139"/>
      <c r="DC55" s="139"/>
      <c r="DD55" s="139"/>
      <c r="DE55" s="139"/>
      <c r="DF55" s="139"/>
      <c r="DG55" s="139"/>
      <c r="DH55" s="139"/>
      <c r="DI55" s="139"/>
      <c r="DJ55" s="139"/>
      <c r="DK55" s="139"/>
      <c r="DL55" s="139"/>
      <c r="DM55" s="139"/>
      <c r="DN55" s="139"/>
      <c r="DO55" s="139"/>
      <c r="DP55" s="139"/>
      <c r="DQ55" s="139"/>
      <c r="DR55" s="139"/>
      <c r="DS55" s="139"/>
      <c r="DT55" s="139"/>
      <c r="DU55" s="139"/>
      <c r="DV55" s="139"/>
      <c r="DW55" s="139"/>
      <c r="DX55" s="139"/>
      <c r="DY55" s="139"/>
      <c r="DZ55" s="139"/>
      <c r="EA55" s="139"/>
      <c r="EB55" s="139"/>
      <c r="EC55" s="139"/>
      <c r="ED55" s="139"/>
      <c r="EE55" s="139"/>
      <c r="EF55" s="139"/>
      <c r="EG55" s="139"/>
      <c r="EH55" s="139"/>
      <c r="EI55" s="139"/>
      <c r="EJ55" s="139"/>
      <c r="EK55" s="139"/>
      <c r="EL55" s="139"/>
      <c r="EM55" s="139"/>
      <c r="EN55" s="139"/>
      <c r="EO55" s="139"/>
      <c r="EP55" s="139"/>
      <c r="EQ55" s="139"/>
      <c r="ER55" s="139"/>
      <c r="ES55" s="139"/>
      <c r="ET55" s="139"/>
      <c r="EU55" s="139"/>
      <c r="EV55" s="139"/>
      <c r="EW55" s="139"/>
      <c r="EX55" s="139"/>
      <c r="EY55" s="139"/>
      <c r="EZ55" s="139"/>
      <c r="FA55" s="139"/>
      <c r="FB55" s="139"/>
      <c r="FC55" s="139"/>
      <c r="FD55" s="139"/>
      <c r="FE55" s="139"/>
      <c r="FF55" s="139"/>
      <c r="FG55" s="139"/>
      <c r="FH55" s="139"/>
      <c r="FI55" s="139"/>
      <c r="FJ55" s="139"/>
      <c r="FK55" s="139"/>
      <c r="FL55" s="139"/>
      <c r="FM55" s="139"/>
      <c r="FN55" s="139"/>
      <c r="FO55" s="139"/>
      <c r="FP55" s="139"/>
      <c r="FQ55" s="139"/>
      <c r="FR55" s="139"/>
      <c r="FS55" s="139"/>
      <c r="FT55" s="139"/>
      <c r="FU55" s="139"/>
      <c r="FV55" s="139"/>
      <c r="FW55" s="139"/>
      <c r="FX55" s="139"/>
      <c r="FY55" s="139"/>
      <c r="FZ55" s="139"/>
      <c r="GA55" s="139"/>
      <c r="GB55" s="139"/>
      <c r="GC55" s="139"/>
      <c r="GD55" s="139"/>
      <c r="GE55" s="139"/>
      <c r="GF55" s="139"/>
      <c r="GG55" s="139"/>
      <c r="GH55" s="139"/>
      <c r="GI55" s="139"/>
      <c r="GJ55" s="139"/>
      <c r="GK55" s="139"/>
      <c r="GL55" s="139"/>
      <c r="GM55" s="139"/>
      <c r="GN55" s="139"/>
      <c r="GO55" s="139"/>
      <c r="GP55" s="139"/>
      <c r="GQ55" s="139"/>
      <c r="GR55" s="139"/>
      <c r="GS55" s="139"/>
      <c r="GT55" s="139"/>
      <c r="GU55" s="139"/>
      <c r="GV55" s="139"/>
      <c r="GW55" s="139"/>
      <c r="GX55" s="139"/>
      <c r="GY55" s="139"/>
      <c r="GZ55" s="139"/>
      <c r="HA55" s="139"/>
      <c r="HB55" s="139"/>
      <c r="HC55" s="139"/>
      <c r="HD55" s="139"/>
      <c r="HE55" s="139"/>
      <c r="HF55" s="139"/>
      <c r="HG55" s="139"/>
      <c r="HH55" s="139"/>
      <c r="HI55" s="139"/>
      <c r="HJ55" s="139"/>
      <c r="HK55" s="139"/>
      <c r="HL55" s="139"/>
      <c r="HM55" s="139"/>
      <c r="HN55" s="139"/>
      <c r="HO55" s="139"/>
      <c r="HP55" s="139"/>
      <c r="HQ55" s="139"/>
      <c r="HR55" s="139"/>
      <c r="HS55" s="139"/>
      <c r="HT55" s="139"/>
      <c r="HU55" s="139"/>
      <c r="HV55" s="139"/>
      <c r="HW55" s="139"/>
      <c r="HX55" s="139"/>
      <c r="HY55" s="139"/>
      <c r="HZ55" s="139"/>
      <c r="IA55" s="139"/>
      <c r="IB55" s="139"/>
      <c r="IC55" s="139"/>
      <c r="ID55" s="139"/>
      <c r="IE55" s="139"/>
      <c r="IF55" s="139"/>
      <c r="IG55" s="139"/>
      <c r="IH55" s="139"/>
      <c r="II55" s="139"/>
      <c r="IJ55" s="139"/>
      <c r="IK55" s="139"/>
      <c r="IL55" s="139"/>
      <c r="IM55" s="139"/>
      <c r="IN55" s="139"/>
      <c r="IO55" s="139"/>
      <c r="IP55" s="139"/>
      <c r="IQ55" s="139"/>
      <c r="IR55" s="139"/>
    </row>
    <row r="56" spans="2:252" x14ac:dyDescent="0.3">
      <c r="B56" s="5" t="s">
        <v>108</v>
      </c>
      <c r="C56" s="916" t="s">
        <v>211</v>
      </c>
      <c r="D56" s="941">
        <v>0</v>
      </c>
      <c r="E56" s="941">
        <v>0</v>
      </c>
      <c r="F56" s="941">
        <v>0</v>
      </c>
      <c r="G56" s="941">
        <v>0</v>
      </c>
      <c r="H56" s="941">
        <v>0</v>
      </c>
      <c r="I56" s="941">
        <v>0</v>
      </c>
      <c r="J56" s="941">
        <v>0</v>
      </c>
      <c r="K56" s="941">
        <v>0</v>
      </c>
      <c r="L56" s="941">
        <v>0</v>
      </c>
      <c r="M56" s="941">
        <v>0</v>
      </c>
      <c r="N56" s="941">
        <v>0</v>
      </c>
      <c r="O56" s="941">
        <v>0</v>
      </c>
      <c r="P56" s="941">
        <v>0</v>
      </c>
      <c r="Q56" s="941">
        <v>0</v>
      </c>
      <c r="R56" s="941">
        <v>0</v>
      </c>
      <c r="S56" s="941">
        <v>0</v>
      </c>
      <c r="T56" s="941">
        <v>0</v>
      </c>
      <c r="U56" s="941">
        <v>0</v>
      </c>
      <c r="V56" s="941">
        <v>0</v>
      </c>
      <c r="W56" s="941">
        <v>0</v>
      </c>
      <c r="X56" s="941">
        <v>0</v>
      </c>
      <c r="Y56" s="941">
        <v>0</v>
      </c>
      <c r="Z56" s="941">
        <v>0</v>
      </c>
      <c r="AA56" s="941">
        <v>0</v>
      </c>
      <c r="AB56" s="941">
        <v>0</v>
      </c>
      <c r="AC56" s="941">
        <v>0</v>
      </c>
      <c r="AD56" s="941">
        <v>0</v>
      </c>
      <c r="AE56" s="941">
        <v>0</v>
      </c>
      <c r="AF56" s="941">
        <v>0</v>
      </c>
      <c r="AG56" s="941">
        <v>0</v>
      </c>
      <c r="AH56" s="941">
        <v>0</v>
      </c>
      <c r="AI56" s="941">
        <v>0</v>
      </c>
      <c r="AJ56" s="629">
        <f>((D56+E56+P56+Q56+SUM(AA56:AI56))*'Emission &amp; Conversion Factors'!$H$232*1000)+((F56+R56)*'Emission &amp; Conversion Factors'!$H$240*1000)+((G56+S56)*'Emission &amp; Conversion Factors'!$H$242*1000)+((H56+T56)*'Emission &amp; Conversion Factors'!$H$254*1000)+((I56+U56)*'Emission &amp; Conversion Factors'!$H$251*1000)+((J56+V56)*'Emission &amp; Conversion Factors'!$J$240)+((K56+W56)*'Emission &amp; Conversion Factors'!$J$251)</f>
        <v>0</v>
      </c>
      <c r="AK56" s="139"/>
      <c r="AL56" s="139"/>
      <c r="AM56" s="139"/>
      <c r="AN56" s="139"/>
      <c r="AO56" s="139"/>
      <c r="AP56" s="139"/>
      <c r="AQ56" s="139"/>
      <c r="AR56" s="139"/>
      <c r="AS56" s="139"/>
      <c r="AT56" s="139"/>
      <c r="AU56" s="139"/>
      <c r="AV56" s="139"/>
      <c r="AW56" s="139"/>
      <c r="AX56" s="139"/>
      <c r="AY56" s="139"/>
      <c r="AZ56" s="139"/>
      <c r="BA56" s="139"/>
      <c r="BB56" s="139"/>
      <c r="BC56" s="139"/>
      <c r="BD56" s="139"/>
      <c r="BE56" s="139"/>
      <c r="BF56" s="139"/>
      <c r="BG56" s="139"/>
      <c r="BH56" s="139"/>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39"/>
      <c r="CE56" s="139"/>
      <c r="CF56" s="139"/>
      <c r="CG56" s="139"/>
      <c r="CH56" s="139"/>
      <c r="CI56" s="139"/>
      <c r="CJ56" s="139"/>
      <c r="CK56" s="139"/>
      <c r="CL56" s="139"/>
      <c r="CM56" s="139"/>
      <c r="CN56" s="139"/>
      <c r="CO56" s="139"/>
      <c r="CP56" s="139"/>
      <c r="CQ56" s="139"/>
      <c r="CR56" s="139"/>
      <c r="CS56" s="139"/>
      <c r="CT56" s="139"/>
      <c r="CU56" s="139"/>
      <c r="CV56" s="139"/>
      <c r="CW56" s="139"/>
      <c r="CX56" s="139"/>
      <c r="CY56" s="139"/>
      <c r="CZ56" s="139"/>
      <c r="DA56" s="139"/>
      <c r="DB56" s="139"/>
      <c r="DC56" s="139"/>
      <c r="DD56" s="139"/>
      <c r="DE56" s="139"/>
      <c r="DF56" s="139"/>
      <c r="DG56" s="139"/>
      <c r="DH56" s="139"/>
      <c r="DI56" s="139"/>
      <c r="DJ56" s="139"/>
      <c r="DK56" s="139"/>
      <c r="DL56" s="139"/>
      <c r="DM56" s="139"/>
      <c r="DN56" s="139"/>
      <c r="DO56" s="139"/>
      <c r="DP56" s="139"/>
      <c r="DQ56" s="139"/>
      <c r="DR56" s="139"/>
      <c r="DS56" s="139"/>
      <c r="DT56" s="139"/>
      <c r="DU56" s="139"/>
      <c r="DV56" s="139"/>
      <c r="DW56" s="139"/>
      <c r="DX56" s="139"/>
      <c r="DY56" s="139"/>
      <c r="DZ56" s="139"/>
      <c r="EA56" s="139"/>
      <c r="EB56" s="139"/>
      <c r="EC56" s="139"/>
      <c r="ED56" s="139"/>
      <c r="EE56" s="139"/>
      <c r="EF56" s="139"/>
      <c r="EG56" s="139"/>
      <c r="EH56" s="139"/>
      <c r="EI56" s="139"/>
      <c r="EJ56" s="139"/>
      <c r="EK56" s="139"/>
      <c r="EL56" s="139"/>
      <c r="EM56" s="139"/>
      <c r="EN56" s="139"/>
      <c r="EO56" s="139"/>
      <c r="EP56" s="139"/>
      <c r="EQ56" s="139"/>
      <c r="ER56" s="139"/>
      <c r="ES56" s="139"/>
      <c r="ET56" s="139"/>
      <c r="EU56" s="139"/>
      <c r="EV56" s="139"/>
      <c r="EW56" s="139"/>
      <c r="EX56" s="139"/>
      <c r="EY56" s="139"/>
      <c r="EZ56" s="139"/>
      <c r="FA56" s="139"/>
      <c r="FB56" s="139"/>
      <c r="FC56" s="139"/>
      <c r="FD56" s="139"/>
      <c r="FE56" s="139"/>
      <c r="FF56" s="139"/>
      <c r="FG56" s="139"/>
      <c r="FH56" s="139"/>
      <c r="FI56" s="139"/>
      <c r="FJ56" s="139"/>
      <c r="FK56" s="139"/>
      <c r="FL56" s="139"/>
      <c r="FM56" s="139"/>
      <c r="FN56" s="139"/>
      <c r="FO56" s="139"/>
      <c r="FP56" s="139"/>
      <c r="FQ56" s="139"/>
      <c r="FR56" s="139"/>
      <c r="FS56" s="139"/>
      <c r="FT56" s="139"/>
      <c r="FU56" s="139"/>
      <c r="FV56" s="139"/>
      <c r="FW56" s="139"/>
      <c r="FX56" s="139"/>
      <c r="FY56" s="139"/>
      <c r="FZ56" s="139"/>
      <c r="GA56" s="139"/>
      <c r="GB56" s="139"/>
      <c r="GC56" s="139"/>
      <c r="GD56" s="139"/>
      <c r="GE56" s="139"/>
      <c r="GF56" s="139"/>
      <c r="GG56" s="139"/>
      <c r="GH56" s="139"/>
      <c r="GI56" s="139"/>
      <c r="GJ56" s="139"/>
      <c r="GK56" s="139"/>
      <c r="GL56" s="139"/>
      <c r="GM56" s="139"/>
      <c r="GN56" s="139"/>
      <c r="GO56" s="139"/>
      <c r="GP56" s="139"/>
      <c r="GQ56" s="139"/>
      <c r="GR56" s="139"/>
      <c r="GS56" s="139"/>
      <c r="GT56" s="139"/>
      <c r="GU56" s="139"/>
      <c r="GV56" s="139"/>
      <c r="GW56" s="139"/>
      <c r="GX56" s="139"/>
      <c r="GY56" s="139"/>
      <c r="GZ56" s="139"/>
      <c r="HA56" s="139"/>
      <c r="HB56" s="139"/>
      <c r="HC56" s="139"/>
      <c r="HD56" s="139"/>
      <c r="HE56" s="139"/>
      <c r="HF56" s="139"/>
      <c r="HG56" s="139"/>
      <c r="HH56" s="139"/>
      <c r="HI56" s="139"/>
      <c r="HJ56" s="139"/>
      <c r="HK56" s="139"/>
      <c r="HL56" s="139"/>
      <c r="HM56" s="139"/>
      <c r="HN56" s="139"/>
      <c r="HO56" s="139"/>
      <c r="HP56" s="139"/>
      <c r="HQ56" s="139"/>
      <c r="HR56" s="139"/>
      <c r="HS56" s="139"/>
      <c r="HT56" s="139"/>
      <c r="HU56" s="139"/>
      <c r="HV56" s="139"/>
      <c r="HW56" s="139"/>
      <c r="HX56" s="139"/>
      <c r="HY56" s="139"/>
      <c r="HZ56" s="139"/>
      <c r="IA56" s="139"/>
      <c r="IB56" s="139"/>
      <c r="IC56" s="139"/>
      <c r="ID56" s="139"/>
      <c r="IE56" s="139"/>
      <c r="IF56" s="139"/>
      <c r="IG56" s="139"/>
      <c r="IH56" s="139"/>
      <c r="II56" s="139"/>
      <c r="IJ56" s="139"/>
      <c r="IK56" s="139"/>
      <c r="IL56" s="139"/>
      <c r="IM56" s="139"/>
      <c r="IN56" s="139"/>
      <c r="IO56" s="139"/>
      <c r="IP56" s="139"/>
      <c r="IQ56" s="139"/>
      <c r="IR56" s="139"/>
    </row>
    <row r="57" spans="2:252" x14ac:dyDescent="0.3">
      <c r="B57" s="5" t="s">
        <v>109</v>
      </c>
      <c r="C57" s="916" t="s">
        <v>212</v>
      </c>
      <c r="D57" s="941">
        <v>0</v>
      </c>
      <c r="E57" s="941">
        <v>0</v>
      </c>
      <c r="F57" s="941">
        <v>0</v>
      </c>
      <c r="G57" s="941">
        <v>0</v>
      </c>
      <c r="H57" s="941">
        <v>0</v>
      </c>
      <c r="I57" s="941">
        <v>0</v>
      </c>
      <c r="J57" s="941">
        <v>0</v>
      </c>
      <c r="K57" s="941">
        <v>0</v>
      </c>
      <c r="L57" s="941">
        <v>0</v>
      </c>
      <c r="M57" s="941">
        <v>0</v>
      </c>
      <c r="N57" s="941">
        <v>0</v>
      </c>
      <c r="O57" s="941">
        <v>0</v>
      </c>
      <c r="P57" s="941">
        <v>0</v>
      </c>
      <c r="Q57" s="941">
        <v>64.578819847970053</v>
      </c>
      <c r="R57" s="941">
        <v>0</v>
      </c>
      <c r="S57" s="941">
        <v>0</v>
      </c>
      <c r="T57" s="941">
        <v>0</v>
      </c>
      <c r="U57" s="941">
        <v>0</v>
      </c>
      <c r="V57" s="941">
        <v>0</v>
      </c>
      <c r="W57" s="941">
        <v>0</v>
      </c>
      <c r="X57" s="941">
        <v>0</v>
      </c>
      <c r="Y57" s="941">
        <v>0</v>
      </c>
      <c r="Z57" s="941">
        <v>0</v>
      </c>
      <c r="AA57" s="941">
        <v>0</v>
      </c>
      <c r="AB57" s="941">
        <v>0</v>
      </c>
      <c r="AC57" s="941">
        <v>0</v>
      </c>
      <c r="AD57" s="941">
        <v>0</v>
      </c>
      <c r="AE57" s="941">
        <v>0</v>
      </c>
      <c r="AF57" s="941">
        <v>0</v>
      </c>
      <c r="AG57" s="941">
        <v>0</v>
      </c>
      <c r="AH57" s="941">
        <v>0</v>
      </c>
      <c r="AI57" s="941">
        <v>0</v>
      </c>
      <c r="AJ57" s="629">
        <f>((D57+E57+P57+Q57+SUM(AA57:AI57))*'Emission &amp; Conversion Factors'!$H$232*1000)+((F57+R57)*'Emission &amp; Conversion Factors'!$H$240*1000)+((G57+S57)*'Emission &amp; Conversion Factors'!$H$242*1000)+((H57+T57)*'Emission &amp; Conversion Factors'!$H$254*1000)+((I57+U57)*'Emission &amp; Conversion Factors'!$H$251*1000)+((J57+V57)*'Emission &amp; Conversion Factors'!$J$240)+((K57+W57)*'Emission &amp; Conversion Factors'!$J$251)</f>
        <v>829062.8892082395</v>
      </c>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39"/>
      <c r="CE57" s="139"/>
      <c r="CF57" s="139"/>
      <c r="CG57" s="139"/>
      <c r="CH57" s="139"/>
      <c r="CI57" s="139"/>
      <c r="CJ57" s="139"/>
      <c r="CK57" s="139"/>
      <c r="CL57" s="139"/>
      <c r="CM57" s="139"/>
      <c r="CN57" s="139"/>
      <c r="CO57" s="139"/>
      <c r="CP57" s="139"/>
      <c r="CQ57" s="139"/>
      <c r="CR57" s="139"/>
      <c r="CS57" s="139"/>
      <c r="CT57" s="139"/>
      <c r="CU57" s="139"/>
      <c r="CV57" s="139"/>
      <c r="CW57" s="139"/>
      <c r="CX57" s="139"/>
      <c r="CY57" s="139"/>
      <c r="CZ57" s="139"/>
      <c r="DA57" s="139"/>
      <c r="DB57" s="139"/>
      <c r="DC57" s="139"/>
      <c r="DD57" s="139"/>
      <c r="DE57" s="139"/>
      <c r="DF57" s="139"/>
      <c r="DG57" s="139"/>
      <c r="DH57" s="139"/>
      <c r="DI57" s="139"/>
      <c r="DJ57" s="139"/>
      <c r="DK57" s="139"/>
      <c r="DL57" s="139"/>
      <c r="DM57" s="139"/>
      <c r="DN57" s="139"/>
      <c r="DO57" s="139"/>
      <c r="DP57" s="139"/>
      <c r="DQ57" s="139"/>
      <c r="DR57" s="139"/>
      <c r="DS57" s="139"/>
      <c r="DT57" s="139"/>
      <c r="DU57" s="139"/>
      <c r="DV57" s="139"/>
      <c r="DW57" s="139"/>
      <c r="DX57" s="139"/>
      <c r="DY57" s="139"/>
      <c r="DZ57" s="139"/>
      <c r="EA57" s="139"/>
      <c r="EB57" s="139"/>
      <c r="EC57" s="139"/>
      <c r="ED57" s="139"/>
      <c r="EE57" s="139"/>
      <c r="EF57" s="139"/>
      <c r="EG57" s="139"/>
      <c r="EH57" s="139"/>
      <c r="EI57" s="139"/>
      <c r="EJ57" s="139"/>
      <c r="EK57" s="139"/>
      <c r="EL57" s="139"/>
      <c r="EM57" s="139"/>
      <c r="EN57" s="139"/>
      <c r="EO57" s="139"/>
      <c r="EP57" s="139"/>
      <c r="EQ57" s="139"/>
      <c r="ER57" s="139"/>
      <c r="ES57" s="139"/>
      <c r="ET57" s="139"/>
      <c r="EU57" s="139"/>
      <c r="EV57" s="139"/>
      <c r="EW57" s="139"/>
      <c r="EX57" s="139"/>
      <c r="EY57" s="139"/>
      <c r="EZ57" s="139"/>
      <c r="FA57" s="139"/>
      <c r="FB57" s="139"/>
      <c r="FC57" s="139"/>
      <c r="FD57" s="139"/>
      <c r="FE57" s="139"/>
      <c r="FF57" s="139"/>
      <c r="FG57" s="139"/>
      <c r="FH57" s="139"/>
      <c r="FI57" s="139"/>
      <c r="FJ57" s="139"/>
      <c r="FK57" s="139"/>
      <c r="FL57" s="139"/>
      <c r="FM57" s="139"/>
      <c r="FN57" s="139"/>
      <c r="FO57" s="139"/>
      <c r="FP57" s="139"/>
      <c r="FQ57" s="139"/>
      <c r="FR57" s="139"/>
      <c r="FS57" s="139"/>
      <c r="FT57" s="139"/>
      <c r="FU57" s="139"/>
      <c r="FV57" s="139"/>
      <c r="FW57" s="139"/>
      <c r="FX57" s="139"/>
      <c r="FY57" s="139"/>
      <c r="FZ57" s="139"/>
      <c r="GA57" s="139"/>
      <c r="GB57" s="139"/>
      <c r="GC57" s="139"/>
      <c r="GD57" s="139"/>
      <c r="GE57" s="139"/>
      <c r="GF57" s="139"/>
      <c r="GG57" s="139"/>
      <c r="GH57" s="139"/>
      <c r="GI57" s="139"/>
      <c r="GJ57" s="139"/>
      <c r="GK57" s="139"/>
      <c r="GL57" s="139"/>
      <c r="GM57" s="139"/>
      <c r="GN57" s="139"/>
      <c r="GO57" s="139"/>
      <c r="GP57" s="139"/>
      <c r="GQ57" s="139"/>
      <c r="GR57" s="139"/>
      <c r="GS57" s="139"/>
      <c r="GT57" s="139"/>
      <c r="GU57" s="139"/>
      <c r="GV57" s="139"/>
      <c r="GW57" s="139"/>
      <c r="GX57" s="139"/>
      <c r="GY57" s="139"/>
      <c r="GZ57" s="139"/>
      <c r="HA57" s="139"/>
      <c r="HB57" s="139"/>
      <c r="HC57" s="139"/>
      <c r="HD57" s="139"/>
      <c r="HE57" s="139"/>
      <c r="HF57" s="139"/>
      <c r="HG57" s="139"/>
      <c r="HH57" s="139"/>
      <c r="HI57" s="139"/>
      <c r="HJ57" s="139"/>
      <c r="HK57" s="139"/>
      <c r="HL57" s="139"/>
      <c r="HM57" s="139"/>
      <c r="HN57" s="139"/>
      <c r="HO57" s="139"/>
      <c r="HP57" s="139"/>
      <c r="HQ57" s="139"/>
      <c r="HR57" s="139"/>
      <c r="HS57" s="139"/>
      <c r="HT57" s="139"/>
      <c r="HU57" s="139"/>
      <c r="HV57" s="139"/>
      <c r="HW57" s="139"/>
      <c r="HX57" s="139"/>
      <c r="HY57" s="139"/>
      <c r="HZ57" s="139"/>
      <c r="IA57" s="139"/>
      <c r="IB57" s="139"/>
      <c r="IC57" s="139"/>
      <c r="ID57" s="139"/>
      <c r="IE57" s="139"/>
      <c r="IF57" s="139"/>
      <c r="IG57" s="139"/>
      <c r="IH57" s="139"/>
      <c r="II57" s="139"/>
      <c r="IJ57" s="139"/>
      <c r="IK57" s="139"/>
      <c r="IL57" s="139"/>
      <c r="IM57" s="139"/>
      <c r="IN57" s="139"/>
      <c r="IO57" s="139"/>
      <c r="IP57" s="139"/>
      <c r="IQ57" s="139"/>
      <c r="IR57" s="139"/>
    </row>
    <row r="58" spans="2:252" x14ac:dyDescent="0.3">
      <c r="B58" s="5" t="s">
        <v>110</v>
      </c>
      <c r="C58" s="916" t="s">
        <v>213</v>
      </c>
      <c r="D58" s="941">
        <v>0</v>
      </c>
      <c r="E58" s="941">
        <v>0</v>
      </c>
      <c r="F58" s="941">
        <v>0</v>
      </c>
      <c r="G58" s="941">
        <v>0</v>
      </c>
      <c r="H58" s="941">
        <v>0</v>
      </c>
      <c r="I58" s="941">
        <v>0</v>
      </c>
      <c r="J58" s="941">
        <v>0</v>
      </c>
      <c r="K58" s="941">
        <v>0</v>
      </c>
      <c r="L58" s="941">
        <v>0</v>
      </c>
      <c r="M58" s="941">
        <v>0</v>
      </c>
      <c r="N58" s="941">
        <v>0</v>
      </c>
      <c r="O58" s="941">
        <v>0</v>
      </c>
      <c r="P58" s="941">
        <v>0</v>
      </c>
      <c r="Q58" s="941">
        <v>0</v>
      </c>
      <c r="R58" s="941">
        <v>0</v>
      </c>
      <c r="S58" s="941">
        <v>0</v>
      </c>
      <c r="T58" s="941">
        <v>0</v>
      </c>
      <c r="U58" s="941">
        <v>0</v>
      </c>
      <c r="V58" s="941">
        <v>0</v>
      </c>
      <c r="W58" s="941">
        <v>0</v>
      </c>
      <c r="X58" s="941">
        <v>0</v>
      </c>
      <c r="Y58" s="941">
        <v>0</v>
      </c>
      <c r="Z58" s="941">
        <v>0</v>
      </c>
      <c r="AA58" s="941">
        <v>0</v>
      </c>
      <c r="AB58" s="941">
        <v>0</v>
      </c>
      <c r="AC58" s="941">
        <v>0</v>
      </c>
      <c r="AD58" s="941">
        <v>82.998284290772602</v>
      </c>
      <c r="AE58" s="941">
        <v>0</v>
      </c>
      <c r="AF58" s="941">
        <v>0</v>
      </c>
      <c r="AG58" s="941">
        <v>0</v>
      </c>
      <c r="AH58" s="941">
        <v>0</v>
      </c>
      <c r="AI58" s="941">
        <v>0</v>
      </c>
      <c r="AJ58" s="629">
        <f>((D58+E58+P58+Q58+SUM(AA58:AI58))*'Emission &amp; Conversion Factors'!$H$232*1000)+((F58+R58)*'Emission &amp; Conversion Factors'!$H$240*1000)+((G58+S58)*'Emission &amp; Conversion Factors'!$H$242*1000)+((H58+T58)*'Emission &amp; Conversion Factors'!$H$254*1000)+((I58+U58)*'Emission &amp; Conversion Factors'!$H$251*1000)+((J58+V58)*'Emission &amp; Conversion Factors'!$J$240)+((K58+W58)*'Emission &amp; Conversion Factors'!$J$251)</f>
        <v>1065531.9737249385</v>
      </c>
      <c r="AK58" s="139"/>
      <c r="AL58" s="139"/>
      <c r="AM58" s="139"/>
      <c r="AN58" s="139"/>
      <c r="AO58" s="139"/>
      <c r="AP58" s="139"/>
      <c r="AQ58" s="139"/>
      <c r="AR58" s="139"/>
      <c r="AS58" s="139"/>
      <c r="AT58" s="139"/>
      <c r="AU58" s="139"/>
      <c r="AV58" s="139"/>
      <c r="AW58" s="139"/>
      <c r="AX58" s="139"/>
      <c r="AY58" s="139"/>
      <c r="AZ58" s="139"/>
      <c r="BA58" s="139"/>
      <c r="BB58" s="139"/>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9"/>
      <c r="BZ58" s="139"/>
      <c r="CA58" s="139"/>
      <c r="CB58" s="139"/>
      <c r="CC58" s="139"/>
      <c r="CD58" s="139"/>
      <c r="CE58" s="139"/>
      <c r="CF58" s="139"/>
      <c r="CG58" s="139"/>
      <c r="CH58" s="139"/>
      <c r="CI58" s="139"/>
      <c r="CJ58" s="139"/>
      <c r="CK58" s="139"/>
      <c r="CL58" s="139"/>
      <c r="CM58" s="139"/>
      <c r="CN58" s="139"/>
      <c r="CO58" s="139"/>
      <c r="CP58" s="139"/>
      <c r="CQ58" s="139"/>
      <c r="CR58" s="139"/>
      <c r="CS58" s="139"/>
      <c r="CT58" s="139"/>
      <c r="CU58" s="139"/>
      <c r="CV58" s="139"/>
      <c r="CW58" s="139"/>
      <c r="CX58" s="139"/>
      <c r="CY58" s="139"/>
      <c r="CZ58" s="139"/>
      <c r="DA58" s="139"/>
      <c r="DB58" s="139"/>
      <c r="DC58" s="139"/>
      <c r="DD58" s="139"/>
      <c r="DE58" s="139"/>
      <c r="DF58" s="139"/>
      <c r="DG58" s="139"/>
      <c r="DH58" s="139"/>
      <c r="DI58" s="139"/>
      <c r="DJ58" s="139"/>
      <c r="DK58" s="139"/>
      <c r="DL58" s="139"/>
      <c r="DM58" s="139"/>
      <c r="DN58" s="139"/>
      <c r="DO58" s="139"/>
      <c r="DP58" s="139"/>
      <c r="DQ58" s="139"/>
      <c r="DR58" s="139"/>
      <c r="DS58" s="139"/>
      <c r="DT58" s="139"/>
      <c r="DU58" s="139"/>
      <c r="DV58" s="139"/>
      <c r="DW58" s="139"/>
      <c r="DX58" s="139"/>
      <c r="DY58" s="139"/>
      <c r="DZ58" s="139"/>
      <c r="EA58" s="139"/>
      <c r="EB58" s="139"/>
      <c r="EC58" s="139"/>
      <c r="ED58" s="139"/>
      <c r="EE58" s="139"/>
      <c r="EF58" s="139"/>
      <c r="EG58" s="139"/>
      <c r="EH58" s="139"/>
      <c r="EI58" s="139"/>
      <c r="EJ58" s="139"/>
      <c r="EK58" s="139"/>
      <c r="EL58" s="139"/>
      <c r="EM58" s="139"/>
      <c r="EN58" s="139"/>
      <c r="EO58" s="139"/>
      <c r="EP58" s="139"/>
      <c r="EQ58" s="139"/>
      <c r="ER58" s="139"/>
      <c r="ES58" s="139"/>
      <c r="ET58" s="139"/>
      <c r="EU58" s="139"/>
      <c r="EV58" s="139"/>
      <c r="EW58" s="139"/>
      <c r="EX58" s="139"/>
      <c r="EY58" s="139"/>
      <c r="EZ58" s="139"/>
      <c r="FA58" s="139"/>
      <c r="FB58" s="139"/>
      <c r="FC58" s="139"/>
      <c r="FD58" s="139"/>
      <c r="FE58" s="139"/>
      <c r="FF58" s="139"/>
      <c r="FG58" s="139"/>
      <c r="FH58" s="139"/>
      <c r="FI58" s="139"/>
      <c r="FJ58" s="139"/>
      <c r="FK58" s="139"/>
      <c r="FL58" s="139"/>
      <c r="FM58" s="139"/>
      <c r="FN58" s="139"/>
      <c r="FO58" s="139"/>
      <c r="FP58" s="139"/>
      <c r="FQ58" s="139"/>
      <c r="FR58" s="139"/>
      <c r="FS58" s="139"/>
      <c r="FT58" s="139"/>
      <c r="FU58" s="139"/>
      <c r="FV58" s="139"/>
      <c r="FW58" s="139"/>
      <c r="FX58" s="139"/>
      <c r="FY58" s="139"/>
      <c r="FZ58" s="139"/>
      <c r="GA58" s="139"/>
      <c r="GB58" s="139"/>
      <c r="GC58" s="139"/>
      <c r="GD58" s="139"/>
      <c r="GE58" s="139"/>
      <c r="GF58" s="139"/>
      <c r="GG58" s="139"/>
      <c r="GH58" s="139"/>
      <c r="GI58" s="139"/>
      <c r="GJ58" s="139"/>
      <c r="GK58" s="139"/>
      <c r="GL58" s="139"/>
      <c r="GM58" s="139"/>
      <c r="GN58" s="139"/>
      <c r="GO58" s="139"/>
      <c r="GP58" s="139"/>
      <c r="GQ58" s="139"/>
      <c r="GR58" s="139"/>
      <c r="GS58" s="139"/>
      <c r="GT58" s="139"/>
      <c r="GU58" s="139"/>
      <c r="GV58" s="139"/>
      <c r="GW58" s="139"/>
      <c r="GX58" s="139"/>
      <c r="GY58" s="139"/>
      <c r="GZ58" s="139"/>
      <c r="HA58" s="139"/>
      <c r="HB58" s="139"/>
      <c r="HC58" s="139"/>
      <c r="HD58" s="139"/>
      <c r="HE58" s="139"/>
      <c r="HF58" s="139"/>
      <c r="HG58" s="139"/>
      <c r="HH58" s="139"/>
      <c r="HI58" s="139"/>
      <c r="HJ58" s="139"/>
      <c r="HK58" s="139"/>
      <c r="HL58" s="139"/>
      <c r="HM58" s="139"/>
      <c r="HN58" s="139"/>
      <c r="HO58" s="139"/>
      <c r="HP58" s="139"/>
      <c r="HQ58" s="139"/>
      <c r="HR58" s="139"/>
      <c r="HS58" s="139"/>
      <c r="HT58" s="139"/>
      <c r="HU58" s="139"/>
      <c r="HV58" s="139"/>
      <c r="HW58" s="139"/>
      <c r="HX58" s="139"/>
      <c r="HY58" s="139"/>
      <c r="HZ58" s="139"/>
      <c r="IA58" s="139"/>
      <c r="IB58" s="139"/>
      <c r="IC58" s="139"/>
      <c r="ID58" s="139"/>
      <c r="IE58" s="139"/>
      <c r="IF58" s="139"/>
      <c r="IG58" s="139"/>
      <c r="IH58" s="139"/>
      <c r="II58" s="139"/>
      <c r="IJ58" s="139"/>
      <c r="IK58" s="139"/>
      <c r="IL58" s="139"/>
      <c r="IM58" s="139"/>
      <c r="IN58" s="139"/>
      <c r="IO58" s="139"/>
      <c r="IP58" s="139"/>
      <c r="IQ58" s="139"/>
      <c r="IR58" s="139"/>
    </row>
    <row r="59" spans="2:252" x14ac:dyDescent="0.3">
      <c r="B59" s="5" t="s">
        <v>111</v>
      </c>
      <c r="C59" s="916" t="s">
        <v>214</v>
      </c>
      <c r="D59" s="941">
        <v>0</v>
      </c>
      <c r="E59" s="941">
        <v>0</v>
      </c>
      <c r="F59" s="941">
        <v>0</v>
      </c>
      <c r="G59" s="941">
        <v>0</v>
      </c>
      <c r="H59" s="941">
        <v>0</v>
      </c>
      <c r="I59" s="941">
        <v>0</v>
      </c>
      <c r="J59" s="941">
        <v>0</v>
      </c>
      <c r="K59" s="941">
        <v>0</v>
      </c>
      <c r="L59" s="941">
        <v>0</v>
      </c>
      <c r="M59" s="941">
        <v>0</v>
      </c>
      <c r="N59" s="941">
        <v>0</v>
      </c>
      <c r="O59" s="941">
        <v>0</v>
      </c>
      <c r="P59" s="941">
        <v>0</v>
      </c>
      <c r="Q59" s="941">
        <v>0</v>
      </c>
      <c r="R59" s="941">
        <v>0</v>
      </c>
      <c r="S59" s="941">
        <v>0</v>
      </c>
      <c r="T59" s="941">
        <v>0</v>
      </c>
      <c r="U59" s="941">
        <v>0</v>
      </c>
      <c r="V59" s="941">
        <v>0</v>
      </c>
      <c r="W59" s="941">
        <v>0</v>
      </c>
      <c r="X59" s="941">
        <v>0</v>
      </c>
      <c r="Y59" s="941">
        <v>0</v>
      </c>
      <c r="Z59" s="941">
        <v>0</v>
      </c>
      <c r="AA59" s="941">
        <v>0</v>
      </c>
      <c r="AB59" s="941">
        <v>0</v>
      </c>
      <c r="AC59" s="941">
        <v>0</v>
      </c>
      <c r="AD59" s="941">
        <v>0</v>
      </c>
      <c r="AE59" s="941">
        <v>0</v>
      </c>
      <c r="AF59" s="941">
        <v>0</v>
      </c>
      <c r="AG59" s="941">
        <v>0</v>
      </c>
      <c r="AH59" s="941">
        <v>0</v>
      </c>
      <c r="AI59" s="941">
        <v>0</v>
      </c>
      <c r="AJ59" s="629">
        <f>((D59+E59+P59+Q59+SUM(AA59:AI59))*'Emission &amp; Conversion Factors'!$H$232*1000)+((F59+R59)*'Emission &amp; Conversion Factors'!$H$240*1000)+((G59+S59)*'Emission &amp; Conversion Factors'!$H$242*1000)+((H59+T59)*'Emission &amp; Conversion Factors'!$H$254*1000)+((I59+U59)*'Emission &amp; Conversion Factors'!$H$251*1000)+((J59+V59)*'Emission &amp; Conversion Factors'!$J$240)+((K59+W59)*'Emission &amp; Conversion Factors'!$J$251)</f>
        <v>0</v>
      </c>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39"/>
      <c r="CD59" s="139"/>
      <c r="CE59" s="139"/>
      <c r="CF59" s="139"/>
      <c r="CG59" s="139"/>
      <c r="CH59" s="139"/>
      <c r="CI59" s="139"/>
      <c r="CJ59" s="139"/>
      <c r="CK59" s="139"/>
      <c r="CL59" s="139"/>
      <c r="CM59" s="139"/>
      <c r="CN59" s="139"/>
      <c r="CO59" s="139"/>
      <c r="CP59" s="139"/>
      <c r="CQ59" s="139"/>
      <c r="CR59" s="139"/>
      <c r="CS59" s="139"/>
      <c r="CT59" s="139"/>
      <c r="CU59" s="139"/>
      <c r="CV59" s="139"/>
      <c r="CW59" s="139"/>
      <c r="CX59" s="139"/>
      <c r="CY59" s="139"/>
      <c r="CZ59" s="139"/>
      <c r="DA59" s="139"/>
      <c r="DB59" s="139"/>
      <c r="DC59" s="139"/>
      <c r="DD59" s="139"/>
      <c r="DE59" s="139"/>
      <c r="DF59" s="139"/>
      <c r="DG59" s="139"/>
      <c r="DH59" s="139"/>
      <c r="DI59" s="139"/>
      <c r="DJ59" s="139"/>
      <c r="DK59" s="139"/>
      <c r="DL59" s="139"/>
      <c r="DM59" s="139"/>
      <c r="DN59" s="139"/>
      <c r="DO59" s="139"/>
      <c r="DP59" s="139"/>
      <c r="DQ59" s="139"/>
      <c r="DR59" s="139"/>
      <c r="DS59" s="139"/>
      <c r="DT59" s="139"/>
      <c r="DU59" s="139"/>
      <c r="DV59" s="139"/>
      <c r="DW59" s="139"/>
      <c r="DX59" s="139"/>
      <c r="DY59" s="139"/>
      <c r="DZ59" s="139"/>
      <c r="EA59" s="139"/>
      <c r="EB59" s="139"/>
      <c r="EC59" s="139"/>
      <c r="ED59" s="139"/>
      <c r="EE59" s="139"/>
      <c r="EF59" s="139"/>
      <c r="EG59" s="139"/>
      <c r="EH59" s="139"/>
      <c r="EI59" s="139"/>
      <c r="EJ59" s="139"/>
      <c r="EK59" s="139"/>
      <c r="EL59" s="139"/>
      <c r="EM59" s="139"/>
      <c r="EN59" s="139"/>
      <c r="EO59" s="139"/>
      <c r="EP59" s="139"/>
      <c r="EQ59" s="139"/>
      <c r="ER59" s="139"/>
      <c r="ES59" s="139"/>
      <c r="ET59" s="139"/>
      <c r="EU59" s="139"/>
      <c r="EV59" s="139"/>
      <c r="EW59" s="139"/>
      <c r="EX59" s="139"/>
      <c r="EY59" s="139"/>
      <c r="EZ59" s="139"/>
      <c r="FA59" s="139"/>
      <c r="FB59" s="139"/>
      <c r="FC59" s="139"/>
      <c r="FD59" s="139"/>
      <c r="FE59" s="139"/>
      <c r="FF59" s="139"/>
      <c r="FG59" s="139"/>
      <c r="FH59" s="139"/>
      <c r="FI59" s="139"/>
      <c r="FJ59" s="139"/>
      <c r="FK59" s="139"/>
      <c r="FL59" s="139"/>
      <c r="FM59" s="139"/>
      <c r="FN59" s="139"/>
      <c r="FO59" s="139"/>
      <c r="FP59" s="139"/>
      <c r="FQ59" s="139"/>
      <c r="FR59" s="139"/>
      <c r="FS59" s="139"/>
      <c r="FT59" s="139"/>
      <c r="FU59" s="139"/>
      <c r="FV59" s="139"/>
      <c r="FW59" s="139"/>
      <c r="FX59" s="139"/>
      <c r="FY59" s="139"/>
      <c r="FZ59" s="139"/>
      <c r="GA59" s="139"/>
      <c r="GB59" s="139"/>
      <c r="GC59" s="139"/>
      <c r="GD59" s="139"/>
      <c r="GE59" s="139"/>
      <c r="GF59" s="139"/>
      <c r="GG59" s="139"/>
      <c r="GH59" s="139"/>
      <c r="GI59" s="139"/>
      <c r="GJ59" s="139"/>
      <c r="GK59" s="139"/>
      <c r="GL59" s="139"/>
      <c r="GM59" s="139"/>
      <c r="GN59" s="139"/>
      <c r="GO59" s="139"/>
      <c r="GP59" s="139"/>
      <c r="GQ59" s="139"/>
      <c r="GR59" s="139"/>
      <c r="GS59" s="139"/>
      <c r="GT59" s="139"/>
      <c r="GU59" s="139"/>
      <c r="GV59" s="139"/>
      <c r="GW59" s="139"/>
      <c r="GX59" s="139"/>
      <c r="GY59" s="139"/>
      <c r="GZ59" s="139"/>
      <c r="HA59" s="139"/>
      <c r="HB59" s="139"/>
      <c r="HC59" s="139"/>
      <c r="HD59" s="139"/>
      <c r="HE59" s="139"/>
      <c r="HF59" s="139"/>
      <c r="HG59" s="139"/>
      <c r="HH59" s="139"/>
      <c r="HI59" s="139"/>
      <c r="HJ59" s="139"/>
      <c r="HK59" s="139"/>
      <c r="HL59" s="139"/>
      <c r="HM59" s="139"/>
      <c r="HN59" s="139"/>
      <c r="HO59" s="139"/>
      <c r="HP59" s="139"/>
      <c r="HQ59" s="139"/>
      <c r="HR59" s="139"/>
      <c r="HS59" s="139"/>
      <c r="HT59" s="139"/>
      <c r="HU59" s="139"/>
      <c r="HV59" s="139"/>
      <c r="HW59" s="139"/>
      <c r="HX59" s="139"/>
      <c r="HY59" s="139"/>
      <c r="HZ59" s="139"/>
      <c r="IA59" s="139"/>
      <c r="IB59" s="139"/>
      <c r="IC59" s="139"/>
      <c r="ID59" s="139"/>
      <c r="IE59" s="139"/>
      <c r="IF59" s="139"/>
      <c r="IG59" s="139"/>
      <c r="IH59" s="139"/>
      <c r="II59" s="139"/>
      <c r="IJ59" s="139"/>
      <c r="IK59" s="139"/>
      <c r="IL59" s="139"/>
      <c r="IM59" s="139"/>
      <c r="IN59" s="139"/>
      <c r="IO59" s="139"/>
      <c r="IP59" s="139"/>
      <c r="IQ59" s="139"/>
      <c r="IR59" s="139"/>
    </row>
    <row r="60" spans="2:252" x14ac:dyDescent="0.3">
      <c r="B60" s="5" t="s">
        <v>112</v>
      </c>
      <c r="C60" s="916" t="s">
        <v>215</v>
      </c>
      <c r="D60" s="941">
        <v>0</v>
      </c>
      <c r="E60" s="941">
        <v>0</v>
      </c>
      <c r="F60" s="941">
        <v>0</v>
      </c>
      <c r="G60" s="941">
        <v>0</v>
      </c>
      <c r="H60" s="941">
        <v>0</v>
      </c>
      <c r="I60" s="941">
        <v>0</v>
      </c>
      <c r="J60" s="941">
        <v>0</v>
      </c>
      <c r="K60" s="941">
        <v>0</v>
      </c>
      <c r="L60" s="941">
        <v>0</v>
      </c>
      <c r="M60" s="941">
        <v>0</v>
      </c>
      <c r="N60" s="941">
        <v>0</v>
      </c>
      <c r="O60" s="941">
        <v>0</v>
      </c>
      <c r="P60" s="941">
        <v>0</v>
      </c>
      <c r="Q60" s="941">
        <v>48.141085293674948</v>
      </c>
      <c r="R60" s="941">
        <v>0</v>
      </c>
      <c r="S60" s="941">
        <v>0</v>
      </c>
      <c r="T60" s="941">
        <v>0</v>
      </c>
      <c r="U60" s="941">
        <v>0</v>
      </c>
      <c r="V60" s="941">
        <v>0</v>
      </c>
      <c r="W60" s="941">
        <v>0</v>
      </c>
      <c r="X60" s="941">
        <v>0</v>
      </c>
      <c r="Y60" s="941">
        <v>0</v>
      </c>
      <c r="Z60" s="941">
        <v>0</v>
      </c>
      <c r="AA60" s="941">
        <v>0</v>
      </c>
      <c r="AB60" s="941">
        <v>0</v>
      </c>
      <c r="AC60" s="941">
        <v>0</v>
      </c>
      <c r="AD60" s="941">
        <v>0</v>
      </c>
      <c r="AE60" s="941">
        <v>0</v>
      </c>
      <c r="AF60" s="941">
        <v>0</v>
      </c>
      <c r="AG60" s="941">
        <v>0</v>
      </c>
      <c r="AH60" s="941">
        <v>15.268781276176918</v>
      </c>
      <c r="AI60" s="941">
        <v>0</v>
      </c>
      <c r="AJ60" s="629">
        <f>((D60+E60+P60+Q60+SUM(AA60:AI60))*'Emission &amp; Conversion Factors'!$H$232*1000)+((F60+R60)*'Emission &amp; Conversion Factors'!$H$240*1000)+((G60+S60)*'Emission &amp; Conversion Factors'!$H$242*1000)+((H60+T60)*'Emission &amp; Conversion Factors'!$H$254*1000)+((I60+U60)*'Emission &amp; Conversion Factors'!$H$251*1000)+((J60+V60)*'Emission &amp; Conversion Factors'!$J$240)+((K60+W60)*'Emission &amp; Conversion Factors'!$J$251)</f>
        <v>814055.86702375824</v>
      </c>
      <c r="AK60" s="139"/>
      <c r="AL60" s="139"/>
      <c r="AM60" s="139"/>
      <c r="AN60" s="139"/>
      <c r="AO60" s="139"/>
      <c r="AP60" s="139"/>
      <c r="AQ60" s="139"/>
      <c r="AR60" s="139"/>
      <c r="AS60" s="139"/>
      <c r="AT60" s="139"/>
      <c r="AU60" s="139"/>
      <c r="AV60" s="139"/>
      <c r="AW60" s="139"/>
      <c r="AX60" s="139"/>
      <c r="AY60" s="139"/>
      <c r="AZ60" s="139"/>
      <c r="BA60" s="139"/>
      <c r="BB60" s="139"/>
      <c r="BC60" s="139"/>
      <c r="BD60" s="139"/>
      <c r="BE60" s="139"/>
      <c r="BF60" s="139"/>
      <c r="BG60" s="139"/>
      <c r="BH60" s="139"/>
      <c r="BI60" s="139"/>
      <c r="BJ60" s="139"/>
      <c r="BK60" s="139"/>
      <c r="BL60" s="139"/>
      <c r="BM60" s="139"/>
      <c r="BN60" s="139"/>
      <c r="BO60" s="139"/>
      <c r="BP60" s="139"/>
      <c r="BQ60" s="139"/>
      <c r="BR60" s="139"/>
      <c r="BS60" s="139"/>
      <c r="BT60" s="139"/>
      <c r="BU60" s="139"/>
      <c r="BV60" s="139"/>
      <c r="BW60" s="139"/>
      <c r="BX60" s="139"/>
      <c r="BY60" s="139"/>
      <c r="BZ60" s="139"/>
      <c r="CA60" s="139"/>
      <c r="CB60" s="139"/>
      <c r="CC60" s="139"/>
      <c r="CD60" s="139"/>
      <c r="CE60" s="139"/>
      <c r="CF60" s="139"/>
      <c r="CG60" s="139"/>
      <c r="CH60" s="139"/>
      <c r="CI60" s="139"/>
      <c r="CJ60" s="139"/>
      <c r="CK60" s="139"/>
      <c r="CL60" s="139"/>
      <c r="CM60" s="139"/>
      <c r="CN60" s="139"/>
      <c r="CO60" s="139"/>
      <c r="CP60" s="139"/>
      <c r="CQ60" s="139"/>
      <c r="CR60" s="139"/>
      <c r="CS60" s="139"/>
      <c r="CT60" s="139"/>
      <c r="CU60" s="139"/>
      <c r="CV60" s="139"/>
      <c r="CW60" s="139"/>
      <c r="CX60" s="139"/>
      <c r="CY60" s="139"/>
      <c r="CZ60" s="139"/>
      <c r="DA60" s="139"/>
      <c r="DB60" s="139"/>
      <c r="DC60" s="139"/>
      <c r="DD60" s="139"/>
      <c r="DE60" s="139"/>
      <c r="DF60" s="139"/>
      <c r="DG60" s="139"/>
      <c r="DH60" s="139"/>
      <c r="DI60" s="139"/>
      <c r="DJ60" s="139"/>
      <c r="DK60" s="139"/>
      <c r="DL60" s="139"/>
      <c r="DM60" s="139"/>
      <c r="DN60" s="139"/>
      <c r="DO60" s="139"/>
      <c r="DP60" s="139"/>
      <c r="DQ60" s="139"/>
      <c r="DR60" s="139"/>
      <c r="DS60" s="139"/>
      <c r="DT60" s="139"/>
      <c r="DU60" s="139"/>
      <c r="DV60" s="139"/>
      <c r="DW60" s="139"/>
      <c r="DX60" s="139"/>
      <c r="DY60" s="139"/>
      <c r="DZ60" s="139"/>
      <c r="EA60" s="139"/>
      <c r="EB60" s="139"/>
      <c r="EC60" s="139"/>
      <c r="ED60" s="139"/>
      <c r="EE60" s="139"/>
      <c r="EF60" s="139"/>
      <c r="EG60" s="139"/>
      <c r="EH60" s="139"/>
      <c r="EI60" s="139"/>
      <c r="EJ60" s="139"/>
      <c r="EK60" s="139"/>
      <c r="EL60" s="139"/>
      <c r="EM60" s="139"/>
      <c r="EN60" s="139"/>
      <c r="EO60" s="139"/>
      <c r="EP60" s="139"/>
      <c r="EQ60" s="139"/>
      <c r="ER60" s="139"/>
      <c r="ES60" s="139"/>
      <c r="ET60" s="139"/>
      <c r="EU60" s="139"/>
      <c r="EV60" s="139"/>
      <c r="EW60" s="139"/>
      <c r="EX60" s="139"/>
      <c r="EY60" s="139"/>
      <c r="EZ60" s="139"/>
      <c r="FA60" s="139"/>
      <c r="FB60" s="139"/>
      <c r="FC60" s="139"/>
      <c r="FD60" s="139"/>
      <c r="FE60" s="139"/>
      <c r="FF60" s="139"/>
      <c r="FG60" s="139"/>
      <c r="FH60" s="139"/>
      <c r="FI60" s="139"/>
      <c r="FJ60" s="139"/>
      <c r="FK60" s="139"/>
      <c r="FL60" s="139"/>
      <c r="FM60" s="139"/>
      <c r="FN60" s="139"/>
      <c r="FO60" s="139"/>
      <c r="FP60" s="139"/>
      <c r="FQ60" s="139"/>
      <c r="FR60" s="139"/>
      <c r="FS60" s="139"/>
      <c r="FT60" s="139"/>
      <c r="FU60" s="139"/>
      <c r="FV60" s="139"/>
      <c r="FW60" s="139"/>
      <c r="FX60" s="139"/>
      <c r="FY60" s="139"/>
      <c r="FZ60" s="139"/>
      <c r="GA60" s="139"/>
      <c r="GB60" s="139"/>
      <c r="GC60" s="139"/>
      <c r="GD60" s="139"/>
      <c r="GE60" s="139"/>
      <c r="GF60" s="139"/>
      <c r="GG60" s="139"/>
      <c r="GH60" s="139"/>
      <c r="GI60" s="139"/>
      <c r="GJ60" s="139"/>
      <c r="GK60" s="139"/>
      <c r="GL60" s="139"/>
      <c r="GM60" s="139"/>
      <c r="GN60" s="139"/>
      <c r="GO60" s="139"/>
      <c r="GP60" s="139"/>
      <c r="GQ60" s="139"/>
      <c r="GR60" s="139"/>
      <c r="GS60" s="139"/>
      <c r="GT60" s="139"/>
      <c r="GU60" s="139"/>
      <c r="GV60" s="139"/>
      <c r="GW60" s="139"/>
      <c r="GX60" s="139"/>
      <c r="GY60" s="139"/>
      <c r="GZ60" s="139"/>
      <c r="HA60" s="139"/>
      <c r="HB60" s="139"/>
      <c r="HC60" s="139"/>
      <c r="HD60" s="139"/>
      <c r="HE60" s="139"/>
      <c r="HF60" s="139"/>
      <c r="HG60" s="139"/>
      <c r="HH60" s="139"/>
      <c r="HI60" s="139"/>
      <c r="HJ60" s="139"/>
      <c r="HK60" s="139"/>
      <c r="HL60" s="139"/>
      <c r="HM60" s="139"/>
      <c r="HN60" s="139"/>
      <c r="HO60" s="139"/>
      <c r="HP60" s="139"/>
      <c r="HQ60" s="139"/>
      <c r="HR60" s="139"/>
      <c r="HS60" s="139"/>
      <c r="HT60" s="139"/>
      <c r="HU60" s="139"/>
      <c r="HV60" s="139"/>
      <c r="HW60" s="139"/>
      <c r="HX60" s="139"/>
      <c r="HY60" s="139"/>
      <c r="HZ60" s="139"/>
      <c r="IA60" s="139"/>
      <c r="IB60" s="139"/>
      <c r="IC60" s="139"/>
      <c r="ID60" s="139"/>
      <c r="IE60" s="139"/>
      <c r="IF60" s="139"/>
      <c r="IG60" s="139"/>
      <c r="IH60" s="139"/>
      <c r="II60" s="139"/>
      <c r="IJ60" s="139"/>
      <c r="IK60" s="139"/>
      <c r="IL60" s="139"/>
      <c r="IM60" s="139"/>
      <c r="IN60" s="139"/>
      <c r="IO60" s="139"/>
      <c r="IP60" s="139"/>
      <c r="IQ60" s="139"/>
      <c r="IR60" s="139"/>
    </row>
    <row r="61" spans="2:252" x14ac:dyDescent="0.3">
      <c r="B61" s="5" t="s">
        <v>113</v>
      </c>
      <c r="C61" s="916" t="s">
        <v>216</v>
      </c>
      <c r="D61" s="941">
        <v>0</v>
      </c>
      <c r="E61" s="941">
        <v>0</v>
      </c>
      <c r="F61" s="941">
        <v>0</v>
      </c>
      <c r="G61" s="941">
        <v>0</v>
      </c>
      <c r="H61" s="941">
        <v>0</v>
      </c>
      <c r="I61" s="941">
        <v>0</v>
      </c>
      <c r="J61" s="941">
        <v>0</v>
      </c>
      <c r="K61" s="941">
        <v>0</v>
      </c>
      <c r="L61" s="941">
        <v>0</v>
      </c>
      <c r="M61" s="941">
        <v>0</v>
      </c>
      <c r="N61" s="941">
        <v>0</v>
      </c>
      <c r="O61" s="941">
        <v>0</v>
      </c>
      <c r="P61" s="941">
        <v>0</v>
      </c>
      <c r="Q61" s="941">
        <v>974.022630079789</v>
      </c>
      <c r="R61" s="941">
        <v>0</v>
      </c>
      <c r="S61" s="941">
        <v>0</v>
      </c>
      <c r="T61" s="941">
        <v>0</v>
      </c>
      <c r="U61" s="941">
        <v>0</v>
      </c>
      <c r="V61" s="941">
        <v>0</v>
      </c>
      <c r="W61" s="941">
        <v>0</v>
      </c>
      <c r="X61" s="941">
        <v>0</v>
      </c>
      <c r="Y61" s="941">
        <v>0</v>
      </c>
      <c r="Z61" s="941">
        <v>0</v>
      </c>
      <c r="AA61" s="941">
        <v>0</v>
      </c>
      <c r="AB61" s="941">
        <v>0</v>
      </c>
      <c r="AC61" s="941">
        <v>0</v>
      </c>
      <c r="AD61" s="941">
        <v>0</v>
      </c>
      <c r="AE61" s="941">
        <v>0</v>
      </c>
      <c r="AF61" s="941">
        <v>0</v>
      </c>
      <c r="AG61" s="941">
        <v>0</v>
      </c>
      <c r="AH61" s="941">
        <v>0</v>
      </c>
      <c r="AI61" s="941">
        <v>0</v>
      </c>
      <c r="AJ61" s="629">
        <f>((D61+E61+P61+Q61+SUM(AA61:AI61))*'Emission &amp; Conversion Factors'!$H$232*1000)+((F61+R61)*'Emission &amp; Conversion Factors'!$H$240*1000)+((G61+S61)*'Emission &amp; Conversion Factors'!$H$242*1000)+((H61+T61)*'Emission &amp; Conversion Factors'!$H$254*1000)+((I61+U61)*'Emission &amp; Conversion Factors'!$H$251*1000)+((J61+V61)*'Emission &amp; Conversion Factors'!$J$240)+((K61+W61)*'Emission &amp; Conversion Factors'!$J$251)</f>
        <v>12504502.524964329</v>
      </c>
      <c r="AK61" s="139"/>
      <c r="AL61" s="139"/>
      <c r="AM61" s="139"/>
      <c r="AN61" s="139"/>
      <c r="AO61" s="139"/>
      <c r="AP61" s="139"/>
      <c r="AQ61" s="139"/>
      <c r="AR61" s="139"/>
      <c r="AS61" s="139"/>
      <c r="AT61" s="139"/>
      <c r="AU61" s="139"/>
      <c r="AV61" s="139"/>
      <c r="AW61" s="139"/>
      <c r="AX61" s="139"/>
      <c r="AY61" s="139"/>
      <c r="AZ61" s="139"/>
      <c r="BA61" s="139"/>
      <c r="BB61" s="139"/>
      <c r="BC61" s="139"/>
      <c r="BD61" s="139"/>
      <c r="BE61" s="139"/>
      <c r="BF61" s="139"/>
      <c r="BG61" s="139"/>
      <c r="BH61" s="139"/>
      <c r="BI61" s="139"/>
      <c r="BJ61" s="139"/>
      <c r="BK61" s="139"/>
      <c r="BL61" s="139"/>
      <c r="BM61" s="139"/>
      <c r="BN61" s="139"/>
      <c r="BO61" s="139"/>
      <c r="BP61" s="139"/>
      <c r="BQ61" s="139"/>
      <c r="BR61" s="139"/>
      <c r="BS61" s="139"/>
      <c r="BT61" s="139"/>
      <c r="BU61" s="139"/>
      <c r="BV61" s="139"/>
      <c r="BW61" s="139"/>
      <c r="BX61" s="139"/>
      <c r="BY61" s="139"/>
      <c r="BZ61" s="139"/>
      <c r="CA61" s="139"/>
      <c r="CB61" s="139"/>
      <c r="CC61" s="139"/>
      <c r="CD61" s="139"/>
      <c r="CE61" s="139"/>
      <c r="CF61" s="139"/>
      <c r="CG61" s="139"/>
      <c r="CH61" s="139"/>
      <c r="CI61" s="139"/>
      <c r="CJ61" s="139"/>
      <c r="CK61" s="139"/>
      <c r="CL61" s="139"/>
      <c r="CM61" s="139"/>
      <c r="CN61" s="139"/>
      <c r="CO61" s="139"/>
      <c r="CP61" s="139"/>
      <c r="CQ61" s="139"/>
      <c r="CR61" s="139"/>
      <c r="CS61" s="139"/>
      <c r="CT61" s="139"/>
      <c r="CU61" s="139"/>
      <c r="CV61" s="139"/>
      <c r="CW61" s="139"/>
      <c r="CX61" s="139"/>
      <c r="CY61" s="139"/>
      <c r="CZ61" s="139"/>
      <c r="DA61" s="139"/>
      <c r="DB61" s="139"/>
      <c r="DC61" s="139"/>
      <c r="DD61" s="139"/>
      <c r="DE61" s="139"/>
      <c r="DF61" s="139"/>
      <c r="DG61" s="139"/>
      <c r="DH61" s="139"/>
      <c r="DI61" s="139"/>
      <c r="DJ61" s="139"/>
      <c r="DK61" s="139"/>
      <c r="DL61" s="139"/>
      <c r="DM61" s="139"/>
      <c r="DN61" s="139"/>
      <c r="DO61" s="139"/>
      <c r="DP61" s="139"/>
      <c r="DQ61" s="139"/>
      <c r="DR61" s="139"/>
      <c r="DS61" s="139"/>
      <c r="DT61" s="139"/>
      <c r="DU61" s="139"/>
      <c r="DV61" s="139"/>
      <c r="DW61" s="139"/>
      <c r="DX61" s="139"/>
      <c r="DY61" s="139"/>
      <c r="DZ61" s="139"/>
      <c r="EA61" s="139"/>
      <c r="EB61" s="139"/>
      <c r="EC61" s="139"/>
      <c r="ED61" s="139"/>
      <c r="EE61" s="139"/>
      <c r="EF61" s="139"/>
      <c r="EG61" s="139"/>
      <c r="EH61" s="139"/>
      <c r="EI61" s="139"/>
      <c r="EJ61" s="139"/>
      <c r="EK61" s="139"/>
      <c r="EL61" s="139"/>
      <c r="EM61" s="139"/>
      <c r="EN61" s="139"/>
      <c r="EO61" s="139"/>
      <c r="EP61" s="139"/>
      <c r="EQ61" s="139"/>
      <c r="ER61" s="139"/>
      <c r="ES61" s="139"/>
      <c r="ET61" s="139"/>
      <c r="EU61" s="139"/>
      <c r="EV61" s="139"/>
      <c r="EW61" s="139"/>
      <c r="EX61" s="139"/>
      <c r="EY61" s="139"/>
      <c r="EZ61" s="139"/>
      <c r="FA61" s="139"/>
      <c r="FB61" s="139"/>
      <c r="FC61" s="139"/>
      <c r="FD61" s="139"/>
      <c r="FE61" s="139"/>
      <c r="FF61" s="139"/>
      <c r="FG61" s="139"/>
      <c r="FH61" s="139"/>
      <c r="FI61" s="139"/>
      <c r="FJ61" s="139"/>
      <c r="FK61" s="139"/>
      <c r="FL61" s="139"/>
      <c r="FM61" s="139"/>
      <c r="FN61" s="139"/>
      <c r="FO61" s="139"/>
      <c r="FP61" s="139"/>
      <c r="FQ61" s="139"/>
      <c r="FR61" s="139"/>
      <c r="FS61" s="139"/>
      <c r="FT61" s="139"/>
      <c r="FU61" s="139"/>
      <c r="FV61" s="139"/>
      <c r="FW61" s="139"/>
      <c r="FX61" s="139"/>
      <c r="FY61" s="139"/>
      <c r="FZ61" s="139"/>
      <c r="GA61" s="139"/>
      <c r="GB61" s="139"/>
      <c r="GC61" s="139"/>
      <c r="GD61" s="139"/>
      <c r="GE61" s="139"/>
      <c r="GF61" s="139"/>
      <c r="GG61" s="139"/>
      <c r="GH61" s="139"/>
      <c r="GI61" s="139"/>
      <c r="GJ61" s="139"/>
      <c r="GK61" s="139"/>
      <c r="GL61" s="139"/>
      <c r="GM61" s="139"/>
      <c r="GN61" s="139"/>
      <c r="GO61" s="139"/>
      <c r="GP61" s="139"/>
      <c r="GQ61" s="139"/>
      <c r="GR61" s="139"/>
      <c r="GS61" s="139"/>
      <c r="GT61" s="139"/>
      <c r="GU61" s="139"/>
      <c r="GV61" s="139"/>
      <c r="GW61" s="139"/>
      <c r="GX61" s="139"/>
      <c r="GY61" s="139"/>
      <c r="GZ61" s="139"/>
      <c r="HA61" s="139"/>
      <c r="HB61" s="139"/>
      <c r="HC61" s="139"/>
      <c r="HD61" s="139"/>
      <c r="HE61" s="139"/>
      <c r="HF61" s="139"/>
      <c r="HG61" s="139"/>
      <c r="HH61" s="139"/>
      <c r="HI61" s="139"/>
      <c r="HJ61" s="139"/>
      <c r="HK61" s="139"/>
      <c r="HL61" s="139"/>
      <c r="HM61" s="139"/>
      <c r="HN61" s="139"/>
      <c r="HO61" s="139"/>
      <c r="HP61" s="139"/>
      <c r="HQ61" s="139"/>
      <c r="HR61" s="139"/>
      <c r="HS61" s="139"/>
      <c r="HT61" s="139"/>
      <c r="HU61" s="139"/>
      <c r="HV61" s="139"/>
      <c r="HW61" s="139"/>
      <c r="HX61" s="139"/>
      <c r="HY61" s="139"/>
      <c r="HZ61" s="139"/>
      <c r="IA61" s="139"/>
      <c r="IB61" s="139"/>
      <c r="IC61" s="139"/>
      <c r="ID61" s="139"/>
      <c r="IE61" s="139"/>
      <c r="IF61" s="139"/>
      <c r="IG61" s="139"/>
      <c r="IH61" s="139"/>
      <c r="II61" s="139"/>
      <c r="IJ61" s="139"/>
      <c r="IK61" s="139"/>
      <c r="IL61" s="139"/>
      <c r="IM61" s="139"/>
      <c r="IN61" s="139"/>
      <c r="IO61" s="139"/>
      <c r="IP61" s="139"/>
      <c r="IQ61" s="139"/>
      <c r="IR61" s="139"/>
    </row>
    <row r="62" spans="2:252" x14ac:dyDescent="0.3">
      <c r="B62" s="5" t="s">
        <v>114</v>
      </c>
      <c r="C62" s="916" t="s">
        <v>217</v>
      </c>
      <c r="D62" s="941">
        <v>0</v>
      </c>
      <c r="E62" s="941">
        <v>0</v>
      </c>
      <c r="F62" s="941">
        <v>0</v>
      </c>
      <c r="G62" s="941">
        <v>0</v>
      </c>
      <c r="H62" s="941">
        <v>0</v>
      </c>
      <c r="I62" s="941">
        <v>0</v>
      </c>
      <c r="J62" s="941">
        <v>0</v>
      </c>
      <c r="K62" s="941">
        <v>0</v>
      </c>
      <c r="L62" s="941">
        <v>0</v>
      </c>
      <c r="M62" s="941">
        <v>0</v>
      </c>
      <c r="N62" s="941">
        <v>0</v>
      </c>
      <c r="O62" s="941">
        <v>0</v>
      </c>
      <c r="P62" s="941">
        <v>0</v>
      </c>
      <c r="Q62" s="941">
        <v>0</v>
      </c>
      <c r="R62" s="941">
        <v>0</v>
      </c>
      <c r="S62" s="941">
        <v>0</v>
      </c>
      <c r="T62" s="941">
        <v>0</v>
      </c>
      <c r="U62" s="941">
        <v>0</v>
      </c>
      <c r="V62" s="941">
        <v>0</v>
      </c>
      <c r="W62" s="941">
        <v>0</v>
      </c>
      <c r="X62" s="941">
        <v>0</v>
      </c>
      <c r="Y62" s="941">
        <v>0</v>
      </c>
      <c r="Z62" s="941">
        <v>0</v>
      </c>
      <c r="AA62" s="941">
        <v>0</v>
      </c>
      <c r="AB62" s="941">
        <v>0</v>
      </c>
      <c r="AC62" s="941">
        <v>0</v>
      </c>
      <c r="AD62" s="941">
        <v>0</v>
      </c>
      <c r="AE62" s="941">
        <v>0</v>
      </c>
      <c r="AF62" s="941">
        <v>0</v>
      </c>
      <c r="AG62" s="941">
        <v>0</v>
      </c>
      <c r="AH62" s="941">
        <v>0</v>
      </c>
      <c r="AI62" s="941">
        <v>0</v>
      </c>
      <c r="AJ62" s="629">
        <f>((D62+E62+P62+Q62+SUM(AA62:AI62))*'Emission &amp; Conversion Factors'!$H$232*1000)+((F62+R62)*'Emission &amp; Conversion Factors'!$H$240*1000)+((G62+S62)*'Emission &amp; Conversion Factors'!$H$242*1000)+((H62+T62)*'Emission &amp; Conversion Factors'!$H$254*1000)+((I62+U62)*'Emission &amp; Conversion Factors'!$H$251*1000)+((J62+V62)*'Emission &amp; Conversion Factors'!$J$240)+((K62+W62)*'Emission &amp; Conversion Factors'!$J$251)</f>
        <v>0</v>
      </c>
      <c r="AK62" s="139"/>
      <c r="AL62" s="139"/>
      <c r="AM62" s="139"/>
      <c r="AN62" s="139"/>
      <c r="AO62" s="139"/>
      <c r="AP62" s="139"/>
      <c r="AQ62" s="139"/>
      <c r="AR62" s="139"/>
      <c r="AS62" s="139"/>
      <c r="AT62" s="139"/>
      <c r="AU62" s="139"/>
      <c r="AV62" s="139"/>
      <c r="AW62" s="139"/>
      <c r="AX62" s="139"/>
      <c r="AY62" s="139"/>
      <c r="AZ62" s="139"/>
      <c r="BA62" s="139"/>
      <c r="BB62" s="139"/>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39"/>
      <c r="CD62" s="139"/>
      <c r="CE62" s="139"/>
      <c r="CF62" s="139"/>
      <c r="CG62" s="139"/>
      <c r="CH62" s="139"/>
      <c r="CI62" s="139"/>
      <c r="CJ62" s="139"/>
      <c r="CK62" s="139"/>
      <c r="CL62" s="139"/>
      <c r="CM62" s="139"/>
      <c r="CN62" s="139"/>
      <c r="CO62" s="139"/>
      <c r="CP62" s="139"/>
      <c r="CQ62" s="139"/>
      <c r="CR62" s="139"/>
      <c r="CS62" s="139"/>
      <c r="CT62" s="139"/>
      <c r="CU62" s="139"/>
      <c r="CV62" s="139"/>
      <c r="CW62" s="139"/>
      <c r="CX62" s="139"/>
      <c r="CY62" s="139"/>
      <c r="CZ62" s="139"/>
      <c r="DA62" s="139"/>
      <c r="DB62" s="139"/>
      <c r="DC62" s="139"/>
      <c r="DD62" s="139"/>
      <c r="DE62" s="139"/>
      <c r="DF62" s="139"/>
      <c r="DG62" s="139"/>
      <c r="DH62" s="139"/>
      <c r="DI62" s="139"/>
      <c r="DJ62" s="139"/>
      <c r="DK62" s="139"/>
      <c r="DL62" s="139"/>
      <c r="DM62" s="139"/>
      <c r="DN62" s="139"/>
      <c r="DO62" s="139"/>
      <c r="DP62" s="139"/>
      <c r="DQ62" s="139"/>
      <c r="DR62" s="139"/>
      <c r="DS62" s="139"/>
      <c r="DT62" s="139"/>
      <c r="DU62" s="139"/>
      <c r="DV62" s="139"/>
      <c r="DW62" s="139"/>
      <c r="DX62" s="139"/>
      <c r="DY62" s="139"/>
      <c r="DZ62" s="139"/>
      <c r="EA62" s="139"/>
      <c r="EB62" s="139"/>
      <c r="EC62" s="139"/>
      <c r="ED62" s="139"/>
      <c r="EE62" s="139"/>
      <c r="EF62" s="139"/>
      <c r="EG62" s="139"/>
      <c r="EH62" s="139"/>
      <c r="EI62" s="139"/>
      <c r="EJ62" s="139"/>
      <c r="EK62" s="139"/>
      <c r="EL62" s="139"/>
      <c r="EM62" s="139"/>
      <c r="EN62" s="139"/>
      <c r="EO62" s="139"/>
      <c r="EP62" s="139"/>
      <c r="EQ62" s="139"/>
      <c r="ER62" s="139"/>
      <c r="ES62" s="139"/>
      <c r="ET62" s="139"/>
      <c r="EU62" s="139"/>
      <c r="EV62" s="139"/>
      <c r="EW62" s="139"/>
      <c r="EX62" s="139"/>
      <c r="EY62" s="139"/>
      <c r="EZ62" s="139"/>
      <c r="FA62" s="139"/>
      <c r="FB62" s="139"/>
      <c r="FC62" s="139"/>
      <c r="FD62" s="139"/>
      <c r="FE62" s="139"/>
      <c r="FF62" s="139"/>
      <c r="FG62" s="139"/>
      <c r="FH62" s="139"/>
      <c r="FI62" s="139"/>
      <c r="FJ62" s="139"/>
      <c r="FK62" s="139"/>
      <c r="FL62" s="139"/>
      <c r="FM62" s="139"/>
      <c r="FN62" s="139"/>
      <c r="FO62" s="139"/>
      <c r="FP62" s="139"/>
      <c r="FQ62" s="139"/>
      <c r="FR62" s="139"/>
      <c r="FS62" s="139"/>
      <c r="FT62" s="139"/>
      <c r="FU62" s="139"/>
      <c r="FV62" s="139"/>
      <c r="FW62" s="139"/>
      <c r="FX62" s="139"/>
      <c r="FY62" s="139"/>
      <c r="FZ62" s="139"/>
      <c r="GA62" s="139"/>
      <c r="GB62" s="139"/>
      <c r="GC62" s="139"/>
      <c r="GD62" s="139"/>
      <c r="GE62" s="139"/>
      <c r="GF62" s="139"/>
      <c r="GG62" s="139"/>
      <c r="GH62" s="139"/>
      <c r="GI62" s="139"/>
      <c r="GJ62" s="139"/>
      <c r="GK62" s="139"/>
      <c r="GL62" s="139"/>
      <c r="GM62" s="139"/>
      <c r="GN62" s="139"/>
      <c r="GO62" s="139"/>
      <c r="GP62" s="139"/>
      <c r="GQ62" s="139"/>
      <c r="GR62" s="139"/>
      <c r="GS62" s="139"/>
      <c r="GT62" s="139"/>
      <c r="GU62" s="139"/>
      <c r="GV62" s="139"/>
      <c r="GW62" s="139"/>
      <c r="GX62" s="139"/>
      <c r="GY62" s="139"/>
      <c r="GZ62" s="139"/>
      <c r="HA62" s="139"/>
      <c r="HB62" s="139"/>
      <c r="HC62" s="139"/>
      <c r="HD62" s="139"/>
      <c r="HE62" s="139"/>
      <c r="HF62" s="139"/>
      <c r="HG62" s="139"/>
      <c r="HH62" s="139"/>
      <c r="HI62" s="139"/>
      <c r="HJ62" s="139"/>
      <c r="HK62" s="139"/>
      <c r="HL62" s="139"/>
      <c r="HM62" s="139"/>
      <c r="HN62" s="139"/>
      <c r="HO62" s="139"/>
      <c r="HP62" s="139"/>
      <c r="HQ62" s="139"/>
      <c r="HR62" s="139"/>
      <c r="HS62" s="139"/>
      <c r="HT62" s="139"/>
      <c r="HU62" s="139"/>
      <c r="HV62" s="139"/>
      <c r="HW62" s="139"/>
      <c r="HX62" s="139"/>
      <c r="HY62" s="139"/>
      <c r="HZ62" s="139"/>
      <c r="IA62" s="139"/>
      <c r="IB62" s="139"/>
      <c r="IC62" s="139"/>
      <c r="ID62" s="139"/>
      <c r="IE62" s="139"/>
      <c r="IF62" s="139"/>
      <c r="IG62" s="139"/>
      <c r="IH62" s="139"/>
      <c r="II62" s="139"/>
      <c r="IJ62" s="139"/>
      <c r="IK62" s="139"/>
      <c r="IL62" s="139"/>
      <c r="IM62" s="139"/>
      <c r="IN62" s="139"/>
      <c r="IO62" s="139"/>
      <c r="IP62" s="139"/>
      <c r="IQ62" s="139"/>
      <c r="IR62" s="139"/>
    </row>
    <row r="63" spans="2:252" x14ac:dyDescent="0.3">
      <c r="B63" s="5" t="s">
        <v>115</v>
      </c>
      <c r="C63" s="916" t="s">
        <v>218</v>
      </c>
      <c r="D63" s="941">
        <v>0</v>
      </c>
      <c r="E63" s="941">
        <v>2493.1198109126049</v>
      </c>
      <c r="F63" s="941">
        <v>0</v>
      </c>
      <c r="G63" s="941">
        <v>0</v>
      </c>
      <c r="H63" s="941">
        <v>0</v>
      </c>
      <c r="I63" s="941">
        <v>0</v>
      </c>
      <c r="J63" s="941">
        <v>0</v>
      </c>
      <c r="K63" s="941">
        <v>0</v>
      </c>
      <c r="L63" s="941">
        <v>0</v>
      </c>
      <c r="M63" s="941">
        <v>0</v>
      </c>
      <c r="N63" s="941">
        <v>0</v>
      </c>
      <c r="O63" s="941">
        <v>0</v>
      </c>
      <c r="P63" s="941">
        <v>0</v>
      </c>
      <c r="Q63" s="941">
        <v>0</v>
      </c>
      <c r="R63" s="941">
        <v>0</v>
      </c>
      <c r="S63" s="941">
        <v>0</v>
      </c>
      <c r="T63" s="941">
        <v>0</v>
      </c>
      <c r="U63" s="941">
        <v>0</v>
      </c>
      <c r="V63" s="941">
        <v>0</v>
      </c>
      <c r="W63" s="941">
        <v>0</v>
      </c>
      <c r="X63" s="941">
        <v>0</v>
      </c>
      <c r="Y63" s="941">
        <v>0</v>
      </c>
      <c r="Z63" s="941">
        <v>0</v>
      </c>
      <c r="AA63" s="941">
        <v>0</v>
      </c>
      <c r="AB63" s="941">
        <v>0</v>
      </c>
      <c r="AC63" s="941">
        <v>0</v>
      </c>
      <c r="AD63" s="941">
        <v>0</v>
      </c>
      <c r="AE63" s="941">
        <v>0</v>
      </c>
      <c r="AF63" s="941">
        <v>0</v>
      </c>
      <c r="AG63" s="941">
        <v>0</v>
      </c>
      <c r="AH63" s="941">
        <v>0</v>
      </c>
      <c r="AI63" s="941">
        <v>0</v>
      </c>
      <c r="AJ63" s="629">
        <f>((D63+E63+P63+Q63+SUM(AA63:AI63))*'Emission &amp; Conversion Factors'!$H$232*1000)+((F63+R63)*'Emission &amp; Conversion Factors'!$H$240*1000)+((G63+S63)*'Emission &amp; Conversion Factors'!$H$242*1000)+((H63+T63)*'Emission &amp; Conversion Factors'!$H$254*1000)+((I63+U63)*'Emission &amp; Conversion Factors'!$H$251*1000)+((J63+V63)*'Emission &amp; Conversion Factors'!$J$240)+((K63+W63)*'Emission &amp; Conversion Factors'!$J$251)</f>
        <v>32006672.132496022</v>
      </c>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c r="CQ63" s="139"/>
      <c r="CR63" s="139"/>
      <c r="CS63" s="139"/>
      <c r="CT63" s="139"/>
      <c r="CU63" s="139"/>
      <c r="CV63" s="139"/>
      <c r="CW63" s="139"/>
      <c r="CX63" s="139"/>
      <c r="CY63" s="139"/>
      <c r="CZ63" s="139"/>
      <c r="DA63" s="139"/>
      <c r="DB63" s="139"/>
      <c r="DC63" s="139"/>
      <c r="DD63" s="139"/>
      <c r="DE63" s="139"/>
      <c r="DF63" s="139"/>
      <c r="DG63" s="139"/>
      <c r="DH63" s="139"/>
      <c r="DI63" s="139"/>
      <c r="DJ63" s="139"/>
      <c r="DK63" s="139"/>
      <c r="DL63" s="139"/>
      <c r="DM63" s="139"/>
      <c r="DN63" s="139"/>
      <c r="DO63" s="139"/>
      <c r="DP63" s="139"/>
      <c r="DQ63" s="139"/>
      <c r="DR63" s="139"/>
      <c r="DS63" s="139"/>
      <c r="DT63" s="139"/>
      <c r="DU63" s="139"/>
      <c r="DV63" s="139"/>
      <c r="DW63" s="139"/>
      <c r="DX63" s="139"/>
      <c r="DY63" s="139"/>
      <c r="DZ63" s="139"/>
      <c r="EA63" s="139"/>
      <c r="EB63" s="139"/>
      <c r="EC63" s="139"/>
      <c r="ED63" s="139"/>
      <c r="EE63" s="139"/>
      <c r="EF63" s="139"/>
      <c r="EG63" s="139"/>
      <c r="EH63" s="139"/>
      <c r="EI63" s="139"/>
      <c r="EJ63" s="139"/>
      <c r="EK63" s="139"/>
      <c r="EL63" s="139"/>
      <c r="EM63" s="139"/>
      <c r="EN63" s="139"/>
      <c r="EO63" s="139"/>
      <c r="EP63" s="139"/>
      <c r="EQ63" s="139"/>
      <c r="ER63" s="139"/>
      <c r="ES63" s="139"/>
      <c r="ET63" s="139"/>
      <c r="EU63" s="139"/>
      <c r="EV63" s="139"/>
      <c r="EW63" s="139"/>
      <c r="EX63" s="139"/>
      <c r="EY63" s="139"/>
      <c r="EZ63" s="139"/>
      <c r="FA63" s="139"/>
      <c r="FB63" s="139"/>
      <c r="FC63" s="139"/>
      <c r="FD63" s="139"/>
      <c r="FE63" s="139"/>
      <c r="FF63" s="139"/>
      <c r="FG63" s="139"/>
      <c r="FH63" s="139"/>
      <c r="FI63" s="139"/>
      <c r="FJ63" s="139"/>
      <c r="FK63" s="139"/>
      <c r="FL63" s="139"/>
      <c r="FM63" s="139"/>
      <c r="FN63" s="139"/>
      <c r="FO63" s="139"/>
      <c r="FP63" s="139"/>
      <c r="FQ63" s="139"/>
      <c r="FR63" s="139"/>
      <c r="FS63" s="139"/>
      <c r="FT63" s="139"/>
      <c r="FU63" s="139"/>
      <c r="FV63" s="139"/>
      <c r="FW63" s="139"/>
      <c r="FX63" s="139"/>
      <c r="FY63" s="139"/>
      <c r="FZ63" s="139"/>
      <c r="GA63" s="139"/>
      <c r="GB63" s="139"/>
      <c r="GC63" s="139"/>
      <c r="GD63" s="139"/>
      <c r="GE63" s="139"/>
      <c r="GF63" s="139"/>
      <c r="GG63" s="139"/>
      <c r="GH63" s="139"/>
      <c r="GI63" s="139"/>
      <c r="GJ63" s="139"/>
      <c r="GK63" s="139"/>
      <c r="GL63" s="139"/>
      <c r="GM63" s="139"/>
      <c r="GN63" s="139"/>
      <c r="GO63" s="139"/>
      <c r="GP63" s="139"/>
      <c r="GQ63" s="139"/>
      <c r="GR63" s="139"/>
      <c r="GS63" s="139"/>
      <c r="GT63" s="139"/>
      <c r="GU63" s="139"/>
      <c r="GV63" s="139"/>
      <c r="GW63" s="139"/>
      <c r="GX63" s="139"/>
      <c r="GY63" s="139"/>
      <c r="GZ63" s="139"/>
      <c r="HA63" s="139"/>
      <c r="HB63" s="139"/>
      <c r="HC63" s="139"/>
      <c r="HD63" s="139"/>
      <c r="HE63" s="139"/>
      <c r="HF63" s="139"/>
      <c r="HG63" s="139"/>
      <c r="HH63" s="139"/>
      <c r="HI63" s="139"/>
      <c r="HJ63" s="139"/>
      <c r="HK63" s="139"/>
      <c r="HL63" s="139"/>
      <c r="HM63" s="139"/>
      <c r="HN63" s="139"/>
      <c r="HO63" s="139"/>
      <c r="HP63" s="139"/>
      <c r="HQ63" s="139"/>
      <c r="HR63" s="139"/>
      <c r="HS63" s="139"/>
      <c r="HT63" s="139"/>
      <c r="HU63" s="139"/>
      <c r="HV63" s="139"/>
      <c r="HW63" s="139"/>
      <c r="HX63" s="139"/>
      <c r="HY63" s="139"/>
      <c r="HZ63" s="139"/>
      <c r="IA63" s="139"/>
      <c r="IB63" s="139"/>
      <c r="IC63" s="139"/>
      <c r="ID63" s="139"/>
      <c r="IE63" s="139"/>
      <c r="IF63" s="139"/>
      <c r="IG63" s="139"/>
      <c r="IH63" s="139"/>
      <c r="II63" s="139"/>
      <c r="IJ63" s="139"/>
      <c r="IK63" s="139"/>
      <c r="IL63" s="139"/>
      <c r="IM63" s="139"/>
      <c r="IN63" s="139"/>
      <c r="IO63" s="139"/>
      <c r="IP63" s="139"/>
      <c r="IQ63" s="139"/>
      <c r="IR63" s="139"/>
    </row>
    <row r="64" spans="2:252" x14ac:dyDescent="0.3">
      <c r="B64" s="5" t="s">
        <v>116</v>
      </c>
      <c r="C64" s="916" t="s">
        <v>219</v>
      </c>
      <c r="D64" s="941">
        <v>0</v>
      </c>
      <c r="E64" s="941">
        <v>0</v>
      </c>
      <c r="F64" s="941">
        <v>0</v>
      </c>
      <c r="G64" s="941">
        <v>0</v>
      </c>
      <c r="H64" s="941">
        <v>0</v>
      </c>
      <c r="I64" s="941">
        <v>0</v>
      </c>
      <c r="J64" s="941">
        <v>0</v>
      </c>
      <c r="K64" s="941">
        <v>0</v>
      </c>
      <c r="L64" s="941">
        <v>0</v>
      </c>
      <c r="M64" s="941">
        <v>0</v>
      </c>
      <c r="N64" s="941">
        <v>0</v>
      </c>
      <c r="O64" s="941">
        <v>0</v>
      </c>
      <c r="P64" s="941">
        <v>0</v>
      </c>
      <c r="Q64" s="941">
        <v>0</v>
      </c>
      <c r="R64" s="941">
        <v>0</v>
      </c>
      <c r="S64" s="941">
        <v>0</v>
      </c>
      <c r="T64" s="941">
        <v>0</v>
      </c>
      <c r="U64" s="941">
        <v>0</v>
      </c>
      <c r="V64" s="941">
        <v>0</v>
      </c>
      <c r="W64" s="941">
        <v>0</v>
      </c>
      <c r="X64" s="941">
        <v>0</v>
      </c>
      <c r="Y64" s="941">
        <v>0</v>
      </c>
      <c r="Z64" s="941">
        <v>0</v>
      </c>
      <c r="AA64" s="941">
        <v>0</v>
      </c>
      <c r="AB64" s="941">
        <v>0</v>
      </c>
      <c r="AC64" s="941">
        <v>0</v>
      </c>
      <c r="AD64" s="941">
        <v>0</v>
      </c>
      <c r="AE64" s="941">
        <v>0</v>
      </c>
      <c r="AF64" s="941">
        <v>0</v>
      </c>
      <c r="AG64" s="941">
        <v>0</v>
      </c>
      <c r="AH64" s="941">
        <v>0</v>
      </c>
      <c r="AI64" s="941">
        <v>0</v>
      </c>
      <c r="AJ64" s="629">
        <f>((D64+E64+P64+Q64+SUM(AA64:AI64))*'Emission &amp; Conversion Factors'!$H$232*1000)+((F64+R64)*'Emission &amp; Conversion Factors'!$H$240*1000)+((G64+S64)*'Emission &amp; Conversion Factors'!$H$242*1000)+((H64+T64)*'Emission &amp; Conversion Factors'!$H$254*1000)+((I64+U64)*'Emission &amp; Conversion Factors'!$H$251*1000)+((J64+V64)*'Emission &amp; Conversion Factors'!$J$240)+((K64+W64)*'Emission &amp; Conversion Factors'!$J$251)</f>
        <v>0</v>
      </c>
      <c r="AK64" s="139"/>
      <c r="AL64" s="139"/>
      <c r="AM64" s="139"/>
      <c r="AN64" s="139"/>
      <c r="AO64" s="139"/>
      <c r="AP64" s="139"/>
      <c r="AQ64" s="139"/>
      <c r="AR64" s="139"/>
      <c r="AS64" s="139"/>
      <c r="AT64" s="139"/>
      <c r="AU64" s="139"/>
      <c r="AV64" s="139"/>
      <c r="AW64" s="139"/>
      <c r="AX64" s="139"/>
      <c r="AY64" s="139"/>
      <c r="AZ64" s="139"/>
      <c r="BA64" s="139"/>
      <c r="BB64" s="139"/>
      <c r="BC64" s="139"/>
      <c r="BD64" s="139"/>
      <c r="BE64" s="139"/>
      <c r="BF64" s="139"/>
      <c r="BG64" s="139"/>
      <c r="BH64" s="139"/>
      <c r="BI64" s="139"/>
      <c r="BJ64" s="139"/>
      <c r="BK64" s="139"/>
      <c r="BL64" s="139"/>
      <c r="BM64" s="139"/>
      <c r="BN64" s="139"/>
      <c r="BO64" s="139"/>
      <c r="BP64" s="139"/>
      <c r="BQ64" s="139"/>
      <c r="BR64" s="139"/>
      <c r="BS64" s="139"/>
      <c r="BT64" s="139"/>
      <c r="BU64" s="139"/>
      <c r="BV64" s="139"/>
      <c r="BW64" s="139"/>
      <c r="BX64" s="139"/>
      <c r="BY64" s="139"/>
      <c r="BZ64" s="139"/>
      <c r="CA64" s="139"/>
      <c r="CB64" s="139"/>
      <c r="CC64" s="139"/>
      <c r="CD64" s="139"/>
      <c r="CE64" s="139"/>
      <c r="CF64" s="139"/>
      <c r="CG64" s="139"/>
      <c r="CH64" s="139"/>
      <c r="CI64" s="139"/>
      <c r="CJ64" s="139"/>
      <c r="CK64" s="139"/>
      <c r="CL64" s="139"/>
      <c r="CM64" s="139"/>
      <c r="CN64" s="139"/>
      <c r="CO64" s="139"/>
      <c r="CP64" s="139"/>
      <c r="CQ64" s="139"/>
      <c r="CR64" s="139"/>
      <c r="CS64" s="139"/>
      <c r="CT64" s="139"/>
      <c r="CU64" s="139"/>
      <c r="CV64" s="139"/>
      <c r="CW64" s="139"/>
      <c r="CX64" s="139"/>
      <c r="CY64" s="139"/>
      <c r="CZ64" s="139"/>
      <c r="DA64" s="139"/>
      <c r="DB64" s="139"/>
      <c r="DC64" s="139"/>
      <c r="DD64" s="139"/>
      <c r="DE64" s="139"/>
      <c r="DF64" s="139"/>
      <c r="DG64" s="139"/>
      <c r="DH64" s="139"/>
      <c r="DI64" s="139"/>
      <c r="DJ64" s="139"/>
      <c r="DK64" s="139"/>
      <c r="DL64" s="139"/>
      <c r="DM64" s="139"/>
      <c r="DN64" s="139"/>
      <c r="DO64" s="139"/>
      <c r="DP64" s="139"/>
      <c r="DQ64" s="139"/>
      <c r="DR64" s="139"/>
      <c r="DS64" s="139"/>
      <c r="DT64" s="139"/>
      <c r="DU64" s="139"/>
      <c r="DV64" s="139"/>
      <c r="DW64" s="139"/>
      <c r="DX64" s="139"/>
      <c r="DY64" s="139"/>
      <c r="DZ64" s="139"/>
      <c r="EA64" s="139"/>
      <c r="EB64" s="139"/>
      <c r="EC64" s="139"/>
      <c r="ED64" s="139"/>
      <c r="EE64" s="139"/>
      <c r="EF64" s="139"/>
      <c r="EG64" s="139"/>
      <c r="EH64" s="139"/>
      <c r="EI64" s="139"/>
      <c r="EJ64" s="139"/>
      <c r="EK64" s="139"/>
      <c r="EL64" s="139"/>
      <c r="EM64" s="139"/>
      <c r="EN64" s="139"/>
      <c r="EO64" s="139"/>
      <c r="EP64" s="139"/>
      <c r="EQ64" s="139"/>
      <c r="ER64" s="139"/>
      <c r="ES64" s="139"/>
      <c r="ET64" s="139"/>
      <c r="EU64" s="139"/>
      <c r="EV64" s="139"/>
      <c r="EW64" s="139"/>
      <c r="EX64" s="139"/>
      <c r="EY64" s="139"/>
      <c r="EZ64" s="139"/>
      <c r="FA64" s="139"/>
      <c r="FB64" s="139"/>
      <c r="FC64" s="139"/>
      <c r="FD64" s="139"/>
      <c r="FE64" s="139"/>
      <c r="FF64" s="139"/>
      <c r="FG64" s="139"/>
      <c r="FH64" s="139"/>
      <c r="FI64" s="139"/>
      <c r="FJ64" s="139"/>
      <c r="FK64" s="139"/>
      <c r="FL64" s="139"/>
      <c r="FM64" s="139"/>
      <c r="FN64" s="139"/>
      <c r="FO64" s="139"/>
      <c r="FP64" s="139"/>
      <c r="FQ64" s="139"/>
      <c r="FR64" s="139"/>
      <c r="FS64" s="139"/>
      <c r="FT64" s="139"/>
      <c r="FU64" s="139"/>
      <c r="FV64" s="139"/>
      <c r="FW64" s="139"/>
      <c r="FX64" s="139"/>
      <c r="FY64" s="139"/>
      <c r="FZ64" s="139"/>
      <c r="GA64" s="139"/>
      <c r="GB64" s="139"/>
      <c r="GC64" s="139"/>
      <c r="GD64" s="139"/>
      <c r="GE64" s="139"/>
      <c r="GF64" s="139"/>
      <c r="GG64" s="139"/>
      <c r="GH64" s="139"/>
      <c r="GI64" s="139"/>
      <c r="GJ64" s="139"/>
      <c r="GK64" s="139"/>
      <c r="GL64" s="139"/>
      <c r="GM64" s="139"/>
      <c r="GN64" s="139"/>
      <c r="GO64" s="139"/>
      <c r="GP64" s="139"/>
      <c r="GQ64" s="139"/>
      <c r="GR64" s="139"/>
      <c r="GS64" s="139"/>
      <c r="GT64" s="139"/>
      <c r="GU64" s="139"/>
      <c r="GV64" s="139"/>
      <c r="GW64" s="139"/>
      <c r="GX64" s="139"/>
      <c r="GY64" s="139"/>
      <c r="GZ64" s="139"/>
      <c r="HA64" s="139"/>
      <c r="HB64" s="139"/>
      <c r="HC64" s="139"/>
      <c r="HD64" s="139"/>
      <c r="HE64" s="139"/>
      <c r="HF64" s="139"/>
      <c r="HG64" s="139"/>
      <c r="HH64" s="139"/>
      <c r="HI64" s="139"/>
      <c r="HJ64" s="139"/>
      <c r="HK64" s="139"/>
      <c r="HL64" s="139"/>
      <c r="HM64" s="139"/>
      <c r="HN64" s="139"/>
      <c r="HO64" s="139"/>
      <c r="HP64" s="139"/>
      <c r="HQ64" s="139"/>
      <c r="HR64" s="139"/>
      <c r="HS64" s="139"/>
      <c r="HT64" s="139"/>
      <c r="HU64" s="139"/>
      <c r="HV64" s="139"/>
      <c r="HW64" s="139"/>
      <c r="HX64" s="139"/>
      <c r="HY64" s="139"/>
      <c r="HZ64" s="139"/>
      <c r="IA64" s="139"/>
      <c r="IB64" s="139"/>
      <c r="IC64" s="139"/>
      <c r="ID64" s="139"/>
      <c r="IE64" s="139"/>
      <c r="IF64" s="139"/>
      <c r="IG64" s="139"/>
      <c r="IH64" s="139"/>
      <c r="II64" s="139"/>
      <c r="IJ64" s="139"/>
      <c r="IK64" s="139"/>
      <c r="IL64" s="139"/>
      <c r="IM64" s="139"/>
      <c r="IN64" s="139"/>
      <c r="IO64" s="139"/>
      <c r="IP64" s="139"/>
      <c r="IQ64" s="139"/>
      <c r="IR64" s="139"/>
    </row>
    <row r="65" spans="2:252" x14ac:dyDescent="0.3">
      <c r="B65" s="5" t="s">
        <v>117</v>
      </c>
      <c r="C65" s="916" t="s">
        <v>220</v>
      </c>
      <c r="D65" s="941">
        <v>0</v>
      </c>
      <c r="E65" s="941">
        <v>0</v>
      </c>
      <c r="F65" s="941">
        <v>0</v>
      </c>
      <c r="G65" s="941">
        <v>0</v>
      </c>
      <c r="H65" s="941">
        <v>0</v>
      </c>
      <c r="I65" s="941">
        <v>0</v>
      </c>
      <c r="J65" s="941">
        <v>0</v>
      </c>
      <c r="K65" s="941">
        <v>0</v>
      </c>
      <c r="L65" s="941">
        <v>0</v>
      </c>
      <c r="M65" s="941">
        <v>0</v>
      </c>
      <c r="N65" s="941">
        <v>0</v>
      </c>
      <c r="O65" s="941">
        <v>0</v>
      </c>
      <c r="P65" s="941">
        <v>0</v>
      </c>
      <c r="Q65" s="941">
        <v>0</v>
      </c>
      <c r="R65" s="941">
        <v>0</v>
      </c>
      <c r="S65" s="941">
        <v>0</v>
      </c>
      <c r="T65" s="941">
        <v>0</v>
      </c>
      <c r="U65" s="941">
        <v>0</v>
      </c>
      <c r="V65" s="941">
        <v>0</v>
      </c>
      <c r="W65" s="941">
        <v>0</v>
      </c>
      <c r="X65" s="941">
        <v>0</v>
      </c>
      <c r="Y65" s="941">
        <v>0</v>
      </c>
      <c r="Z65" s="941">
        <v>0</v>
      </c>
      <c r="AA65" s="941">
        <v>0</v>
      </c>
      <c r="AB65" s="941">
        <v>0</v>
      </c>
      <c r="AC65" s="941">
        <v>0</v>
      </c>
      <c r="AD65" s="941">
        <v>0</v>
      </c>
      <c r="AE65" s="941">
        <v>0</v>
      </c>
      <c r="AF65" s="941">
        <v>61.091872724208606</v>
      </c>
      <c r="AG65" s="941">
        <v>0</v>
      </c>
      <c r="AH65" s="941">
        <v>0</v>
      </c>
      <c r="AI65" s="941">
        <v>0</v>
      </c>
      <c r="AJ65" s="629">
        <f>((D65+E65+P65+Q65+SUM(AA65:AI65))*'Emission &amp; Conversion Factors'!$H$232*1000)+((F65+R65)*'Emission &amp; Conversion Factors'!$H$240*1000)+((G65+S65)*'Emission &amp; Conversion Factors'!$H$242*1000)+((H65+T65)*'Emission &amp; Conversion Factors'!$H$254*1000)+((I65+U65)*'Emission &amp; Conversion Factors'!$H$251*1000)+((J65+V65)*'Emission &amp; Conversion Factors'!$J$240)+((K65+W65)*'Emission &amp; Conversion Factors'!$J$251)</f>
        <v>784297.46203339007</v>
      </c>
      <c r="AK65" s="139"/>
      <c r="AL65" s="139"/>
      <c r="AM65" s="139"/>
      <c r="AN65" s="139"/>
      <c r="AO65" s="139"/>
      <c r="AP65" s="139"/>
      <c r="AQ65" s="139"/>
      <c r="AR65" s="139"/>
      <c r="AS65" s="139"/>
      <c r="AT65" s="139"/>
      <c r="AU65" s="139"/>
      <c r="AV65" s="139"/>
      <c r="AW65" s="139"/>
      <c r="AX65" s="139"/>
      <c r="AY65" s="139"/>
      <c r="AZ65" s="139"/>
      <c r="BA65" s="139"/>
      <c r="BB65" s="139"/>
      <c r="BC65" s="139"/>
      <c r="BD65" s="139"/>
      <c r="BE65" s="139"/>
      <c r="BF65" s="139"/>
      <c r="BG65" s="139"/>
      <c r="BH65" s="139"/>
      <c r="BI65" s="139"/>
      <c r="BJ65" s="139"/>
      <c r="BK65" s="139"/>
      <c r="BL65" s="139"/>
      <c r="BM65" s="139"/>
      <c r="BN65" s="139"/>
      <c r="BO65" s="139"/>
      <c r="BP65" s="139"/>
      <c r="BQ65" s="139"/>
      <c r="BR65" s="139"/>
      <c r="BS65" s="139"/>
      <c r="BT65" s="139"/>
      <c r="BU65" s="139"/>
      <c r="BV65" s="139"/>
      <c r="BW65" s="139"/>
      <c r="BX65" s="139"/>
      <c r="BY65" s="139"/>
      <c r="BZ65" s="139"/>
      <c r="CA65" s="139"/>
      <c r="CB65" s="139"/>
      <c r="CC65" s="139"/>
      <c r="CD65" s="139"/>
      <c r="CE65" s="139"/>
      <c r="CF65" s="139"/>
      <c r="CG65" s="139"/>
      <c r="CH65" s="139"/>
      <c r="CI65" s="139"/>
      <c r="CJ65" s="139"/>
      <c r="CK65" s="139"/>
      <c r="CL65" s="139"/>
      <c r="CM65" s="139"/>
      <c r="CN65" s="139"/>
      <c r="CO65" s="139"/>
      <c r="CP65" s="139"/>
      <c r="CQ65" s="139"/>
      <c r="CR65" s="139"/>
      <c r="CS65" s="139"/>
      <c r="CT65" s="139"/>
      <c r="CU65" s="139"/>
      <c r="CV65" s="139"/>
      <c r="CW65" s="139"/>
      <c r="CX65" s="139"/>
      <c r="CY65" s="139"/>
      <c r="CZ65" s="139"/>
      <c r="DA65" s="139"/>
      <c r="DB65" s="139"/>
      <c r="DC65" s="139"/>
      <c r="DD65" s="139"/>
      <c r="DE65" s="139"/>
      <c r="DF65" s="139"/>
      <c r="DG65" s="139"/>
      <c r="DH65" s="139"/>
      <c r="DI65" s="139"/>
      <c r="DJ65" s="139"/>
      <c r="DK65" s="139"/>
      <c r="DL65" s="139"/>
      <c r="DM65" s="139"/>
      <c r="DN65" s="139"/>
      <c r="DO65" s="139"/>
      <c r="DP65" s="139"/>
      <c r="DQ65" s="139"/>
      <c r="DR65" s="139"/>
      <c r="DS65" s="139"/>
      <c r="DT65" s="139"/>
      <c r="DU65" s="139"/>
      <c r="DV65" s="139"/>
      <c r="DW65" s="139"/>
      <c r="DX65" s="139"/>
      <c r="DY65" s="139"/>
      <c r="DZ65" s="139"/>
      <c r="EA65" s="139"/>
      <c r="EB65" s="139"/>
      <c r="EC65" s="139"/>
      <c r="ED65" s="139"/>
      <c r="EE65" s="139"/>
      <c r="EF65" s="139"/>
      <c r="EG65" s="139"/>
      <c r="EH65" s="139"/>
      <c r="EI65" s="139"/>
      <c r="EJ65" s="139"/>
      <c r="EK65" s="139"/>
      <c r="EL65" s="139"/>
      <c r="EM65" s="139"/>
      <c r="EN65" s="139"/>
      <c r="EO65" s="139"/>
      <c r="EP65" s="139"/>
      <c r="EQ65" s="139"/>
      <c r="ER65" s="139"/>
      <c r="ES65" s="139"/>
      <c r="ET65" s="139"/>
      <c r="EU65" s="139"/>
      <c r="EV65" s="139"/>
      <c r="EW65" s="139"/>
      <c r="EX65" s="139"/>
      <c r="EY65" s="139"/>
      <c r="EZ65" s="139"/>
      <c r="FA65" s="139"/>
      <c r="FB65" s="139"/>
      <c r="FC65" s="139"/>
      <c r="FD65" s="139"/>
      <c r="FE65" s="139"/>
      <c r="FF65" s="139"/>
      <c r="FG65" s="139"/>
      <c r="FH65" s="139"/>
      <c r="FI65" s="139"/>
      <c r="FJ65" s="139"/>
      <c r="FK65" s="139"/>
      <c r="FL65" s="139"/>
      <c r="FM65" s="139"/>
      <c r="FN65" s="139"/>
      <c r="FO65" s="139"/>
      <c r="FP65" s="139"/>
      <c r="FQ65" s="139"/>
      <c r="FR65" s="139"/>
      <c r="FS65" s="139"/>
      <c r="FT65" s="139"/>
      <c r="FU65" s="139"/>
      <c r="FV65" s="139"/>
      <c r="FW65" s="139"/>
      <c r="FX65" s="139"/>
      <c r="FY65" s="139"/>
      <c r="FZ65" s="139"/>
      <c r="GA65" s="139"/>
      <c r="GB65" s="139"/>
      <c r="GC65" s="139"/>
      <c r="GD65" s="139"/>
      <c r="GE65" s="139"/>
      <c r="GF65" s="139"/>
      <c r="GG65" s="139"/>
      <c r="GH65" s="139"/>
      <c r="GI65" s="139"/>
      <c r="GJ65" s="139"/>
      <c r="GK65" s="139"/>
      <c r="GL65" s="139"/>
      <c r="GM65" s="139"/>
      <c r="GN65" s="139"/>
      <c r="GO65" s="139"/>
      <c r="GP65" s="139"/>
      <c r="GQ65" s="139"/>
      <c r="GR65" s="139"/>
      <c r="GS65" s="139"/>
      <c r="GT65" s="139"/>
      <c r="GU65" s="139"/>
      <c r="GV65" s="139"/>
      <c r="GW65" s="139"/>
      <c r="GX65" s="139"/>
      <c r="GY65" s="139"/>
      <c r="GZ65" s="139"/>
      <c r="HA65" s="139"/>
      <c r="HB65" s="139"/>
      <c r="HC65" s="139"/>
      <c r="HD65" s="139"/>
      <c r="HE65" s="139"/>
      <c r="HF65" s="139"/>
      <c r="HG65" s="139"/>
      <c r="HH65" s="139"/>
      <c r="HI65" s="139"/>
      <c r="HJ65" s="139"/>
      <c r="HK65" s="139"/>
      <c r="HL65" s="139"/>
      <c r="HM65" s="139"/>
      <c r="HN65" s="139"/>
      <c r="HO65" s="139"/>
      <c r="HP65" s="139"/>
      <c r="HQ65" s="139"/>
      <c r="HR65" s="139"/>
      <c r="HS65" s="139"/>
      <c r="HT65" s="139"/>
      <c r="HU65" s="139"/>
      <c r="HV65" s="139"/>
      <c r="HW65" s="139"/>
      <c r="HX65" s="139"/>
      <c r="HY65" s="139"/>
      <c r="HZ65" s="139"/>
      <c r="IA65" s="139"/>
      <c r="IB65" s="139"/>
      <c r="IC65" s="139"/>
      <c r="ID65" s="139"/>
      <c r="IE65" s="139"/>
      <c r="IF65" s="139"/>
      <c r="IG65" s="139"/>
      <c r="IH65" s="139"/>
      <c r="II65" s="139"/>
      <c r="IJ65" s="139"/>
      <c r="IK65" s="139"/>
      <c r="IL65" s="139"/>
      <c r="IM65" s="139"/>
      <c r="IN65" s="139"/>
      <c r="IO65" s="139"/>
      <c r="IP65" s="139"/>
      <c r="IQ65" s="139"/>
      <c r="IR65" s="139"/>
    </row>
    <row r="66" spans="2:252" x14ac:dyDescent="0.3">
      <c r="B66" s="5" t="s">
        <v>118</v>
      </c>
      <c r="C66" s="916" t="s">
        <v>221</v>
      </c>
      <c r="D66" s="941">
        <v>0</v>
      </c>
      <c r="E66" s="941">
        <v>0</v>
      </c>
      <c r="F66" s="941">
        <v>0</v>
      </c>
      <c r="G66" s="941">
        <v>0</v>
      </c>
      <c r="H66" s="941">
        <v>0</v>
      </c>
      <c r="I66" s="941">
        <v>0</v>
      </c>
      <c r="J66" s="941">
        <v>0</v>
      </c>
      <c r="K66" s="941">
        <v>0</v>
      </c>
      <c r="L66" s="941">
        <v>0</v>
      </c>
      <c r="M66" s="941">
        <v>0</v>
      </c>
      <c r="N66" s="941">
        <v>0</v>
      </c>
      <c r="O66" s="941">
        <v>0</v>
      </c>
      <c r="P66" s="941">
        <v>0</v>
      </c>
      <c r="Q66" s="941">
        <v>252.23957504010943</v>
      </c>
      <c r="R66" s="941">
        <v>0</v>
      </c>
      <c r="S66" s="941">
        <v>0</v>
      </c>
      <c r="T66" s="941">
        <v>0</v>
      </c>
      <c r="U66" s="941">
        <v>0</v>
      </c>
      <c r="V66" s="941">
        <v>0</v>
      </c>
      <c r="W66" s="941">
        <v>0</v>
      </c>
      <c r="X66" s="941">
        <v>0</v>
      </c>
      <c r="Y66" s="941">
        <v>0</v>
      </c>
      <c r="Z66" s="941">
        <v>0</v>
      </c>
      <c r="AA66" s="941">
        <v>0</v>
      </c>
      <c r="AB66" s="941">
        <v>0</v>
      </c>
      <c r="AC66" s="941">
        <v>0</v>
      </c>
      <c r="AD66" s="941">
        <v>0</v>
      </c>
      <c r="AE66" s="941">
        <v>0</v>
      </c>
      <c r="AF66" s="941">
        <v>0</v>
      </c>
      <c r="AG66" s="941">
        <v>0</v>
      </c>
      <c r="AH66" s="941">
        <v>0</v>
      </c>
      <c r="AI66" s="941">
        <v>0</v>
      </c>
      <c r="AJ66" s="629">
        <f>((D66+E66+P66+Q66+SUM(AA66:AI66))*'Emission &amp; Conversion Factors'!$H$232*1000)+((F66+R66)*'Emission &amp; Conversion Factors'!$H$240*1000)+((G66+S66)*'Emission &amp; Conversion Factors'!$H$242*1000)+((H66+T66)*'Emission &amp; Conversion Factors'!$H$254*1000)+((I66+U66)*'Emission &amp; Conversion Factors'!$H$251*1000)+((J66+V66)*'Emission &amp; Conversion Factors'!$J$240)+((K66+W66)*'Emission &amp; Conversion Factors'!$J$251)</f>
        <v>3238251.6643649247</v>
      </c>
      <c r="AK66" s="139"/>
      <c r="AL66" s="139"/>
      <c r="AM66" s="139"/>
      <c r="AN66" s="139"/>
      <c r="AO66" s="139"/>
      <c r="AP66" s="139"/>
      <c r="AQ66" s="139"/>
      <c r="AR66" s="139"/>
      <c r="AS66" s="139"/>
      <c r="AT66" s="139"/>
      <c r="AU66" s="139"/>
      <c r="AV66" s="139"/>
      <c r="AW66" s="139"/>
      <c r="AX66" s="139"/>
      <c r="AY66" s="139"/>
      <c r="AZ66" s="139"/>
      <c r="BA66" s="139"/>
      <c r="BB66" s="139"/>
      <c r="BC66" s="139"/>
      <c r="BD66" s="139"/>
      <c r="BE66" s="139"/>
      <c r="BF66" s="139"/>
      <c r="BG66" s="139"/>
      <c r="BH66" s="139"/>
      <c r="BI66" s="139"/>
      <c r="BJ66" s="139"/>
      <c r="BK66" s="139"/>
      <c r="BL66" s="139"/>
      <c r="BM66" s="139"/>
      <c r="BN66" s="139"/>
      <c r="BO66" s="139"/>
      <c r="BP66" s="139"/>
      <c r="BQ66" s="139"/>
      <c r="BR66" s="139"/>
      <c r="BS66" s="139"/>
      <c r="BT66" s="139"/>
      <c r="BU66" s="139"/>
      <c r="BV66" s="139"/>
      <c r="BW66" s="139"/>
      <c r="BX66" s="139"/>
      <c r="BY66" s="139"/>
      <c r="BZ66" s="139"/>
      <c r="CA66" s="139"/>
      <c r="CB66" s="139"/>
      <c r="CC66" s="139"/>
      <c r="CD66" s="139"/>
      <c r="CE66" s="139"/>
      <c r="CF66" s="139"/>
      <c r="CG66" s="139"/>
      <c r="CH66" s="139"/>
      <c r="CI66" s="139"/>
      <c r="CJ66" s="139"/>
      <c r="CK66" s="139"/>
      <c r="CL66" s="139"/>
      <c r="CM66" s="139"/>
      <c r="CN66" s="139"/>
      <c r="CO66" s="139"/>
      <c r="CP66" s="139"/>
      <c r="CQ66" s="139"/>
      <c r="CR66" s="139"/>
      <c r="CS66" s="139"/>
      <c r="CT66" s="139"/>
      <c r="CU66" s="139"/>
      <c r="CV66" s="139"/>
      <c r="CW66" s="139"/>
      <c r="CX66" s="139"/>
      <c r="CY66" s="139"/>
      <c r="CZ66" s="139"/>
      <c r="DA66" s="139"/>
      <c r="DB66" s="139"/>
      <c r="DC66" s="139"/>
      <c r="DD66" s="139"/>
      <c r="DE66" s="139"/>
      <c r="DF66" s="139"/>
      <c r="DG66" s="139"/>
      <c r="DH66" s="139"/>
      <c r="DI66" s="139"/>
      <c r="DJ66" s="139"/>
      <c r="DK66" s="139"/>
      <c r="DL66" s="139"/>
      <c r="DM66" s="139"/>
      <c r="DN66" s="139"/>
      <c r="DO66" s="139"/>
      <c r="DP66" s="139"/>
      <c r="DQ66" s="139"/>
      <c r="DR66" s="139"/>
      <c r="DS66" s="139"/>
      <c r="DT66" s="139"/>
      <c r="DU66" s="139"/>
      <c r="DV66" s="139"/>
      <c r="DW66" s="139"/>
      <c r="DX66" s="139"/>
      <c r="DY66" s="139"/>
      <c r="DZ66" s="139"/>
      <c r="EA66" s="139"/>
      <c r="EB66" s="139"/>
      <c r="EC66" s="139"/>
      <c r="ED66" s="139"/>
      <c r="EE66" s="139"/>
      <c r="EF66" s="139"/>
      <c r="EG66" s="139"/>
      <c r="EH66" s="139"/>
      <c r="EI66" s="139"/>
      <c r="EJ66" s="139"/>
      <c r="EK66" s="139"/>
      <c r="EL66" s="139"/>
      <c r="EM66" s="139"/>
      <c r="EN66" s="139"/>
      <c r="EO66" s="139"/>
      <c r="EP66" s="139"/>
      <c r="EQ66" s="139"/>
      <c r="ER66" s="139"/>
      <c r="ES66" s="139"/>
      <c r="ET66" s="139"/>
      <c r="EU66" s="139"/>
      <c r="EV66" s="139"/>
      <c r="EW66" s="139"/>
      <c r="EX66" s="139"/>
      <c r="EY66" s="139"/>
      <c r="EZ66" s="139"/>
      <c r="FA66" s="139"/>
      <c r="FB66" s="139"/>
      <c r="FC66" s="139"/>
      <c r="FD66" s="139"/>
      <c r="FE66" s="139"/>
      <c r="FF66" s="139"/>
      <c r="FG66" s="139"/>
      <c r="FH66" s="139"/>
      <c r="FI66" s="139"/>
      <c r="FJ66" s="139"/>
      <c r="FK66" s="139"/>
      <c r="FL66" s="139"/>
      <c r="FM66" s="139"/>
      <c r="FN66" s="139"/>
      <c r="FO66" s="139"/>
      <c r="FP66" s="139"/>
      <c r="FQ66" s="139"/>
      <c r="FR66" s="139"/>
      <c r="FS66" s="139"/>
      <c r="FT66" s="139"/>
      <c r="FU66" s="139"/>
      <c r="FV66" s="139"/>
      <c r="FW66" s="139"/>
      <c r="FX66" s="139"/>
      <c r="FY66" s="139"/>
      <c r="FZ66" s="139"/>
      <c r="GA66" s="139"/>
      <c r="GB66" s="139"/>
      <c r="GC66" s="139"/>
      <c r="GD66" s="139"/>
      <c r="GE66" s="139"/>
      <c r="GF66" s="139"/>
      <c r="GG66" s="139"/>
      <c r="GH66" s="139"/>
      <c r="GI66" s="139"/>
      <c r="GJ66" s="139"/>
      <c r="GK66" s="139"/>
      <c r="GL66" s="139"/>
      <c r="GM66" s="139"/>
      <c r="GN66" s="139"/>
      <c r="GO66" s="139"/>
      <c r="GP66" s="139"/>
      <c r="GQ66" s="139"/>
      <c r="GR66" s="139"/>
      <c r="GS66" s="139"/>
      <c r="GT66" s="139"/>
      <c r="GU66" s="139"/>
      <c r="GV66" s="139"/>
      <c r="GW66" s="139"/>
      <c r="GX66" s="139"/>
      <c r="GY66" s="139"/>
      <c r="GZ66" s="139"/>
      <c r="HA66" s="139"/>
      <c r="HB66" s="139"/>
      <c r="HC66" s="139"/>
      <c r="HD66" s="139"/>
      <c r="HE66" s="139"/>
      <c r="HF66" s="139"/>
      <c r="HG66" s="139"/>
      <c r="HH66" s="139"/>
      <c r="HI66" s="139"/>
      <c r="HJ66" s="139"/>
      <c r="HK66" s="139"/>
      <c r="HL66" s="139"/>
      <c r="HM66" s="139"/>
      <c r="HN66" s="139"/>
      <c r="HO66" s="139"/>
      <c r="HP66" s="139"/>
      <c r="HQ66" s="139"/>
      <c r="HR66" s="139"/>
      <c r="HS66" s="139"/>
      <c r="HT66" s="139"/>
      <c r="HU66" s="139"/>
      <c r="HV66" s="139"/>
      <c r="HW66" s="139"/>
      <c r="HX66" s="139"/>
      <c r="HY66" s="139"/>
      <c r="HZ66" s="139"/>
      <c r="IA66" s="139"/>
      <c r="IB66" s="139"/>
      <c r="IC66" s="139"/>
      <c r="ID66" s="139"/>
      <c r="IE66" s="139"/>
      <c r="IF66" s="139"/>
      <c r="IG66" s="139"/>
      <c r="IH66" s="139"/>
      <c r="II66" s="139"/>
      <c r="IJ66" s="139"/>
      <c r="IK66" s="139"/>
      <c r="IL66" s="139"/>
      <c r="IM66" s="139"/>
      <c r="IN66" s="139"/>
      <c r="IO66" s="139"/>
      <c r="IP66" s="139"/>
      <c r="IQ66" s="139"/>
      <c r="IR66" s="139"/>
    </row>
    <row r="67" spans="2:252" x14ac:dyDescent="0.3">
      <c r="B67" s="5" t="s">
        <v>119</v>
      </c>
      <c r="C67" s="916" t="s">
        <v>222</v>
      </c>
      <c r="D67" s="941">
        <v>182079.85036498072</v>
      </c>
      <c r="E67" s="941">
        <v>13106.183203604009</v>
      </c>
      <c r="F67" s="941">
        <v>6200.5795094232735</v>
      </c>
      <c r="G67" s="941">
        <v>977.77428496348102</v>
      </c>
      <c r="H67" s="941">
        <v>306.13066128375777</v>
      </c>
      <c r="I67" s="941">
        <v>527.44102805218756</v>
      </c>
      <c r="J67" s="941">
        <v>650.82479030367358</v>
      </c>
      <c r="K67" s="941">
        <v>1173.0211208348783</v>
      </c>
      <c r="L67" s="941">
        <v>184884837.11465138</v>
      </c>
      <c r="M67" s="941">
        <v>4430649.3753685895</v>
      </c>
      <c r="N67" s="941">
        <v>0</v>
      </c>
      <c r="O67" s="941">
        <v>41431.700644807242</v>
      </c>
      <c r="P67" s="941">
        <v>0</v>
      </c>
      <c r="Q67" s="941">
        <v>0</v>
      </c>
      <c r="R67" s="941">
        <v>0</v>
      </c>
      <c r="S67" s="941">
        <v>0</v>
      </c>
      <c r="T67" s="941">
        <v>0</v>
      </c>
      <c r="U67" s="941">
        <v>0</v>
      </c>
      <c r="V67" s="941">
        <v>0</v>
      </c>
      <c r="W67" s="941">
        <v>0</v>
      </c>
      <c r="X67" s="941">
        <v>0</v>
      </c>
      <c r="Y67" s="941">
        <v>0</v>
      </c>
      <c r="Z67" s="941">
        <v>0</v>
      </c>
      <c r="AA67" s="941">
        <v>0</v>
      </c>
      <c r="AB67" s="941">
        <v>0</v>
      </c>
      <c r="AC67" s="941">
        <v>0</v>
      </c>
      <c r="AD67" s="941">
        <v>0</v>
      </c>
      <c r="AE67" s="941">
        <v>370.46169213253881</v>
      </c>
      <c r="AF67" s="941">
        <v>132.23332196935925</v>
      </c>
      <c r="AG67" s="941">
        <v>15.79821145857243</v>
      </c>
      <c r="AH67" s="941">
        <v>0</v>
      </c>
      <c r="AI67" s="941">
        <v>0</v>
      </c>
      <c r="AJ67" s="629">
        <f>((D67+E67+P67+Q67+SUM(AA67:AI67))*'Emission &amp; Conversion Factors'!$H$232*1000)+((F67+R67)*'Emission &amp; Conversion Factors'!$H$240*1000)+((G67+S67)*'Emission &amp; Conversion Factors'!$H$242*1000)+((H67+T67)*'Emission &amp; Conversion Factors'!$H$254*1000)+((I67+U67)*'Emission &amp; Conversion Factors'!$H$251*1000)+((J67+V67)*'Emission &amp; Conversion Factors'!$J$240)+((K67+W67)*'Emission &amp; Conversion Factors'!$J$251)</f>
        <v>2613773451.0524402</v>
      </c>
      <c r="AK67" s="139"/>
      <c r="AL67" s="139"/>
      <c r="AM67" s="139"/>
      <c r="AN67" s="139"/>
      <c r="AO67" s="139"/>
      <c r="AP67" s="139"/>
      <c r="AQ67" s="139"/>
      <c r="AR67" s="139"/>
      <c r="AS67" s="139"/>
      <c r="AT67" s="139"/>
      <c r="AU67" s="139"/>
      <c r="AV67" s="139"/>
      <c r="AW67" s="139"/>
      <c r="AX67" s="139"/>
      <c r="AY67" s="139"/>
      <c r="AZ67" s="139"/>
      <c r="BA67" s="139"/>
      <c r="BB67" s="139"/>
      <c r="BC67" s="139"/>
      <c r="BD67" s="139"/>
      <c r="BE67" s="139"/>
      <c r="BF67" s="139"/>
      <c r="BG67" s="139"/>
      <c r="BH67" s="139"/>
      <c r="BI67" s="139"/>
      <c r="BJ67" s="139"/>
      <c r="BK67" s="139"/>
      <c r="BL67" s="139"/>
      <c r="BM67" s="139"/>
      <c r="BN67" s="139"/>
      <c r="BO67" s="139"/>
      <c r="BP67" s="139"/>
      <c r="BQ67" s="139"/>
      <c r="BR67" s="139"/>
      <c r="BS67" s="139"/>
      <c r="BT67" s="139"/>
      <c r="BU67" s="139"/>
      <c r="BV67" s="139"/>
      <c r="BW67" s="139"/>
      <c r="BX67" s="139"/>
      <c r="BY67" s="139"/>
      <c r="BZ67" s="139"/>
      <c r="CA67" s="139"/>
      <c r="CB67" s="139"/>
      <c r="CC67" s="139"/>
      <c r="CD67" s="139"/>
      <c r="CE67" s="139"/>
      <c r="CF67" s="139"/>
      <c r="CG67" s="139"/>
      <c r="CH67" s="139"/>
      <c r="CI67" s="139"/>
      <c r="CJ67" s="139"/>
      <c r="CK67" s="139"/>
      <c r="CL67" s="139"/>
      <c r="CM67" s="139"/>
      <c r="CN67" s="139"/>
      <c r="CO67" s="139"/>
      <c r="CP67" s="139"/>
      <c r="CQ67" s="139"/>
      <c r="CR67" s="139"/>
      <c r="CS67" s="139"/>
      <c r="CT67" s="139"/>
      <c r="CU67" s="139"/>
      <c r="CV67" s="139"/>
      <c r="CW67" s="139"/>
      <c r="CX67" s="139"/>
      <c r="CY67" s="139"/>
      <c r="CZ67" s="139"/>
      <c r="DA67" s="139"/>
      <c r="DB67" s="139"/>
      <c r="DC67" s="139"/>
      <c r="DD67" s="139"/>
      <c r="DE67" s="139"/>
      <c r="DF67" s="139"/>
      <c r="DG67" s="139"/>
      <c r="DH67" s="139"/>
      <c r="DI67" s="139"/>
      <c r="DJ67" s="139"/>
      <c r="DK67" s="139"/>
      <c r="DL67" s="139"/>
      <c r="DM67" s="139"/>
      <c r="DN67" s="139"/>
      <c r="DO67" s="139"/>
      <c r="DP67" s="139"/>
      <c r="DQ67" s="139"/>
      <c r="DR67" s="139"/>
      <c r="DS67" s="139"/>
      <c r="DT67" s="139"/>
      <c r="DU67" s="139"/>
      <c r="DV67" s="139"/>
      <c r="DW67" s="139"/>
      <c r="DX67" s="139"/>
      <c r="DY67" s="139"/>
      <c r="DZ67" s="139"/>
      <c r="EA67" s="139"/>
      <c r="EB67" s="139"/>
      <c r="EC67" s="139"/>
      <c r="ED67" s="139"/>
      <c r="EE67" s="139"/>
      <c r="EF67" s="139"/>
      <c r="EG67" s="139"/>
      <c r="EH67" s="139"/>
      <c r="EI67" s="139"/>
      <c r="EJ67" s="139"/>
      <c r="EK67" s="139"/>
      <c r="EL67" s="139"/>
      <c r="EM67" s="139"/>
      <c r="EN67" s="139"/>
      <c r="EO67" s="139"/>
      <c r="EP67" s="139"/>
      <c r="EQ67" s="139"/>
      <c r="ER67" s="139"/>
      <c r="ES67" s="139"/>
      <c r="ET67" s="139"/>
      <c r="EU67" s="139"/>
      <c r="EV67" s="139"/>
      <c r="EW67" s="139"/>
      <c r="EX67" s="139"/>
      <c r="EY67" s="139"/>
      <c r="EZ67" s="139"/>
      <c r="FA67" s="139"/>
      <c r="FB67" s="139"/>
      <c r="FC67" s="139"/>
      <c r="FD67" s="139"/>
      <c r="FE67" s="139"/>
      <c r="FF67" s="139"/>
      <c r="FG67" s="139"/>
      <c r="FH67" s="139"/>
      <c r="FI67" s="139"/>
      <c r="FJ67" s="139"/>
      <c r="FK67" s="139"/>
      <c r="FL67" s="139"/>
      <c r="FM67" s="139"/>
      <c r="FN67" s="139"/>
      <c r="FO67" s="139"/>
      <c r="FP67" s="139"/>
      <c r="FQ67" s="139"/>
      <c r="FR67" s="139"/>
      <c r="FS67" s="139"/>
      <c r="FT67" s="139"/>
      <c r="FU67" s="139"/>
      <c r="FV67" s="139"/>
      <c r="FW67" s="139"/>
      <c r="FX67" s="139"/>
      <c r="FY67" s="139"/>
      <c r="FZ67" s="139"/>
      <c r="GA67" s="139"/>
      <c r="GB67" s="139"/>
      <c r="GC67" s="139"/>
      <c r="GD67" s="139"/>
      <c r="GE67" s="139"/>
      <c r="GF67" s="139"/>
      <c r="GG67" s="139"/>
      <c r="GH67" s="139"/>
      <c r="GI67" s="139"/>
      <c r="GJ67" s="139"/>
      <c r="GK67" s="139"/>
      <c r="GL67" s="139"/>
      <c r="GM67" s="139"/>
      <c r="GN67" s="139"/>
      <c r="GO67" s="139"/>
      <c r="GP67" s="139"/>
      <c r="GQ67" s="139"/>
      <c r="GR67" s="139"/>
      <c r="GS67" s="139"/>
      <c r="GT67" s="139"/>
      <c r="GU67" s="139"/>
      <c r="GV67" s="139"/>
      <c r="GW67" s="139"/>
      <c r="GX67" s="139"/>
      <c r="GY67" s="139"/>
      <c r="GZ67" s="139"/>
      <c r="HA67" s="139"/>
      <c r="HB67" s="139"/>
      <c r="HC67" s="139"/>
      <c r="HD67" s="139"/>
      <c r="HE67" s="139"/>
      <c r="HF67" s="139"/>
      <c r="HG67" s="139"/>
      <c r="HH67" s="139"/>
      <c r="HI67" s="139"/>
      <c r="HJ67" s="139"/>
      <c r="HK67" s="139"/>
      <c r="HL67" s="139"/>
      <c r="HM67" s="139"/>
      <c r="HN67" s="139"/>
      <c r="HO67" s="139"/>
      <c r="HP67" s="139"/>
      <c r="HQ67" s="139"/>
      <c r="HR67" s="139"/>
      <c r="HS67" s="139"/>
      <c r="HT67" s="139"/>
      <c r="HU67" s="139"/>
      <c r="HV67" s="139"/>
      <c r="HW67" s="139"/>
      <c r="HX67" s="139"/>
      <c r="HY67" s="139"/>
      <c r="HZ67" s="139"/>
      <c r="IA67" s="139"/>
      <c r="IB67" s="139"/>
      <c r="IC67" s="139"/>
      <c r="ID67" s="139"/>
      <c r="IE67" s="139"/>
      <c r="IF67" s="139"/>
      <c r="IG67" s="139"/>
      <c r="IH67" s="139"/>
      <c r="II67" s="139"/>
      <c r="IJ67" s="139"/>
      <c r="IK67" s="139"/>
      <c r="IL67" s="139"/>
      <c r="IM67" s="139"/>
      <c r="IN67" s="139"/>
      <c r="IO67" s="139"/>
      <c r="IP67" s="139"/>
      <c r="IQ67" s="139"/>
      <c r="IR67" s="139"/>
    </row>
    <row r="68" spans="2:252" x14ac:dyDescent="0.3">
      <c r="B68" s="5" t="s">
        <v>120</v>
      </c>
      <c r="C68" s="916" t="s">
        <v>223</v>
      </c>
      <c r="D68" s="941">
        <v>0</v>
      </c>
      <c r="E68" s="941">
        <v>32449.7333382822</v>
      </c>
      <c r="F68" s="941">
        <v>0</v>
      </c>
      <c r="G68" s="941">
        <v>0</v>
      </c>
      <c r="H68" s="941">
        <v>0</v>
      </c>
      <c r="I68" s="941">
        <v>0</v>
      </c>
      <c r="J68" s="941">
        <v>9.4099939225385145E-4</v>
      </c>
      <c r="K68" s="941">
        <v>1.8200747209661946E-3</v>
      </c>
      <c r="L68" s="941">
        <v>90.222499657017423</v>
      </c>
      <c r="M68" s="941">
        <v>0</v>
      </c>
      <c r="N68" s="941">
        <v>0</v>
      </c>
      <c r="O68" s="941">
        <v>0</v>
      </c>
      <c r="P68" s="941">
        <v>0</v>
      </c>
      <c r="Q68" s="941">
        <v>0</v>
      </c>
      <c r="R68" s="941">
        <v>0</v>
      </c>
      <c r="S68" s="941">
        <v>0</v>
      </c>
      <c r="T68" s="941">
        <v>0</v>
      </c>
      <c r="U68" s="941">
        <v>0</v>
      </c>
      <c r="V68" s="941">
        <v>0</v>
      </c>
      <c r="W68" s="941">
        <v>0</v>
      </c>
      <c r="X68" s="941">
        <v>0</v>
      </c>
      <c r="Y68" s="941">
        <v>0</v>
      </c>
      <c r="Z68" s="941">
        <v>0</v>
      </c>
      <c r="AA68" s="941">
        <v>0</v>
      </c>
      <c r="AB68" s="941">
        <v>0</v>
      </c>
      <c r="AC68" s="941">
        <v>0</v>
      </c>
      <c r="AD68" s="941">
        <v>0</v>
      </c>
      <c r="AE68" s="941">
        <v>0</v>
      </c>
      <c r="AF68" s="941">
        <v>0</v>
      </c>
      <c r="AG68" s="941">
        <v>0</v>
      </c>
      <c r="AH68" s="941">
        <v>0</v>
      </c>
      <c r="AI68" s="941">
        <v>0</v>
      </c>
      <c r="AJ68" s="629">
        <f>((D68+E68+P68+Q68+SUM(AA68:AI68))*'Emission &amp; Conversion Factors'!$H$232*1000)+((F68+R68)*'Emission &amp; Conversion Factors'!$H$240*1000)+((G68+S68)*'Emission &amp; Conversion Factors'!$H$242*1000)+((H68+T68)*'Emission &amp; Conversion Factors'!$H$254*1000)+((I68+U68)*'Emission &amp; Conversion Factors'!$H$251*1000)+((J68+V68)*'Emission &amp; Conversion Factors'!$J$240)+((K68+W68)*'Emission &amp; Conversion Factors'!$J$251)</f>
        <v>416589676.62392712</v>
      </c>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c r="BJ68" s="139"/>
      <c r="BK68" s="139"/>
      <c r="BL68" s="139"/>
      <c r="BM68" s="139"/>
      <c r="BN68" s="139"/>
      <c r="BO68" s="139"/>
      <c r="BP68" s="139"/>
      <c r="BQ68" s="139"/>
      <c r="BR68" s="139"/>
      <c r="BS68" s="139"/>
      <c r="BT68" s="139"/>
      <c r="BU68" s="139"/>
      <c r="BV68" s="139"/>
      <c r="BW68" s="139"/>
      <c r="BX68" s="139"/>
      <c r="BY68" s="139"/>
      <c r="BZ68" s="139"/>
      <c r="CA68" s="139"/>
      <c r="CB68" s="139"/>
      <c r="CC68" s="139"/>
      <c r="CD68" s="139"/>
      <c r="CE68" s="139"/>
      <c r="CF68" s="139"/>
      <c r="CG68" s="139"/>
      <c r="CH68" s="139"/>
      <c r="CI68" s="139"/>
      <c r="CJ68" s="139"/>
      <c r="CK68" s="139"/>
      <c r="CL68" s="139"/>
      <c r="CM68" s="139"/>
      <c r="CN68" s="139"/>
      <c r="CO68" s="139"/>
      <c r="CP68" s="139"/>
      <c r="CQ68" s="139"/>
      <c r="CR68" s="139"/>
      <c r="CS68" s="139"/>
      <c r="CT68" s="139"/>
      <c r="CU68" s="139"/>
      <c r="CV68" s="139"/>
      <c r="CW68" s="139"/>
      <c r="CX68" s="139"/>
      <c r="CY68" s="139"/>
      <c r="CZ68" s="139"/>
      <c r="DA68" s="139"/>
      <c r="DB68" s="139"/>
      <c r="DC68" s="139"/>
      <c r="DD68" s="139"/>
      <c r="DE68" s="139"/>
      <c r="DF68" s="139"/>
      <c r="DG68" s="139"/>
      <c r="DH68" s="139"/>
      <c r="DI68" s="139"/>
      <c r="DJ68" s="139"/>
      <c r="DK68" s="139"/>
      <c r="DL68" s="139"/>
      <c r="DM68" s="139"/>
      <c r="DN68" s="139"/>
      <c r="DO68" s="139"/>
      <c r="DP68" s="139"/>
      <c r="DQ68" s="139"/>
      <c r="DR68" s="139"/>
      <c r="DS68" s="139"/>
      <c r="DT68" s="139"/>
      <c r="DU68" s="139"/>
      <c r="DV68" s="139"/>
      <c r="DW68" s="139"/>
      <c r="DX68" s="139"/>
      <c r="DY68" s="139"/>
      <c r="DZ68" s="139"/>
      <c r="EA68" s="139"/>
      <c r="EB68" s="139"/>
      <c r="EC68" s="139"/>
      <c r="ED68" s="139"/>
      <c r="EE68" s="139"/>
      <c r="EF68" s="139"/>
      <c r="EG68" s="139"/>
      <c r="EH68" s="139"/>
      <c r="EI68" s="139"/>
      <c r="EJ68" s="139"/>
      <c r="EK68" s="139"/>
      <c r="EL68" s="139"/>
      <c r="EM68" s="139"/>
      <c r="EN68" s="139"/>
      <c r="EO68" s="139"/>
      <c r="EP68" s="139"/>
      <c r="EQ68" s="139"/>
      <c r="ER68" s="139"/>
      <c r="ES68" s="139"/>
      <c r="ET68" s="139"/>
      <c r="EU68" s="139"/>
      <c r="EV68" s="139"/>
      <c r="EW68" s="139"/>
      <c r="EX68" s="139"/>
      <c r="EY68" s="139"/>
      <c r="EZ68" s="139"/>
      <c r="FA68" s="139"/>
      <c r="FB68" s="139"/>
      <c r="FC68" s="139"/>
      <c r="FD68" s="139"/>
      <c r="FE68" s="139"/>
      <c r="FF68" s="139"/>
      <c r="FG68" s="139"/>
      <c r="FH68" s="139"/>
      <c r="FI68" s="139"/>
      <c r="FJ68" s="139"/>
      <c r="FK68" s="139"/>
      <c r="FL68" s="139"/>
      <c r="FM68" s="139"/>
      <c r="FN68" s="139"/>
      <c r="FO68" s="139"/>
      <c r="FP68" s="139"/>
      <c r="FQ68" s="139"/>
      <c r="FR68" s="139"/>
      <c r="FS68" s="139"/>
      <c r="FT68" s="139"/>
      <c r="FU68" s="139"/>
      <c r="FV68" s="139"/>
      <c r="FW68" s="139"/>
      <c r="FX68" s="139"/>
      <c r="FY68" s="139"/>
      <c r="FZ68" s="139"/>
      <c r="GA68" s="139"/>
      <c r="GB68" s="139"/>
      <c r="GC68" s="139"/>
      <c r="GD68" s="139"/>
      <c r="GE68" s="139"/>
      <c r="GF68" s="139"/>
      <c r="GG68" s="139"/>
      <c r="GH68" s="139"/>
      <c r="GI68" s="139"/>
      <c r="GJ68" s="139"/>
      <c r="GK68" s="139"/>
      <c r="GL68" s="139"/>
      <c r="GM68" s="139"/>
      <c r="GN68" s="139"/>
      <c r="GO68" s="139"/>
      <c r="GP68" s="139"/>
      <c r="GQ68" s="139"/>
      <c r="GR68" s="139"/>
      <c r="GS68" s="139"/>
      <c r="GT68" s="139"/>
      <c r="GU68" s="139"/>
      <c r="GV68" s="139"/>
      <c r="GW68" s="139"/>
      <c r="GX68" s="139"/>
      <c r="GY68" s="139"/>
      <c r="GZ68" s="139"/>
      <c r="HA68" s="139"/>
      <c r="HB68" s="139"/>
      <c r="HC68" s="139"/>
      <c r="HD68" s="139"/>
      <c r="HE68" s="139"/>
      <c r="HF68" s="139"/>
      <c r="HG68" s="139"/>
      <c r="HH68" s="139"/>
      <c r="HI68" s="139"/>
      <c r="HJ68" s="139"/>
      <c r="HK68" s="139"/>
      <c r="HL68" s="139"/>
      <c r="HM68" s="139"/>
      <c r="HN68" s="139"/>
      <c r="HO68" s="139"/>
      <c r="HP68" s="139"/>
      <c r="HQ68" s="139"/>
      <c r="HR68" s="139"/>
      <c r="HS68" s="139"/>
      <c r="HT68" s="139"/>
      <c r="HU68" s="139"/>
      <c r="HV68" s="139"/>
      <c r="HW68" s="139"/>
      <c r="HX68" s="139"/>
      <c r="HY68" s="139"/>
      <c r="HZ68" s="139"/>
      <c r="IA68" s="139"/>
      <c r="IB68" s="139"/>
      <c r="IC68" s="139"/>
      <c r="ID68" s="139"/>
      <c r="IE68" s="139"/>
      <c r="IF68" s="139"/>
      <c r="IG68" s="139"/>
      <c r="IH68" s="139"/>
      <c r="II68" s="139"/>
      <c r="IJ68" s="139"/>
      <c r="IK68" s="139"/>
      <c r="IL68" s="139"/>
      <c r="IM68" s="139"/>
      <c r="IN68" s="139"/>
      <c r="IO68" s="139"/>
      <c r="IP68" s="139"/>
      <c r="IQ68" s="139"/>
      <c r="IR68" s="139"/>
    </row>
    <row r="69" spans="2:252" x14ac:dyDescent="0.3">
      <c r="B69" s="5" t="s">
        <v>121</v>
      </c>
      <c r="C69" s="916" t="s">
        <v>224</v>
      </c>
      <c r="D69" s="941">
        <v>0</v>
      </c>
      <c r="E69" s="941">
        <v>0</v>
      </c>
      <c r="F69" s="941">
        <v>0</v>
      </c>
      <c r="G69" s="941">
        <v>0</v>
      </c>
      <c r="H69" s="941">
        <v>0</v>
      </c>
      <c r="I69" s="941">
        <v>0</v>
      </c>
      <c r="J69" s="941">
        <v>0</v>
      </c>
      <c r="K69" s="941">
        <v>0</v>
      </c>
      <c r="L69" s="941">
        <v>0</v>
      </c>
      <c r="M69" s="941">
        <v>0</v>
      </c>
      <c r="N69" s="941">
        <v>0</v>
      </c>
      <c r="O69" s="941">
        <v>0</v>
      </c>
      <c r="P69" s="941">
        <v>0</v>
      </c>
      <c r="Q69" s="941">
        <v>0</v>
      </c>
      <c r="R69" s="941">
        <v>0</v>
      </c>
      <c r="S69" s="941">
        <v>0</v>
      </c>
      <c r="T69" s="941">
        <v>0</v>
      </c>
      <c r="U69" s="941">
        <v>0</v>
      </c>
      <c r="V69" s="941">
        <v>0</v>
      </c>
      <c r="W69" s="941">
        <v>0</v>
      </c>
      <c r="X69" s="941">
        <v>0</v>
      </c>
      <c r="Y69" s="941">
        <v>0</v>
      </c>
      <c r="Z69" s="941">
        <v>0</v>
      </c>
      <c r="AA69" s="941">
        <v>0</v>
      </c>
      <c r="AB69" s="941">
        <v>0</v>
      </c>
      <c r="AC69" s="941">
        <v>0</v>
      </c>
      <c r="AD69" s="941">
        <v>0</v>
      </c>
      <c r="AE69" s="941">
        <v>0</v>
      </c>
      <c r="AF69" s="941">
        <v>0</v>
      </c>
      <c r="AG69" s="941">
        <v>0</v>
      </c>
      <c r="AH69" s="941">
        <v>0</v>
      </c>
      <c r="AI69" s="941">
        <v>0</v>
      </c>
      <c r="AJ69" s="629">
        <f>((D69+E69+P69+Q69+SUM(AA69:AI69))*'Emission &amp; Conversion Factors'!$H$232*1000)+((F69+R69)*'Emission &amp; Conversion Factors'!$H$240*1000)+((G69+S69)*'Emission &amp; Conversion Factors'!$H$242*1000)+((H69+T69)*'Emission &amp; Conversion Factors'!$H$254*1000)+((I69+U69)*'Emission &amp; Conversion Factors'!$H$251*1000)+((J69+V69)*'Emission &amp; Conversion Factors'!$J$240)+((K69+W69)*'Emission &amp; Conversion Factors'!$J$251)</f>
        <v>0</v>
      </c>
      <c r="AK69" s="139"/>
      <c r="AL69" s="139"/>
      <c r="AM69" s="139"/>
      <c r="AN69" s="139"/>
      <c r="AO69" s="139"/>
      <c r="AP69" s="139"/>
      <c r="AQ69" s="139"/>
      <c r="AR69" s="139"/>
      <c r="AS69" s="139"/>
      <c r="AT69" s="139"/>
      <c r="AU69" s="139"/>
      <c r="AV69" s="139"/>
      <c r="AW69" s="139"/>
      <c r="AX69" s="139"/>
      <c r="AY69" s="139"/>
      <c r="AZ69" s="139"/>
      <c r="BA69" s="139"/>
      <c r="BB69" s="139"/>
      <c r="BC69" s="139"/>
      <c r="BD69" s="139"/>
      <c r="BE69" s="139"/>
      <c r="BF69" s="139"/>
      <c r="BG69" s="139"/>
      <c r="BH69" s="139"/>
      <c r="BI69" s="139"/>
      <c r="BJ69" s="139"/>
      <c r="BK69" s="139"/>
      <c r="BL69" s="139"/>
      <c r="BM69" s="139"/>
      <c r="BN69" s="139"/>
      <c r="BO69" s="139"/>
      <c r="BP69" s="139"/>
      <c r="BQ69" s="139"/>
      <c r="BR69" s="139"/>
      <c r="BS69" s="139"/>
      <c r="BT69" s="139"/>
      <c r="BU69" s="139"/>
      <c r="BV69" s="139"/>
      <c r="BW69" s="139"/>
      <c r="BX69" s="139"/>
      <c r="BY69" s="139"/>
      <c r="BZ69" s="139"/>
      <c r="CA69" s="139"/>
      <c r="CB69" s="139"/>
      <c r="CC69" s="139"/>
      <c r="CD69" s="139"/>
      <c r="CE69" s="139"/>
      <c r="CF69" s="139"/>
      <c r="CG69" s="139"/>
      <c r="CH69" s="139"/>
      <c r="CI69" s="139"/>
      <c r="CJ69" s="139"/>
      <c r="CK69" s="139"/>
      <c r="CL69" s="139"/>
      <c r="CM69" s="139"/>
      <c r="CN69" s="139"/>
      <c r="CO69" s="139"/>
      <c r="CP69" s="139"/>
      <c r="CQ69" s="139"/>
      <c r="CR69" s="139"/>
      <c r="CS69" s="139"/>
      <c r="CT69" s="139"/>
      <c r="CU69" s="139"/>
      <c r="CV69" s="139"/>
      <c r="CW69" s="139"/>
      <c r="CX69" s="139"/>
      <c r="CY69" s="139"/>
      <c r="CZ69" s="139"/>
      <c r="DA69" s="139"/>
      <c r="DB69" s="139"/>
      <c r="DC69" s="139"/>
      <c r="DD69" s="139"/>
      <c r="DE69" s="139"/>
      <c r="DF69" s="139"/>
      <c r="DG69" s="139"/>
      <c r="DH69" s="139"/>
      <c r="DI69" s="139"/>
      <c r="DJ69" s="139"/>
      <c r="DK69" s="139"/>
      <c r="DL69" s="139"/>
      <c r="DM69" s="139"/>
      <c r="DN69" s="139"/>
      <c r="DO69" s="139"/>
      <c r="DP69" s="139"/>
      <c r="DQ69" s="139"/>
      <c r="DR69" s="139"/>
      <c r="DS69" s="139"/>
      <c r="DT69" s="139"/>
      <c r="DU69" s="139"/>
      <c r="DV69" s="139"/>
      <c r="DW69" s="139"/>
      <c r="DX69" s="139"/>
      <c r="DY69" s="139"/>
      <c r="DZ69" s="139"/>
      <c r="EA69" s="139"/>
      <c r="EB69" s="139"/>
      <c r="EC69" s="139"/>
      <c r="ED69" s="139"/>
      <c r="EE69" s="139"/>
      <c r="EF69" s="139"/>
      <c r="EG69" s="139"/>
      <c r="EH69" s="139"/>
      <c r="EI69" s="139"/>
      <c r="EJ69" s="139"/>
      <c r="EK69" s="139"/>
      <c r="EL69" s="139"/>
      <c r="EM69" s="139"/>
      <c r="EN69" s="139"/>
      <c r="EO69" s="139"/>
      <c r="EP69" s="139"/>
      <c r="EQ69" s="139"/>
      <c r="ER69" s="139"/>
      <c r="ES69" s="139"/>
      <c r="ET69" s="139"/>
      <c r="EU69" s="139"/>
      <c r="EV69" s="139"/>
      <c r="EW69" s="139"/>
      <c r="EX69" s="139"/>
      <c r="EY69" s="139"/>
      <c r="EZ69" s="139"/>
      <c r="FA69" s="139"/>
      <c r="FB69" s="139"/>
      <c r="FC69" s="139"/>
      <c r="FD69" s="139"/>
      <c r="FE69" s="139"/>
      <c r="FF69" s="139"/>
      <c r="FG69" s="139"/>
      <c r="FH69" s="139"/>
      <c r="FI69" s="139"/>
      <c r="FJ69" s="139"/>
      <c r="FK69" s="139"/>
      <c r="FL69" s="139"/>
      <c r="FM69" s="139"/>
      <c r="FN69" s="139"/>
      <c r="FO69" s="139"/>
      <c r="FP69" s="139"/>
      <c r="FQ69" s="139"/>
      <c r="FR69" s="139"/>
      <c r="FS69" s="139"/>
      <c r="FT69" s="139"/>
      <c r="FU69" s="139"/>
      <c r="FV69" s="139"/>
      <c r="FW69" s="139"/>
      <c r="FX69" s="139"/>
      <c r="FY69" s="139"/>
      <c r="FZ69" s="139"/>
      <c r="GA69" s="139"/>
      <c r="GB69" s="139"/>
      <c r="GC69" s="139"/>
      <c r="GD69" s="139"/>
      <c r="GE69" s="139"/>
      <c r="GF69" s="139"/>
      <c r="GG69" s="139"/>
      <c r="GH69" s="139"/>
      <c r="GI69" s="139"/>
      <c r="GJ69" s="139"/>
      <c r="GK69" s="139"/>
      <c r="GL69" s="139"/>
      <c r="GM69" s="139"/>
      <c r="GN69" s="139"/>
      <c r="GO69" s="139"/>
      <c r="GP69" s="139"/>
      <c r="GQ69" s="139"/>
      <c r="GR69" s="139"/>
      <c r="GS69" s="139"/>
      <c r="GT69" s="139"/>
      <c r="GU69" s="139"/>
      <c r="GV69" s="139"/>
      <c r="GW69" s="139"/>
      <c r="GX69" s="139"/>
      <c r="GY69" s="139"/>
      <c r="GZ69" s="139"/>
      <c r="HA69" s="139"/>
      <c r="HB69" s="139"/>
      <c r="HC69" s="139"/>
      <c r="HD69" s="139"/>
      <c r="HE69" s="139"/>
      <c r="HF69" s="139"/>
      <c r="HG69" s="139"/>
      <c r="HH69" s="139"/>
      <c r="HI69" s="139"/>
      <c r="HJ69" s="139"/>
      <c r="HK69" s="139"/>
      <c r="HL69" s="139"/>
      <c r="HM69" s="139"/>
      <c r="HN69" s="139"/>
      <c r="HO69" s="139"/>
      <c r="HP69" s="139"/>
      <c r="HQ69" s="139"/>
      <c r="HR69" s="139"/>
      <c r="HS69" s="139"/>
      <c r="HT69" s="139"/>
      <c r="HU69" s="139"/>
      <c r="HV69" s="139"/>
      <c r="HW69" s="139"/>
      <c r="HX69" s="139"/>
      <c r="HY69" s="139"/>
      <c r="HZ69" s="139"/>
      <c r="IA69" s="139"/>
      <c r="IB69" s="139"/>
      <c r="IC69" s="139"/>
      <c r="ID69" s="139"/>
      <c r="IE69" s="139"/>
      <c r="IF69" s="139"/>
      <c r="IG69" s="139"/>
      <c r="IH69" s="139"/>
      <c r="II69" s="139"/>
      <c r="IJ69" s="139"/>
      <c r="IK69" s="139"/>
      <c r="IL69" s="139"/>
      <c r="IM69" s="139"/>
      <c r="IN69" s="139"/>
      <c r="IO69" s="139"/>
      <c r="IP69" s="139"/>
      <c r="IQ69" s="139"/>
      <c r="IR69" s="139"/>
    </row>
    <row r="70" spans="2:252" x14ac:dyDescent="0.3">
      <c r="B70" s="5" t="s">
        <v>122</v>
      </c>
      <c r="C70" s="916" t="s">
        <v>225</v>
      </c>
      <c r="D70" s="941">
        <v>0</v>
      </c>
      <c r="E70" s="941">
        <v>0</v>
      </c>
      <c r="F70" s="941">
        <v>0</v>
      </c>
      <c r="G70" s="941">
        <v>0</v>
      </c>
      <c r="H70" s="941">
        <v>0</v>
      </c>
      <c r="I70" s="941">
        <v>0</v>
      </c>
      <c r="J70" s="941">
        <v>0</v>
      </c>
      <c r="K70" s="941">
        <v>0</v>
      </c>
      <c r="L70" s="941">
        <v>0</v>
      </c>
      <c r="M70" s="941">
        <v>0</v>
      </c>
      <c r="N70" s="941">
        <v>0</v>
      </c>
      <c r="O70" s="941">
        <v>0</v>
      </c>
      <c r="P70" s="941">
        <v>0</v>
      </c>
      <c r="Q70" s="941">
        <v>0</v>
      </c>
      <c r="R70" s="941">
        <v>0</v>
      </c>
      <c r="S70" s="941">
        <v>0</v>
      </c>
      <c r="T70" s="941">
        <v>0</v>
      </c>
      <c r="U70" s="941">
        <v>0</v>
      </c>
      <c r="V70" s="941">
        <v>0</v>
      </c>
      <c r="W70" s="941">
        <v>0</v>
      </c>
      <c r="X70" s="941">
        <v>0</v>
      </c>
      <c r="Y70" s="941">
        <v>0</v>
      </c>
      <c r="Z70" s="941">
        <v>0</v>
      </c>
      <c r="AA70" s="941">
        <v>0</v>
      </c>
      <c r="AB70" s="941">
        <v>0</v>
      </c>
      <c r="AC70" s="941">
        <v>0</v>
      </c>
      <c r="AD70" s="941">
        <v>0</v>
      </c>
      <c r="AE70" s="941">
        <v>0</v>
      </c>
      <c r="AF70" s="941">
        <v>0</v>
      </c>
      <c r="AG70" s="941">
        <v>0</v>
      </c>
      <c r="AH70" s="941">
        <v>0</v>
      </c>
      <c r="AI70" s="941">
        <v>0</v>
      </c>
      <c r="AJ70" s="629">
        <f>((D70+E70+P70+Q70+SUM(AA70:AI70))*'Emission &amp; Conversion Factors'!$H$232*1000)+((F70+R70)*'Emission &amp; Conversion Factors'!$H$240*1000)+((G70+S70)*'Emission &amp; Conversion Factors'!$H$242*1000)+((H70+T70)*'Emission &amp; Conversion Factors'!$H$254*1000)+((I70+U70)*'Emission &amp; Conversion Factors'!$H$251*1000)+((J70+V70)*'Emission &amp; Conversion Factors'!$J$240)+((K70+W70)*'Emission &amp; Conversion Factors'!$J$251)</f>
        <v>0</v>
      </c>
      <c r="AK70" s="139"/>
      <c r="AL70" s="139"/>
      <c r="AM70" s="139"/>
      <c r="AN70" s="139"/>
      <c r="AO70" s="139"/>
      <c r="AP70" s="139"/>
      <c r="AQ70" s="139"/>
      <c r="AR70" s="139"/>
      <c r="AS70" s="139"/>
      <c r="AT70" s="139"/>
      <c r="AU70" s="139"/>
      <c r="AV70" s="139"/>
      <c r="AW70" s="139"/>
      <c r="AX70" s="139"/>
      <c r="AY70" s="139"/>
      <c r="AZ70" s="139"/>
      <c r="BA70" s="139"/>
      <c r="BB70" s="139"/>
      <c r="BC70" s="139"/>
      <c r="BD70" s="139"/>
      <c r="BE70" s="139"/>
      <c r="BF70" s="139"/>
      <c r="BG70" s="139"/>
      <c r="BH70" s="139"/>
      <c r="BI70" s="139"/>
      <c r="BJ70" s="139"/>
      <c r="BK70" s="139"/>
      <c r="BL70" s="139"/>
      <c r="BM70" s="139"/>
      <c r="BN70" s="139"/>
      <c r="BO70" s="139"/>
      <c r="BP70" s="139"/>
      <c r="BQ70" s="139"/>
      <c r="BR70" s="139"/>
      <c r="BS70" s="139"/>
      <c r="BT70" s="139"/>
      <c r="BU70" s="139"/>
      <c r="BV70" s="139"/>
      <c r="BW70" s="139"/>
      <c r="BX70" s="139"/>
      <c r="BY70" s="139"/>
      <c r="BZ70" s="139"/>
      <c r="CA70" s="139"/>
      <c r="CB70" s="139"/>
      <c r="CC70" s="139"/>
      <c r="CD70" s="139"/>
      <c r="CE70" s="139"/>
      <c r="CF70" s="139"/>
      <c r="CG70" s="139"/>
      <c r="CH70" s="139"/>
      <c r="CI70" s="139"/>
      <c r="CJ70" s="139"/>
      <c r="CK70" s="139"/>
      <c r="CL70" s="139"/>
      <c r="CM70" s="139"/>
      <c r="CN70" s="139"/>
      <c r="CO70" s="139"/>
      <c r="CP70" s="139"/>
      <c r="CQ70" s="139"/>
      <c r="CR70" s="139"/>
      <c r="CS70" s="139"/>
      <c r="CT70" s="139"/>
      <c r="CU70" s="139"/>
      <c r="CV70" s="139"/>
      <c r="CW70" s="139"/>
      <c r="CX70" s="139"/>
      <c r="CY70" s="139"/>
      <c r="CZ70" s="139"/>
      <c r="DA70" s="139"/>
      <c r="DB70" s="139"/>
      <c r="DC70" s="139"/>
      <c r="DD70" s="139"/>
      <c r="DE70" s="139"/>
      <c r="DF70" s="139"/>
      <c r="DG70" s="139"/>
      <c r="DH70" s="139"/>
      <c r="DI70" s="139"/>
      <c r="DJ70" s="139"/>
      <c r="DK70" s="139"/>
      <c r="DL70" s="139"/>
      <c r="DM70" s="139"/>
      <c r="DN70" s="139"/>
      <c r="DO70" s="139"/>
      <c r="DP70" s="139"/>
      <c r="DQ70" s="139"/>
      <c r="DR70" s="139"/>
      <c r="DS70" s="139"/>
      <c r="DT70" s="139"/>
      <c r="DU70" s="139"/>
      <c r="DV70" s="139"/>
      <c r="DW70" s="139"/>
      <c r="DX70" s="139"/>
      <c r="DY70" s="139"/>
      <c r="DZ70" s="139"/>
      <c r="EA70" s="139"/>
      <c r="EB70" s="139"/>
      <c r="EC70" s="139"/>
      <c r="ED70" s="139"/>
      <c r="EE70" s="139"/>
      <c r="EF70" s="139"/>
      <c r="EG70" s="139"/>
      <c r="EH70" s="139"/>
      <c r="EI70" s="139"/>
      <c r="EJ70" s="139"/>
      <c r="EK70" s="139"/>
      <c r="EL70" s="139"/>
      <c r="EM70" s="139"/>
      <c r="EN70" s="139"/>
      <c r="EO70" s="139"/>
      <c r="EP70" s="139"/>
      <c r="EQ70" s="139"/>
      <c r="ER70" s="139"/>
      <c r="ES70" s="139"/>
      <c r="ET70" s="139"/>
      <c r="EU70" s="139"/>
      <c r="EV70" s="139"/>
      <c r="EW70" s="139"/>
      <c r="EX70" s="139"/>
      <c r="EY70" s="139"/>
      <c r="EZ70" s="139"/>
      <c r="FA70" s="139"/>
      <c r="FB70" s="139"/>
      <c r="FC70" s="139"/>
      <c r="FD70" s="139"/>
      <c r="FE70" s="139"/>
      <c r="FF70" s="139"/>
      <c r="FG70" s="139"/>
      <c r="FH70" s="139"/>
      <c r="FI70" s="139"/>
      <c r="FJ70" s="139"/>
      <c r="FK70" s="139"/>
      <c r="FL70" s="139"/>
      <c r="FM70" s="139"/>
      <c r="FN70" s="139"/>
      <c r="FO70" s="139"/>
      <c r="FP70" s="139"/>
      <c r="FQ70" s="139"/>
      <c r="FR70" s="139"/>
      <c r="FS70" s="139"/>
      <c r="FT70" s="139"/>
      <c r="FU70" s="139"/>
      <c r="FV70" s="139"/>
      <c r="FW70" s="139"/>
      <c r="FX70" s="139"/>
      <c r="FY70" s="139"/>
      <c r="FZ70" s="139"/>
      <c r="GA70" s="139"/>
      <c r="GB70" s="139"/>
      <c r="GC70" s="139"/>
      <c r="GD70" s="139"/>
      <c r="GE70" s="139"/>
      <c r="GF70" s="139"/>
      <c r="GG70" s="139"/>
      <c r="GH70" s="139"/>
      <c r="GI70" s="139"/>
      <c r="GJ70" s="139"/>
      <c r="GK70" s="139"/>
      <c r="GL70" s="139"/>
      <c r="GM70" s="139"/>
      <c r="GN70" s="139"/>
      <c r="GO70" s="139"/>
      <c r="GP70" s="139"/>
      <c r="GQ70" s="139"/>
      <c r="GR70" s="139"/>
      <c r="GS70" s="139"/>
      <c r="GT70" s="139"/>
      <c r="GU70" s="139"/>
      <c r="GV70" s="139"/>
      <c r="GW70" s="139"/>
      <c r="GX70" s="139"/>
      <c r="GY70" s="139"/>
      <c r="GZ70" s="139"/>
      <c r="HA70" s="139"/>
      <c r="HB70" s="139"/>
      <c r="HC70" s="139"/>
      <c r="HD70" s="139"/>
      <c r="HE70" s="139"/>
      <c r="HF70" s="139"/>
      <c r="HG70" s="139"/>
      <c r="HH70" s="139"/>
      <c r="HI70" s="139"/>
      <c r="HJ70" s="139"/>
      <c r="HK70" s="139"/>
      <c r="HL70" s="139"/>
      <c r="HM70" s="139"/>
      <c r="HN70" s="139"/>
      <c r="HO70" s="139"/>
      <c r="HP70" s="139"/>
      <c r="HQ70" s="139"/>
      <c r="HR70" s="139"/>
      <c r="HS70" s="139"/>
      <c r="HT70" s="139"/>
      <c r="HU70" s="139"/>
      <c r="HV70" s="139"/>
      <c r="HW70" s="139"/>
      <c r="HX70" s="139"/>
      <c r="HY70" s="139"/>
      <c r="HZ70" s="139"/>
      <c r="IA70" s="139"/>
      <c r="IB70" s="139"/>
      <c r="IC70" s="139"/>
      <c r="ID70" s="139"/>
      <c r="IE70" s="139"/>
      <c r="IF70" s="139"/>
      <c r="IG70" s="139"/>
      <c r="IH70" s="139"/>
      <c r="II70" s="139"/>
      <c r="IJ70" s="139"/>
      <c r="IK70" s="139"/>
      <c r="IL70" s="139"/>
      <c r="IM70" s="139"/>
      <c r="IN70" s="139"/>
      <c r="IO70" s="139"/>
      <c r="IP70" s="139"/>
      <c r="IQ70" s="139"/>
      <c r="IR70" s="139"/>
    </row>
    <row r="71" spans="2:252" x14ac:dyDescent="0.3">
      <c r="B71" s="5" t="s">
        <v>226</v>
      </c>
      <c r="C71" s="916" t="s">
        <v>227</v>
      </c>
      <c r="D71" s="941">
        <v>0</v>
      </c>
      <c r="E71" s="941">
        <v>0</v>
      </c>
      <c r="F71" s="941">
        <v>0</v>
      </c>
      <c r="G71" s="941">
        <v>0</v>
      </c>
      <c r="H71" s="941">
        <v>0</v>
      </c>
      <c r="I71" s="941">
        <v>0</v>
      </c>
      <c r="J71" s="941">
        <v>0</v>
      </c>
      <c r="K71" s="941">
        <v>0</v>
      </c>
      <c r="L71" s="941">
        <v>0</v>
      </c>
      <c r="M71" s="941">
        <v>0</v>
      </c>
      <c r="N71" s="941">
        <v>0</v>
      </c>
      <c r="O71" s="941">
        <v>0</v>
      </c>
      <c r="P71" s="941">
        <v>0</v>
      </c>
      <c r="Q71" s="941">
        <v>0</v>
      </c>
      <c r="R71" s="941">
        <v>0</v>
      </c>
      <c r="S71" s="941">
        <v>0</v>
      </c>
      <c r="T71" s="941">
        <v>0</v>
      </c>
      <c r="U71" s="941">
        <v>0</v>
      </c>
      <c r="V71" s="941">
        <v>0</v>
      </c>
      <c r="W71" s="941">
        <v>0</v>
      </c>
      <c r="X71" s="941">
        <v>0</v>
      </c>
      <c r="Y71" s="941">
        <v>0</v>
      </c>
      <c r="Z71" s="941">
        <v>0</v>
      </c>
      <c r="AA71" s="941">
        <v>0</v>
      </c>
      <c r="AB71" s="941">
        <v>0</v>
      </c>
      <c r="AC71" s="941">
        <v>0</v>
      </c>
      <c r="AD71" s="941">
        <v>0</v>
      </c>
      <c r="AE71" s="941">
        <v>0</v>
      </c>
      <c r="AF71" s="941">
        <v>0</v>
      </c>
      <c r="AG71" s="941">
        <v>0</v>
      </c>
      <c r="AH71" s="941">
        <v>0</v>
      </c>
      <c r="AI71" s="941">
        <v>0</v>
      </c>
      <c r="AJ71" s="629">
        <f>((D71+E71+P71+Q71+SUM(AA71:AI71))*'Emission &amp; Conversion Factors'!$H$232*1000)+((F71+R71)*'Emission &amp; Conversion Factors'!$H$240*1000)+((G71+S71)*'Emission &amp; Conversion Factors'!$H$242*1000)+((H71+T71)*'Emission &amp; Conversion Factors'!$H$254*1000)+((I71+U71)*'Emission &amp; Conversion Factors'!$H$251*1000)+((J71+V71)*'Emission &amp; Conversion Factors'!$J$240)+((K71+W71)*'Emission &amp; Conversion Factors'!$J$251)</f>
        <v>0</v>
      </c>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c r="BJ71" s="139"/>
      <c r="BK71" s="139"/>
      <c r="BL71" s="139"/>
      <c r="BM71" s="139"/>
      <c r="BN71" s="139"/>
      <c r="BO71" s="139"/>
      <c r="BP71" s="139"/>
      <c r="BQ71" s="139"/>
      <c r="BR71" s="139"/>
      <c r="BS71" s="139"/>
      <c r="BT71" s="139"/>
      <c r="BU71" s="139"/>
      <c r="BV71" s="139"/>
      <c r="BW71" s="139"/>
      <c r="BX71" s="139"/>
      <c r="BY71" s="139"/>
      <c r="BZ71" s="139"/>
      <c r="CA71" s="139"/>
      <c r="CB71" s="139"/>
      <c r="CC71" s="139"/>
      <c r="CD71" s="139"/>
      <c r="CE71" s="139"/>
      <c r="CF71" s="139"/>
      <c r="CG71" s="139"/>
      <c r="CH71" s="139"/>
      <c r="CI71" s="139"/>
      <c r="CJ71" s="139"/>
      <c r="CK71" s="139"/>
      <c r="CL71" s="139"/>
      <c r="CM71" s="139"/>
      <c r="CN71" s="139"/>
      <c r="CO71" s="139"/>
      <c r="CP71" s="139"/>
      <c r="CQ71" s="139"/>
      <c r="CR71" s="139"/>
      <c r="CS71" s="139"/>
      <c r="CT71" s="139"/>
      <c r="CU71" s="139"/>
      <c r="CV71" s="139"/>
      <c r="CW71" s="139"/>
      <c r="CX71" s="139"/>
      <c r="CY71" s="139"/>
      <c r="CZ71" s="139"/>
      <c r="DA71" s="139"/>
      <c r="DB71" s="139"/>
      <c r="DC71" s="139"/>
      <c r="DD71" s="139"/>
      <c r="DE71" s="139"/>
      <c r="DF71" s="139"/>
      <c r="DG71" s="139"/>
      <c r="DH71" s="139"/>
      <c r="DI71" s="139"/>
      <c r="DJ71" s="139"/>
      <c r="DK71" s="139"/>
      <c r="DL71" s="139"/>
      <c r="DM71" s="139"/>
      <c r="DN71" s="139"/>
      <c r="DO71" s="139"/>
      <c r="DP71" s="139"/>
      <c r="DQ71" s="139"/>
      <c r="DR71" s="139"/>
      <c r="DS71" s="139"/>
      <c r="DT71" s="139"/>
      <c r="DU71" s="139"/>
      <c r="DV71" s="139"/>
      <c r="DW71" s="139"/>
      <c r="DX71" s="139"/>
      <c r="DY71" s="139"/>
      <c r="DZ71" s="139"/>
      <c r="EA71" s="139"/>
      <c r="EB71" s="139"/>
      <c r="EC71" s="139"/>
      <c r="ED71" s="139"/>
      <c r="EE71" s="139"/>
      <c r="EF71" s="139"/>
      <c r="EG71" s="139"/>
      <c r="EH71" s="139"/>
      <c r="EI71" s="139"/>
      <c r="EJ71" s="139"/>
      <c r="EK71" s="139"/>
      <c r="EL71" s="139"/>
      <c r="EM71" s="139"/>
      <c r="EN71" s="139"/>
      <c r="EO71" s="139"/>
      <c r="EP71" s="139"/>
      <c r="EQ71" s="139"/>
      <c r="ER71" s="139"/>
      <c r="ES71" s="139"/>
      <c r="ET71" s="139"/>
      <c r="EU71" s="139"/>
      <c r="EV71" s="139"/>
      <c r="EW71" s="139"/>
      <c r="EX71" s="139"/>
      <c r="EY71" s="139"/>
      <c r="EZ71" s="139"/>
      <c r="FA71" s="139"/>
      <c r="FB71" s="139"/>
      <c r="FC71" s="139"/>
      <c r="FD71" s="139"/>
      <c r="FE71" s="139"/>
      <c r="FF71" s="139"/>
      <c r="FG71" s="139"/>
      <c r="FH71" s="139"/>
      <c r="FI71" s="139"/>
      <c r="FJ71" s="139"/>
      <c r="FK71" s="139"/>
      <c r="FL71" s="139"/>
      <c r="FM71" s="139"/>
      <c r="FN71" s="139"/>
      <c r="FO71" s="139"/>
      <c r="FP71" s="139"/>
      <c r="FQ71" s="139"/>
      <c r="FR71" s="139"/>
      <c r="FS71" s="139"/>
      <c r="FT71" s="139"/>
      <c r="FU71" s="139"/>
      <c r="FV71" s="139"/>
      <c r="FW71" s="139"/>
      <c r="FX71" s="139"/>
      <c r="FY71" s="139"/>
      <c r="FZ71" s="139"/>
      <c r="GA71" s="139"/>
      <c r="GB71" s="139"/>
      <c r="GC71" s="139"/>
      <c r="GD71" s="139"/>
      <c r="GE71" s="139"/>
      <c r="GF71" s="139"/>
      <c r="GG71" s="139"/>
      <c r="GH71" s="139"/>
      <c r="GI71" s="139"/>
      <c r="GJ71" s="139"/>
      <c r="GK71" s="139"/>
      <c r="GL71" s="139"/>
      <c r="GM71" s="139"/>
      <c r="GN71" s="139"/>
      <c r="GO71" s="139"/>
      <c r="GP71" s="139"/>
      <c r="GQ71" s="139"/>
      <c r="GR71" s="139"/>
      <c r="GS71" s="139"/>
      <c r="GT71" s="139"/>
      <c r="GU71" s="139"/>
      <c r="GV71" s="139"/>
      <c r="GW71" s="139"/>
      <c r="GX71" s="139"/>
      <c r="GY71" s="139"/>
      <c r="GZ71" s="139"/>
      <c r="HA71" s="139"/>
      <c r="HB71" s="139"/>
      <c r="HC71" s="139"/>
      <c r="HD71" s="139"/>
      <c r="HE71" s="139"/>
      <c r="HF71" s="139"/>
      <c r="HG71" s="139"/>
      <c r="HH71" s="139"/>
      <c r="HI71" s="139"/>
      <c r="HJ71" s="139"/>
      <c r="HK71" s="139"/>
      <c r="HL71" s="139"/>
      <c r="HM71" s="139"/>
      <c r="HN71" s="139"/>
      <c r="HO71" s="139"/>
      <c r="HP71" s="139"/>
      <c r="HQ71" s="139"/>
      <c r="HR71" s="139"/>
      <c r="HS71" s="139"/>
      <c r="HT71" s="139"/>
      <c r="HU71" s="139"/>
      <c r="HV71" s="139"/>
      <c r="HW71" s="139"/>
      <c r="HX71" s="139"/>
      <c r="HY71" s="139"/>
      <c r="HZ71" s="139"/>
      <c r="IA71" s="139"/>
      <c r="IB71" s="139"/>
      <c r="IC71" s="139"/>
      <c r="ID71" s="139"/>
      <c r="IE71" s="139"/>
      <c r="IF71" s="139"/>
      <c r="IG71" s="139"/>
      <c r="IH71" s="139"/>
      <c r="II71" s="139"/>
      <c r="IJ71" s="139"/>
      <c r="IK71" s="139"/>
      <c r="IL71" s="139"/>
      <c r="IM71" s="139"/>
      <c r="IN71" s="139"/>
      <c r="IO71" s="139"/>
      <c r="IP71" s="139"/>
      <c r="IQ71" s="139"/>
      <c r="IR71" s="139"/>
    </row>
    <row r="72" spans="2:252" x14ac:dyDescent="0.3">
      <c r="B72" s="5" t="s">
        <v>124</v>
      </c>
      <c r="C72" s="916" t="s">
        <v>228</v>
      </c>
      <c r="D72" s="941">
        <v>0</v>
      </c>
      <c r="E72" s="941">
        <v>0</v>
      </c>
      <c r="F72" s="941">
        <v>0</v>
      </c>
      <c r="G72" s="941">
        <v>0</v>
      </c>
      <c r="H72" s="941">
        <v>0</v>
      </c>
      <c r="I72" s="941">
        <v>0</v>
      </c>
      <c r="J72" s="941">
        <v>0</v>
      </c>
      <c r="K72" s="941">
        <v>0</v>
      </c>
      <c r="L72" s="941">
        <v>0</v>
      </c>
      <c r="M72" s="941">
        <v>0</v>
      </c>
      <c r="N72" s="941">
        <v>0</v>
      </c>
      <c r="O72" s="941">
        <v>0</v>
      </c>
      <c r="P72" s="941">
        <v>0</v>
      </c>
      <c r="Q72" s="941">
        <v>0</v>
      </c>
      <c r="R72" s="941">
        <v>0</v>
      </c>
      <c r="S72" s="941">
        <v>0</v>
      </c>
      <c r="T72" s="941">
        <v>0</v>
      </c>
      <c r="U72" s="941">
        <v>0</v>
      </c>
      <c r="V72" s="941">
        <v>0</v>
      </c>
      <c r="W72" s="941">
        <v>0</v>
      </c>
      <c r="X72" s="941">
        <v>0</v>
      </c>
      <c r="Y72" s="941">
        <v>0</v>
      </c>
      <c r="Z72" s="941">
        <v>0</v>
      </c>
      <c r="AA72" s="941">
        <v>0</v>
      </c>
      <c r="AB72" s="941">
        <v>0</v>
      </c>
      <c r="AC72" s="941">
        <v>0</v>
      </c>
      <c r="AD72" s="941">
        <v>0</v>
      </c>
      <c r="AE72" s="941">
        <v>0</v>
      </c>
      <c r="AF72" s="941">
        <v>0</v>
      </c>
      <c r="AG72" s="941">
        <v>0</v>
      </c>
      <c r="AH72" s="941">
        <v>0</v>
      </c>
      <c r="AI72" s="941">
        <v>0</v>
      </c>
      <c r="AJ72" s="629">
        <f>((D72+E72+P72+Q72+SUM(AA72:AI72))*'Emission &amp; Conversion Factors'!$H$232*1000)+((F72+R72)*'Emission &amp; Conversion Factors'!$H$240*1000)+((G72+S72)*'Emission &amp; Conversion Factors'!$H$242*1000)+((H72+T72)*'Emission &amp; Conversion Factors'!$H$254*1000)+((I72+U72)*'Emission &amp; Conversion Factors'!$H$251*1000)+((J72+V72)*'Emission &amp; Conversion Factors'!$J$240)+((K72+W72)*'Emission &amp; Conversion Factors'!$J$251)</f>
        <v>0</v>
      </c>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c r="BJ72" s="139"/>
      <c r="BK72" s="139"/>
      <c r="BL72" s="139"/>
      <c r="BM72" s="139"/>
      <c r="BN72" s="139"/>
      <c r="BO72" s="139"/>
      <c r="BP72" s="139"/>
      <c r="BQ72" s="139"/>
      <c r="BR72" s="139"/>
      <c r="BS72" s="139"/>
      <c r="BT72" s="139"/>
      <c r="BU72" s="139"/>
      <c r="BV72" s="139"/>
      <c r="BW72" s="139"/>
      <c r="BX72" s="139"/>
      <c r="BY72" s="139"/>
      <c r="BZ72" s="139"/>
      <c r="CA72" s="139"/>
      <c r="CB72" s="139"/>
      <c r="CC72" s="139"/>
      <c r="CD72" s="139"/>
      <c r="CE72" s="139"/>
      <c r="CF72" s="139"/>
      <c r="CG72" s="139"/>
      <c r="CH72" s="139"/>
      <c r="CI72" s="139"/>
      <c r="CJ72" s="139"/>
      <c r="CK72" s="139"/>
      <c r="CL72" s="139"/>
      <c r="CM72" s="139"/>
      <c r="CN72" s="139"/>
      <c r="CO72" s="139"/>
      <c r="CP72" s="139"/>
      <c r="CQ72" s="139"/>
      <c r="CR72" s="139"/>
      <c r="CS72" s="139"/>
      <c r="CT72" s="139"/>
      <c r="CU72" s="139"/>
      <c r="CV72" s="139"/>
      <c r="CW72" s="139"/>
      <c r="CX72" s="139"/>
      <c r="CY72" s="139"/>
      <c r="CZ72" s="139"/>
      <c r="DA72" s="139"/>
      <c r="DB72" s="139"/>
      <c r="DC72" s="139"/>
      <c r="DD72" s="139"/>
      <c r="DE72" s="139"/>
      <c r="DF72" s="139"/>
      <c r="DG72" s="139"/>
      <c r="DH72" s="139"/>
      <c r="DI72" s="139"/>
      <c r="DJ72" s="139"/>
      <c r="DK72" s="139"/>
      <c r="DL72" s="139"/>
      <c r="DM72" s="139"/>
      <c r="DN72" s="139"/>
      <c r="DO72" s="139"/>
      <c r="DP72" s="139"/>
      <c r="DQ72" s="139"/>
      <c r="DR72" s="139"/>
      <c r="DS72" s="139"/>
      <c r="DT72" s="139"/>
      <c r="DU72" s="139"/>
      <c r="DV72" s="139"/>
      <c r="DW72" s="139"/>
      <c r="DX72" s="139"/>
      <c r="DY72" s="139"/>
      <c r="DZ72" s="139"/>
      <c r="EA72" s="139"/>
      <c r="EB72" s="139"/>
      <c r="EC72" s="139"/>
      <c r="ED72" s="139"/>
      <c r="EE72" s="139"/>
      <c r="EF72" s="139"/>
      <c r="EG72" s="139"/>
      <c r="EH72" s="139"/>
      <c r="EI72" s="139"/>
      <c r="EJ72" s="139"/>
      <c r="EK72" s="139"/>
      <c r="EL72" s="139"/>
      <c r="EM72" s="139"/>
      <c r="EN72" s="139"/>
      <c r="EO72" s="139"/>
      <c r="EP72" s="139"/>
      <c r="EQ72" s="139"/>
      <c r="ER72" s="139"/>
      <c r="ES72" s="139"/>
      <c r="ET72" s="139"/>
      <c r="EU72" s="139"/>
      <c r="EV72" s="139"/>
      <c r="EW72" s="139"/>
      <c r="EX72" s="139"/>
      <c r="EY72" s="139"/>
      <c r="EZ72" s="139"/>
      <c r="FA72" s="139"/>
      <c r="FB72" s="139"/>
      <c r="FC72" s="139"/>
      <c r="FD72" s="139"/>
      <c r="FE72" s="139"/>
      <c r="FF72" s="139"/>
      <c r="FG72" s="139"/>
      <c r="FH72" s="139"/>
      <c r="FI72" s="139"/>
      <c r="FJ72" s="139"/>
      <c r="FK72" s="139"/>
      <c r="FL72" s="139"/>
      <c r="FM72" s="139"/>
      <c r="FN72" s="139"/>
      <c r="FO72" s="139"/>
      <c r="FP72" s="139"/>
      <c r="FQ72" s="139"/>
      <c r="FR72" s="139"/>
      <c r="FS72" s="139"/>
      <c r="FT72" s="139"/>
      <c r="FU72" s="139"/>
      <c r="FV72" s="139"/>
      <c r="FW72" s="139"/>
      <c r="FX72" s="139"/>
      <c r="FY72" s="139"/>
      <c r="FZ72" s="139"/>
      <c r="GA72" s="139"/>
      <c r="GB72" s="139"/>
      <c r="GC72" s="139"/>
      <c r="GD72" s="139"/>
      <c r="GE72" s="139"/>
      <c r="GF72" s="139"/>
      <c r="GG72" s="139"/>
      <c r="GH72" s="139"/>
      <c r="GI72" s="139"/>
      <c r="GJ72" s="139"/>
      <c r="GK72" s="139"/>
      <c r="GL72" s="139"/>
      <c r="GM72" s="139"/>
      <c r="GN72" s="139"/>
      <c r="GO72" s="139"/>
      <c r="GP72" s="139"/>
      <c r="GQ72" s="139"/>
      <c r="GR72" s="139"/>
      <c r="GS72" s="139"/>
      <c r="GT72" s="139"/>
      <c r="GU72" s="139"/>
      <c r="GV72" s="139"/>
      <c r="GW72" s="139"/>
      <c r="GX72" s="139"/>
      <c r="GY72" s="139"/>
      <c r="GZ72" s="139"/>
      <c r="HA72" s="139"/>
      <c r="HB72" s="139"/>
      <c r="HC72" s="139"/>
      <c r="HD72" s="139"/>
      <c r="HE72" s="139"/>
      <c r="HF72" s="139"/>
      <c r="HG72" s="139"/>
      <c r="HH72" s="139"/>
      <c r="HI72" s="139"/>
      <c r="HJ72" s="139"/>
      <c r="HK72" s="139"/>
      <c r="HL72" s="139"/>
      <c r="HM72" s="139"/>
      <c r="HN72" s="139"/>
      <c r="HO72" s="139"/>
      <c r="HP72" s="139"/>
      <c r="HQ72" s="139"/>
      <c r="HR72" s="139"/>
      <c r="HS72" s="139"/>
      <c r="HT72" s="139"/>
      <c r="HU72" s="139"/>
      <c r="HV72" s="139"/>
      <c r="HW72" s="139"/>
      <c r="HX72" s="139"/>
      <c r="HY72" s="139"/>
      <c r="HZ72" s="139"/>
      <c r="IA72" s="139"/>
      <c r="IB72" s="139"/>
      <c r="IC72" s="139"/>
      <c r="ID72" s="139"/>
      <c r="IE72" s="139"/>
      <c r="IF72" s="139"/>
      <c r="IG72" s="139"/>
      <c r="IH72" s="139"/>
      <c r="II72" s="139"/>
      <c r="IJ72" s="139"/>
      <c r="IK72" s="139"/>
      <c r="IL72" s="139"/>
      <c r="IM72" s="139"/>
      <c r="IN72" s="139"/>
      <c r="IO72" s="139"/>
      <c r="IP72" s="139"/>
      <c r="IQ72" s="139"/>
      <c r="IR72" s="139"/>
    </row>
    <row r="73" spans="2:252" x14ac:dyDescent="0.3">
      <c r="B73" s="5" t="s">
        <v>125</v>
      </c>
      <c r="C73" s="916" t="s">
        <v>229</v>
      </c>
      <c r="D73" s="941">
        <v>0</v>
      </c>
      <c r="E73" s="941">
        <v>0</v>
      </c>
      <c r="F73" s="941">
        <v>0</v>
      </c>
      <c r="G73" s="941">
        <v>0</v>
      </c>
      <c r="H73" s="941">
        <v>0</v>
      </c>
      <c r="I73" s="941">
        <v>0</v>
      </c>
      <c r="J73" s="941">
        <v>0</v>
      </c>
      <c r="K73" s="941">
        <v>0</v>
      </c>
      <c r="L73" s="941">
        <v>0</v>
      </c>
      <c r="M73" s="941">
        <v>0</v>
      </c>
      <c r="N73" s="941">
        <v>0</v>
      </c>
      <c r="O73" s="941">
        <v>0</v>
      </c>
      <c r="P73" s="941">
        <v>0</v>
      </c>
      <c r="Q73" s="941">
        <v>0</v>
      </c>
      <c r="R73" s="941">
        <v>0</v>
      </c>
      <c r="S73" s="941">
        <v>0</v>
      </c>
      <c r="T73" s="941">
        <v>0</v>
      </c>
      <c r="U73" s="941">
        <v>0</v>
      </c>
      <c r="V73" s="941">
        <v>0</v>
      </c>
      <c r="W73" s="941">
        <v>0</v>
      </c>
      <c r="X73" s="941">
        <v>0</v>
      </c>
      <c r="Y73" s="941">
        <v>0</v>
      </c>
      <c r="Z73" s="941">
        <v>0</v>
      </c>
      <c r="AA73" s="941">
        <v>0</v>
      </c>
      <c r="AB73" s="941">
        <v>0</v>
      </c>
      <c r="AC73" s="941">
        <v>0</v>
      </c>
      <c r="AD73" s="941">
        <v>0</v>
      </c>
      <c r="AE73" s="941">
        <v>0</v>
      </c>
      <c r="AF73" s="941">
        <v>0</v>
      </c>
      <c r="AG73" s="941">
        <v>0</v>
      </c>
      <c r="AH73" s="941">
        <v>0</v>
      </c>
      <c r="AI73" s="941">
        <v>0</v>
      </c>
      <c r="AJ73" s="629">
        <f>((D73+E73+P73+Q73+SUM(AA73:AI73))*'Emission &amp; Conversion Factors'!$H$232*1000)+((F73+R73)*'Emission &amp; Conversion Factors'!$H$240*1000)+((G73+S73)*'Emission &amp; Conversion Factors'!$H$242*1000)+((H73+T73)*'Emission &amp; Conversion Factors'!$H$254*1000)+((I73+U73)*'Emission &amp; Conversion Factors'!$H$251*1000)+((J73+V73)*'Emission &amp; Conversion Factors'!$J$240)+((K73+W73)*'Emission &amp; Conversion Factors'!$J$251)</f>
        <v>0</v>
      </c>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c r="BJ73" s="139"/>
      <c r="BK73" s="139"/>
      <c r="BL73" s="139"/>
      <c r="BM73" s="139"/>
      <c r="BN73" s="139"/>
      <c r="BO73" s="139"/>
      <c r="BP73" s="139"/>
      <c r="BQ73" s="139"/>
      <c r="BR73" s="139"/>
      <c r="BS73" s="139"/>
      <c r="BT73" s="139"/>
      <c r="BU73" s="139"/>
      <c r="BV73" s="139"/>
      <c r="BW73" s="139"/>
      <c r="BX73" s="139"/>
      <c r="BY73" s="139"/>
      <c r="BZ73" s="139"/>
      <c r="CA73" s="139"/>
      <c r="CB73" s="139"/>
      <c r="CC73" s="139"/>
      <c r="CD73" s="139"/>
      <c r="CE73" s="139"/>
      <c r="CF73" s="139"/>
      <c r="CG73" s="139"/>
      <c r="CH73" s="139"/>
      <c r="CI73" s="139"/>
      <c r="CJ73" s="139"/>
      <c r="CK73" s="139"/>
      <c r="CL73" s="139"/>
      <c r="CM73" s="139"/>
      <c r="CN73" s="139"/>
      <c r="CO73" s="139"/>
      <c r="CP73" s="139"/>
      <c r="CQ73" s="139"/>
      <c r="CR73" s="139"/>
      <c r="CS73" s="139"/>
      <c r="CT73" s="139"/>
      <c r="CU73" s="139"/>
      <c r="CV73" s="139"/>
      <c r="CW73" s="139"/>
      <c r="CX73" s="139"/>
      <c r="CY73" s="139"/>
      <c r="CZ73" s="139"/>
      <c r="DA73" s="139"/>
      <c r="DB73" s="139"/>
      <c r="DC73" s="139"/>
      <c r="DD73" s="139"/>
      <c r="DE73" s="139"/>
      <c r="DF73" s="139"/>
      <c r="DG73" s="139"/>
      <c r="DH73" s="139"/>
      <c r="DI73" s="139"/>
      <c r="DJ73" s="139"/>
      <c r="DK73" s="139"/>
      <c r="DL73" s="139"/>
      <c r="DM73" s="139"/>
      <c r="DN73" s="139"/>
      <c r="DO73" s="139"/>
      <c r="DP73" s="139"/>
      <c r="DQ73" s="139"/>
      <c r="DR73" s="139"/>
      <c r="DS73" s="139"/>
      <c r="DT73" s="139"/>
      <c r="DU73" s="139"/>
      <c r="DV73" s="139"/>
      <c r="DW73" s="139"/>
      <c r="DX73" s="139"/>
      <c r="DY73" s="139"/>
      <c r="DZ73" s="139"/>
      <c r="EA73" s="139"/>
      <c r="EB73" s="139"/>
      <c r="EC73" s="139"/>
      <c r="ED73" s="139"/>
      <c r="EE73" s="139"/>
      <c r="EF73" s="139"/>
      <c r="EG73" s="139"/>
      <c r="EH73" s="139"/>
      <c r="EI73" s="139"/>
      <c r="EJ73" s="139"/>
      <c r="EK73" s="139"/>
      <c r="EL73" s="139"/>
      <c r="EM73" s="139"/>
      <c r="EN73" s="139"/>
      <c r="EO73" s="139"/>
      <c r="EP73" s="139"/>
      <c r="EQ73" s="139"/>
      <c r="ER73" s="139"/>
      <c r="ES73" s="139"/>
      <c r="ET73" s="139"/>
      <c r="EU73" s="139"/>
      <c r="EV73" s="139"/>
      <c r="EW73" s="139"/>
      <c r="EX73" s="139"/>
      <c r="EY73" s="139"/>
      <c r="EZ73" s="139"/>
      <c r="FA73" s="139"/>
      <c r="FB73" s="139"/>
      <c r="FC73" s="139"/>
      <c r="FD73" s="139"/>
      <c r="FE73" s="139"/>
      <c r="FF73" s="139"/>
      <c r="FG73" s="139"/>
      <c r="FH73" s="139"/>
      <c r="FI73" s="139"/>
      <c r="FJ73" s="139"/>
      <c r="FK73" s="139"/>
      <c r="FL73" s="139"/>
      <c r="FM73" s="139"/>
      <c r="FN73" s="139"/>
      <c r="FO73" s="139"/>
      <c r="FP73" s="139"/>
      <c r="FQ73" s="139"/>
      <c r="FR73" s="139"/>
      <c r="FS73" s="139"/>
      <c r="FT73" s="139"/>
      <c r="FU73" s="139"/>
      <c r="FV73" s="139"/>
      <c r="FW73" s="139"/>
      <c r="FX73" s="139"/>
      <c r="FY73" s="139"/>
      <c r="FZ73" s="139"/>
      <c r="GA73" s="139"/>
      <c r="GB73" s="139"/>
      <c r="GC73" s="139"/>
      <c r="GD73" s="139"/>
      <c r="GE73" s="139"/>
      <c r="GF73" s="139"/>
      <c r="GG73" s="139"/>
      <c r="GH73" s="139"/>
      <c r="GI73" s="139"/>
      <c r="GJ73" s="139"/>
      <c r="GK73" s="139"/>
      <c r="GL73" s="139"/>
      <c r="GM73" s="139"/>
      <c r="GN73" s="139"/>
      <c r="GO73" s="139"/>
      <c r="GP73" s="139"/>
      <c r="GQ73" s="139"/>
      <c r="GR73" s="139"/>
      <c r="GS73" s="139"/>
      <c r="GT73" s="139"/>
      <c r="GU73" s="139"/>
      <c r="GV73" s="139"/>
      <c r="GW73" s="139"/>
      <c r="GX73" s="139"/>
      <c r="GY73" s="139"/>
      <c r="GZ73" s="139"/>
      <c r="HA73" s="139"/>
      <c r="HB73" s="139"/>
      <c r="HC73" s="139"/>
      <c r="HD73" s="139"/>
      <c r="HE73" s="139"/>
      <c r="HF73" s="139"/>
      <c r="HG73" s="139"/>
      <c r="HH73" s="139"/>
      <c r="HI73" s="139"/>
      <c r="HJ73" s="139"/>
      <c r="HK73" s="139"/>
      <c r="HL73" s="139"/>
      <c r="HM73" s="139"/>
      <c r="HN73" s="139"/>
      <c r="HO73" s="139"/>
      <c r="HP73" s="139"/>
      <c r="HQ73" s="139"/>
      <c r="HR73" s="139"/>
      <c r="HS73" s="139"/>
      <c r="HT73" s="139"/>
      <c r="HU73" s="139"/>
      <c r="HV73" s="139"/>
      <c r="HW73" s="139"/>
      <c r="HX73" s="139"/>
      <c r="HY73" s="139"/>
      <c r="HZ73" s="139"/>
      <c r="IA73" s="139"/>
      <c r="IB73" s="139"/>
      <c r="IC73" s="139"/>
      <c r="ID73" s="139"/>
      <c r="IE73" s="139"/>
      <c r="IF73" s="139"/>
      <c r="IG73" s="139"/>
      <c r="IH73" s="139"/>
      <c r="II73" s="139"/>
      <c r="IJ73" s="139"/>
      <c r="IK73" s="139"/>
      <c r="IL73" s="139"/>
      <c r="IM73" s="139"/>
      <c r="IN73" s="139"/>
      <c r="IO73" s="139"/>
      <c r="IP73" s="139"/>
      <c r="IQ73" s="139"/>
      <c r="IR73" s="139"/>
    </row>
    <row r="74" spans="2:252" x14ac:dyDescent="0.3">
      <c r="B74" s="5" t="s">
        <v>126</v>
      </c>
      <c r="C74" s="916" t="s">
        <v>230</v>
      </c>
      <c r="D74" s="941">
        <v>0</v>
      </c>
      <c r="E74" s="941">
        <v>0</v>
      </c>
      <c r="F74" s="941">
        <v>0</v>
      </c>
      <c r="G74" s="941">
        <v>0</v>
      </c>
      <c r="H74" s="941">
        <v>0</v>
      </c>
      <c r="I74" s="941">
        <v>0</v>
      </c>
      <c r="J74" s="941">
        <v>0</v>
      </c>
      <c r="K74" s="941">
        <v>0</v>
      </c>
      <c r="L74" s="941">
        <v>0</v>
      </c>
      <c r="M74" s="941">
        <v>0</v>
      </c>
      <c r="N74" s="941">
        <v>0</v>
      </c>
      <c r="O74" s="941">
        <v>0</v>
      </c>
      <c r="P74" s="941">
        <v>0</v>
      </c>
      <c r="Q74" s="941">
        <v>0</v>
      </c>
      <c r="R74" s="941">
        <v>0</v>
      </c>
      <c r="S74" s="941">
        <v>0</v>
      </c>
      <c r="T74" s="941">
        <v>0</v>
      </c>
      <c r="U74" s="941">
        <v>0</v>
      </c>
      <c r="V74" s="941">
        <v>0</v>
      </c>
      <c r="W74" s="941">
        <v>0</v>
      </c>
      <c r="X74" s="941">
        <v>0</v>
      </c>
      <c r="Y74" s="941">
        <v>0</v>
      </c>
      <c r="Z74" s="941">
        <v>0</v>
      </c>
      <c r="AA74" s="941">
        <v>0</v>
      </c>
      <c r="AB74" s="941">
        <v>0</v>
      </c>
      <c r="AC74" s="941">
        <v>0</v>
      </c>
      <c r="AD74" s="941">
        <v>0</v>
      </c>
      <c r="AE74" s="941">
        <v>0</v>
      </c>
      <c r="AF74" s="941">
        <v>0</v>
      </c>
      <c r="AG74" s="941">
        <v>0</v>
      </c>
      <c r="AH74" s="941">
        <v>0</v>
      </c>
      <c r="AI74" s="941">
        <v>0</v>
      </c>
      <c r="AJ74" s="629">
        <f>((D74+E74+P74+Q74+SUM(AA74:AI74))*'Emission &amp; Conversion Factors'!$H$232*1000)+((F74+R74)*'Emission &amp; Conversion Factors'!$H$240*1000)+((G74+S74)*'Emission &amp; Conversion Factors'!$H$242*1000)+((H74+T74)*'Emission &amp; Conversion Factors'!$H$254*1000)+((I74+U74)*'Emission &amp; Conversion Factors'!$H$251*1000)+((J74+V74)*'Emission &amp; Conversion Factors'!$J$240)+((K74+W74)*'Emission &amp; Conversion Factors'!$J$251)</f>
        <v>0</v>
      </c>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9"/>
      <c r="BZ74" s="139"/>
      <c r="CA74" s="139"/>
      <c r="CB74" s="139"/>
      <c r="CC74" s="139"/>
      <c r="CD74" s="139"/>
      <c r="CE74" s="139"/>
      <c r="CF74" s="139"/>
      <c r="CG74" s="139"/>
      <c r="CH74" s="139"/>
      <c r="CI74" s="139"/>
      <c r="CJ74" s="139"/>
      <c r="CK74" s="139"/>
      <c r="CL74" s="139"/>
      <c r="CM74" s="139"/>
      <c r="CN74" s="139"/>
      <c r="CO74" s="139"/>
      <c r="CP74" s="139"/>
      <c r="CQ74" s="139"/>
      <c r="CR74" s="139"/>
      <c r="CS74" s="139"/>
      <c r="CT74" s="139"/>
      <c r="CU74" s="139"/>
      <c r="CV74" s="139"/>
      <c r="CW74" s="139"/>
      <c r="CX74" s="139"/>
      <c r="CY74" s="139"/>
      <c r="CZ74" s="139"/>
      <c r="DA74" s="139"/>
      <c r="DB74" s="139"/>
      <c r="DC74" s="139"/>
      <c r="DD74" s="139"/>
      <c r="DE74" s="139"/>
      <c r="DF74" s="139"/>
      <c r="DG74" s="139"/>
      <c r="DH74" s="139"/>
      <c r="DI74" s="139"/>
      <c r="DJ74" s="139"/>
      <c r="DK74" s="139"/>
      <c r="DL74" s="139"/>
      <c r="DM74" s="139"/>
      <c r="DN74" s="139"/>
      <c r="DO74" s="139"/>
      <c r="DP74" s="139"/>
      <c r="DQ74" s="139"/>
      <c r="DR74" s="139"/>
      <c r="DS74" s="139"/>
      <c r="DT74" s="139"/>
      <c r="DU74" s="139"/>
      <c r="DV74" s="139"/>
      <c r="DW74" s="139"/>
      <c r="DX74" s="139"/>
      <c r="DY74" s="139"/>
      <c r="DZ74" s="139"/>
      <c r="EA74" s="139"/>
      <c r="EB74" s="139"/>
      <c r="EC74" s="139"/>
      <c r="ED74" s="139"/>
      <c r="EE74" s="139"/>
      <c r="EF74" s="139"/>
      <c r="EG74" s="139"/>
      <c r="EH74" s="139"/>
      <c r="EI74" s="139"/>
      <c r="EJ74" s="139"/>
      <c r="EK74" s="139"/>
      <c r="EL74" s="139"/>
      <c r="EM74" s="139"/>
      <c r="EN74" s="139"/>
      <c r="EO74" s="139"/>
      <c r="EP74" s="139"/>
      <c r="EQ74" s="139"/>
      <c r="ER74" s="139"/>
      <c r="ES74" s="139"/>
      <c r="ET74" s="139"/>
      <c r="EU74" s="139"/>
      <c r="EV74" s="139"/>
      <c r="EW74" s="139"/>
      <c r="EX74" s="139"/>
      <c r="EY74" s="139"/>
      <c r="EZ74" s="139"/>
      <c r="FA74" s="139"/>
      <c r="FB74" s="139"/>
      <c r="FC74" s="139"/>
      <c r="FD74" s="139"/>
      <c r="FE74" s="139"/>
      <c r="FF74" s="139"/>
      <c r="FG74" s="139"/>
      <c r="FH74" s="139"/>
      <c r="FI74" s="139"/>
      <c r="FJ74" s="139"/>
      <c r="FK74" s="139"/>
      <c r="FL74" s="139"/>
      <c r="FM74" s="139"/>
      <c r="FN74" s="139"/>
      <c r="FO74" s="139"/>
      <c r="FP74" s="139"/>
      <c r="FQ74" s="139"/>
      <c r="FR74" s="139"/>
      <c r="FS74" s="139"/>
      <c r="FT74" s="139"/>
      <c r="FU74" s="139"/>
      <c r="FV74" s="139"/>
      <c r="FW74" s="139"/>
      <c r="FX74" s="139"/>
      <c r="FY74" s="139"/>
      <c r="FZ74" s="139"/>
      <c r="GA74" s="139"/>
      <c r="GB74" s="139"/>
      <c r="GC74" s="139"/>
      <c r="GD74" s="139"/>
      <c r="GE74" s="139"/>
      <c r="GF74" s="139"/>
      <c r="GG74" s="139"/>
      <c r="GH74" s="139"/>
      <c r="GI74" s="139"/>
      <c r="GJ74" s="139"/>
      <c r="GK74" s="139"/>
      <c r="GL74" s="139"/>
      <c r="GM74" s="139"/>
      <c r="GN74" s="139"/>
      <c r="GO74" s="139"/>
      <c r="GP74" s="139"/>
      <c r="GQ74" s="139"/>
      <c r="GR74" s="139"/>
      <c r="GS74" s="139"/>
      <c r="GT74" s="139"/>
      <c r="GU74" s="139"/>
      <c r="GV74" s="139"/>
      <c r="GW74" s="139"/>
      <c r="GX74" s="139"/>
      <c r="GY74" s="139"/>
      <c r="GZ74" s="139"/>
      <c r="HA74" s="139"/>
      <c r="HB74" s="139"/>
      <c r="HC74" s="139"/>
      <c r="HD74" s="139"/>
      <c r="HE74" s="139"/>
      <c r="HF74" s="139"/>
      <c r="HG74" s="139"/>
      <c r="HH74" s="139"/>
      <c r="HI74" s="139"/>
      <c r="HJ74" s="139"/>
      <c r="HK74" s="139"/>
      <c r="HL74" s="139"/>
      <c r="HM74" s="139"/>
      <c r="HN74" s="139"/>
      <c r="HO74" s="139"/>
      <c r="HP74" s="139"/>
      <c r="HQ74" s="139"/>
      <c r="HR74" s="139"/>
      <c r="HS74" s="139"/>
      <c r="HT74" s="139"/>
      <c r="HU74" s="139"/>
      <c r="HV74" s="139"/>
      <c r="HW74" s="139"/>
      <c r="HX74" s="139"/>
      <c r="HY74" s="139"/>
      <c r="HZ74" s="139"/>
      <c r="IA74" s="139"/>
      <c r="IB74" s="139"/>
      <c r="IC74" s="139"/>
      <c r="ID74" s="139"/>
      <c r="IE74" s="139"/>
      <c r="IF74" s="139"/>
      <c r="IG74" s="139"/>
      <c r="IH74" s="139"/>
      <c r="II74" s="139"/>
      <c r="IJ74" s="139"/>
      <c r="IK74" s="139"/>
      <c r="IL74" s="139"/>
      <c r="IM74" s="139"/>
      <c r="IN74" s="139"/>
      <c r="IO74" s="139"/>
      <c r="IP74" s="139"/>
      <c r="IQ74" s="139"/>
      <c r="IR74" s="139"/>
    </row>
    <row r="75" spans="2:252" x14ac:dyDescent="0.3">
      <c r="B75" s="5" t="s">
        <v>127</v>
      </c>
      <c r="C75" s="916" t="s">
        <v>231</v>
      </c>
      <c r="D75" s="941">
        <v>0</v>
      </c>
      <c r="E75" s="941">
        <v>0</v>
      </c>
      <c r="F75" s="941">
        <v>0</v>
      </c>
      <c r="G75" s="941">
        <v>0</v>
      </c>
      <c r="H75" s="941">
        <v>0</v>
      </c>
      <c r="I75" s="941">
        <v>0</v>
      </c>
      <c r="J75" s="941">
        <v>0</v>
      </c>
      <c r="K75" s="941">
        <v>0</v>
      </c>
      <c r="L75" s="941">
        <v>0</v>
      </c>
      <c r="M75" s="941">
        <v>0</v>
      </c>
      <c r="N75" s="941">
        <v>0</v>
      </c>
      <c r="O75" s="941">
        <v>0</v>
      </c>
      <c r="P75" s="941">
        <v>4208.5160954235989</v>
      </c>
      <c r="Q75" s="941">
        <v>504.74740482251889</v>
      </c>
      <c r="R75" s="941">
        <v>0.28354588914655848</v>
      </c>
      <c r="S75" s="941">
        <v>4.4712575428356591E-2</v>
      </c>
      <c r="T75" s="941">
        <v>1.3999028706399179E-2</v>
      </c>
      <c r="U75" s="941">
        <v>2.4119315790427243E-2</v>
      </c>
      <c r="V75" s="941">
        <v>32.319479333205166</v>
      </c>
      <c r="W75" s="941">
        <v>20.232692805323587</v>
      </c>
      <c r="X75" s="941">
        <v>8086408.9333420563</v>
      </c>
      <c r="Y75" s="941">
        <v>113514.59795704557</v>
      </c>
      <c r="Z75" s="941">
        <v>858.96490309062301</v>
      </c>
      <c r="AA75" s="941">
        <v>0</v>
      </c>
      <c r="AB75" s="941">
        <v>0</v>
      </c>
      <c r="AC75" s="941">
        <v>0</v>
      </c>
      <c r="AD75" s="941">
        <v>0</v>
      </c>
      <c r="AE75" s="941">
        <v>0</v>
      </c>
      <c r="AF75" s="941">
        <v>0</v>
      </c>
      <c r="AG75" s="941">
        <v>0</v>
      </c>
      <c r="AH75" s="941">
        <v>0</v>
      </c>
      <c r="AI75" s="941">
        <v>0.45350793946340429</v>
      </c>
      <c r="AJ75" s="629">
        <f>((D75+E75+P75+Q75+SUM(AA75:AI75))*'Emission &amp; Conversion Factors'!$H$232*1000)+((F75+R75)*'Emission &amp; Conversion Factors'!$H$240*1000)+((G75+S75)*'Emission &amp; Conversion Factors'!$H$242*1000)+((H75+T75)*'Emission &amp; Conversion Factors'!$H$254*1000)+((I75+U75)*'Emission &amp; Conversion Factors'!$H$251*1000)+((J75+V75)*'Emission &amp; Conversion Factors'!$J$240)+((K75+W75)*'Emission &amp; Conversion Factors'!$J$251)</f>
        <v>60519862.339071818</v>
      </c>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9"/>
      <c r="BZ75" s="139"/>
      <c r="CA75" s="139"/>
      <c r="CB75" s="139"/>
      <c r="CC75" s="139"/>
      <c r="CD75" s="139"/>
      <c r="CE75" s="139"/>
      <c r="CF75" s="139"/>
      <c r="CG75" s="139"/>
      <c r="CH75" s="139"/>
      <c r="CI75" s="139"/>
      <c r="CJ75" s="139"/>
      <c r="CK75" s="139"/>
      <c r="CL75" s="139"/>
      <c r="CM75" s="139"/>
      <c r="CN75" s="139"/>
      <c r="CO75" s="139"/>
      <c r="CP75" s="139"/>
      <c r="CQ75" s="139"/>
      <c r="CR75" s="139"/>
      <c r="CS75" s="139"/>
      <c r="CT75" s="139"/>
      <c r="CU75" s="139"/>
      <c r="CV75" s="139"/>
      <c r="CW75" s="139"/>
      <c r="CX75" s="139"/>
      <c r="CY75" s="139"/>
      <c r="CZ75" s="139"/>
      <c r="DA75" s="139"/>
      <c r="DB75" s="139"/>
      <c r="DC75" s="139"/>
      <c r="DD75" s="139"/>
      <c r="DE75" s="139"/>
      <c r="DF75" s="139"/>
      <c r="DG75" s="139"/>
      <c r="DH75" s="139"/>
      <c r="DI75" s="139"/>
      <c r="DJ75" s="139"/>
      <c r="DK75" s="139"/>
      <c r="DL75" s="139"/>
      <c r="DM75" s="139"/>
      <c r="DN75" s="139"/>
      <c r="DO75" s="139"/>
      <c r="DP75" s="139"/>
      <c r="DQ75" s="139"/>
      <c r="DR75" s="139"/>
      <c r="DS75" s="139"/>
      <c r="DT75" s="139"/>
      <c r="DU75" s="139"/>
      <c r="DV75" s="139"/>
      <c r="DW75" s="139"/>
      <c r="DX75" s="139"/>
      <c r="DY75" s="139"/>
      <c r="DZ75" s="139"/>
      <c r="EA75" s="139"/>
      <c r="EB75" s="139"/>
      <c r="EC75" s="139"/>
      <c r="ED75" s="139"/>
      <c r="EE75" s="139"/>
      <c r="EF75" s="139"/>
      <c r="EG75" s="139"/>
      <c r="EH75" s="139"/>
      <c r="EI75" s="139"/>
      <c r="EJ75" s="139"/>
      <c r="EK75" s="139"/>
      <c r="EL75" s="139"/>
      <c r="EM75" s="139"/>
      <c r="EN75" s="139"/>
      <c r="EO75" s="139"/>
      <c r="EP75" s="139"/>
      <c r="EQ75" s="139"/>
      <c r="ER75" s="139"/>
      <c r="ES75" s="139"/>
      <c r="ET75" s="139"/>
      <c r="EU75" s="139"/>
      <c r="EV75" s="139"/>
      <c r="EW75" s="139"/>
      <c r="EX75" s="139"/>
      <c r="EY75" s="139"/>
      <c r="EZ75" s="139"/>
      <c r="FA75" s="139"/>
      <c r="FB75" s="139"/>
      <c r="FC75" s="139"/>
      <c r="FD75" s="139"/>
      <c r="FE75" s="139"/>
      <c r="FF75" s="139"/>
      <c r="FG75" s="139"/>
      <c r="FH75" s="139"/>
      <c r="FI75" s="139"/>
      <c r="FJ75" s="139"/>
      <c r="FK75" s="139"/>
      <c r="FL75" s="139"/>
      <c r="FM75" s="139"/>
      <c r="FN75" s="139"/>
      <c r="FO75" s="139"/>
      <c r="FP75" s="139"/>
      <c r="FQ75" s="139"/>
      <c r="FR75" s="139"/>
      <c r="FS75" s="139"/>
      <c r="FT75" s="139"/>
      <c r="FU75" s="139"/>
      <c r="FV75" s="139"/>
      <c r="FW75" s="139"/>
      <c r="FX75" s="139"/>
      <c r="FY75" s="139"/>
      <c r="FZ75" s="139"/>
      <c r="GA75" s="139"/>
      <c r="GB75" s="139"/>
      <c r="GC75" s="139"/>
      <c r="GD75" s="139"/>
      <c r="GE75" s="139"/>
      <c r="GF75" s="139"/>
      <c r="GG75" s="139"/>
      <c r="GH75" s="139"/>
      <c r="GI75" s="139"/>
      <c r="GJ75" s="139"/>
      <c r="GK75" s="139"/>
      <c r="GL75" s="139"/>
      <c r="GM75" s="139"/>
      <c r="GN75" s="139"/>
      <c r="GO75" s="139"/>
      <c r="GP75" s="139"/>
      <c r="GQ75" s="139"/>
      <c r="GR75" s="139"/>
      <c r="GS75" s="139"/>
      <c r="GT75" s="139"/>
      <c r="GU75" s="139"/>
      <c r="GV75" s="139"/>
      <c r="GW75" s="139"/>
      <c r="GX75" s="139"/>
      <c r="GY75" s="139"/>
      <c r="GZ75" s="139"/>
      <c r="HA75" s="139"/>
      <c r="HB75" s="139"/>
      <c r="HC75" s="139"/>
      <c r="HD75" s="139"/>
      <c r="HE75" s="139"/>
      <c r="HF75" s="139"/>
      <c r="HG75" s="139"/>
      <c r="HH75" s="139"/>
      <c r="HI75" s="139"/>
      <c r="HJ75" s="139"/>
      <c r="HK75" s="139"/>
      <c r="HL75" s="139"/>
      <c r="HM75" s="139"/>
      <c r="HN75" s="139"/>
      <c r="HO75" s="139"/>
      <c r="HP75" s="139"/>
      <c r="HQ75" s="139"/>
      <c r="HR75" s="139"/>
      <c r="HS75" s="139"/>
      <c r="HT75" s="139"/>
      <c r="HU75" s="139"/>
      <c r="HV75" s="139"/>
      <c r="HW75" s="139"/>
      <c r="HX75" s="139"/>
      <c r="HY75" s="139"/>
      <c r="HZ75" s="139"/>
      <c r="IA75" s="139"/>
      <c r="IB75" s="139"/>
      <c r="IC75" s="139"/>
      <c r="ID75" s="139"/>
      <c r="IE75" s="139"/>
      <c r="IF75" s="139"/>
      <c r="IG75" s="139"/>
      <c r="IH75" s="139"/>
      <c r="II75" s="139"/>
      <c r="IJ75" s="139"/>
      <c r="IK75" s="139"/>
      <c r="IL75" s="139"/>
      <c r="IM75" s="139"/>
      <c r="IN75" s="139"/>
      <c r="IO75" s="139"/>
      <c r="IP75" s="139"/>
      <c r="IQ75" s="139"/>
      <c r="IR75" s="139"/>
    </row>
    <row r="76" spans="2:252" x14ac:dyDescent="0.3">
      <c r="B76" s="5" t="s">
        <v>128</v>
      </c>
      <c r="C76" s="916" t="s">
        <v>232</v>
      </c>
      <c r="D76" s="941">
        <v>0</v>
      </c>
      <c r="E76" s="941">
        <v>0</v>
      </c>
      <c r="F76" s="941">
        <v>0</v>
      </c>
      <c r="G76" s="941">
        <v>0</v>
      </c>
      <c r="H76" s="941">
        <v>0</v>
      </c>
      <c r="I76" s="941">
        <v>0</v>
      </c>
      <c r="J76" s="941">
        <v>0</v>
      </c>
      <c r="K76" s="941">
        <v>0</v>
      </c>
      <c r="L76" s="941">
        <v>0</v>
      </c>
      <c r="M76" s="941">
        <v>0</v>
      </c>
      <c r="N76" s="941">
        <v>0</v>
      </c>
      <c r="O76" s="941">
        <v>0</v>
      </c>
      <c r="P76" s="941">
        <v>0</v>
      </c>
      <c r="Q76" s="941">
        <v>105.91038764608487</v>
      </c>
      <c r="R76" s="941">
        <v>0</v>
      </c>
      <c r="S76" s="941">
        <v>0</v>
      </c>
      <c r="T76" s="941">
        <v>0</v>
      </c>
      <c r="U76" s="941">
        <v>0</v>
      </c>
      <c r="V76" s="941">
        <v>0</v>
      </c>
      <c r="W76" s="941">
        <v>0</v>
      </c>
      <c r="X76" s="941">
        <v>0</v>
      </c>
      <c r="Y76" s="941">
        <v>0</v>
      </c>
      <c r="Z76" s="941">
        <v>0</v>
      </c>
      <c r="AA76" s="941">
        <v>0</v>
      </c>
      <c r="AB76" s="941">
        <v>0</v>
      </c>
      <c r="AC76" s="941">
        <v>0</v>
      </c>
      <c r="AD76" s="941">
        <v>0</v>
      </c>
      <c r="AE76" s="941">
        <v>0</v>
      </c>
      <c r="AF76" s="941">
        <v>0</v>
      </c>
      <c r="AG76" s="941">
        <v>0</v>
      </c>
      <c r="AH76" s="941">
        <v>0</v>
      </c>
      <c r="AI76" s="941">
        <v>2.8687086094515952</v>
      </c>
      <c r="AJ76" s="629">
        <f>((D76+E76+P76+Q76+SUM(AA76:AI76))*'Emission &amp; Conversion Factors'!$H$232*1000)+((F76+R76)*'Emission &amp; Conversion Factors'!$H$240*1000)+((G76+S76)*'Emission &amp; Conversion Factors'!$H$242*1000)+((H76+T76)*'Emission &amp; Conversion Factors'!$H$254*1000)+((I76+U76)*'Emission &amp; Conversion Factors'!$H$251*1000)+((J76+V76)*'Emission &amp; Conversion Factors'!$J$240)+((K76+W76)*'Emission &amp; Conversion Factors'!$J$251)</f>
        <v>1396506.0377285772</v>
      </c>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9"/>
      <c r="BZ76" s="139"/>
      <c r="CA76" s="139"/>
      <c r="CB76" s="139"/>
      <c r="CC76" s="139"/>
      <c r="CD76" s="139"/>
      <c r="CE76" s="139"/>
      <c r="CF76" s="139"/>
      <c r="CG76" s="139"/>
      <c r="CH76" s="139"/>
      <c r="CI76" s="139"/>
      <c r="CJ76" s="139"/>
      <c r="CK76" s="139"/>
      <c r="CL76" s="139"/>
      <c r="CM76" s="139"/>
      <c r="CN76" s="139"/>
      <c r="CO76" s="139"/>
      <c r="CP76" s="139"/>
      <c r="CQ76" s="139"/>
      <c r="CR76" s="139"/>
      <c r="CS76" s="139"/>
      <c r="CT76" s="139"/>
      <c r="CU76" s="139"/>
      <c r="CV76" s="139"/>
      <c r="CW76" s="139"/>
      <c r="CX76" s="139"/>
      <c r="CY76" s="139"/>
      <c r="CZ76" s="139"/>
      <c r="DA76" s="139"/>
      <c r="DB76" s="139"/>
      <c r="DC76" s="139"/>
      <c r="DD76" s="139"/>
      <c r="DE76" s="139"/>
      <c r="DF76" s="139"/>
      <c r="DG76" s="139"/>
      <c r="DH76" s="139"/>
      <c r="DI76" s="139"/>
      <c r="DJ76" s="139"/>
      <c r="DK76" s="139"/>
      <c r="DL76" s="139"/>
      <c r="DM76" s="139"/>
      <c r="DN76" s="139"/>
      <c r="DO76" s="139"/>
      <c r="DP76" s="139"/>
      <c r="DQ76" s="139"/>
      <c r="DR76" s="139"/>
      <c r="DS76" s="139"/>
      <c r="DT76" s="139"/>
      <c r="DU76" s="139"/>
      <c r="DV76" s="139"/>
      <c r="DW76" s="139"/>
      <c r="DX76" s="139"/>
      <c r="DY76" s="139"/>
      <c r="DZ76" s="139"/>
      <c r="EA76" s="139"/>
      <c r="EB76" s="139"/>
      <c r="EC76" s="139"/>
      <c r="ED76" s="139"/>
      <c r="EE76" s="139"/>
      <c r="EF76" s="139"/>
      <c r="EG76" s="139"/>
      <c r="EH76" s="139"/>
      <c r="EI76" s="139"/>
      <c r="EJ76" s="139"/>
      <c r="EK76" s="139"/>
      <c r="EL76" s="139"/>
      <c r="EM76" s="139"/>
      <c r="EN76" s="139"/>
      <c r="EO76" s="139"/>
      <c r="EP76" s="139"/>
      <c r="EQ76" s="139"/>
      <c r="ER76" s="139"/>
      <c r="ES76" s="139"/>
      <c r="ET76" s="139"/>
      <c r="EU76" s="139"/>
      <c r="EV76" s="139"/>
      <c r="EW76" s="139"/>
      <c r="EX76" s="139"/>
      <c r="EY76" s="139"/>
      <c r="EZ76" s="139"/>
      <c r="FA76" s="139"/>
      <c r="FB76" s="139"/>
      <c r="FC76" s="139"/>
      <c r="FD76" s="139"/>
      <c r="FE76" s="139"/>
      <c r="FF76" s="139"/>
      <c r="FG76" s="139"/>
      <c r="FH76" s="139"/>
      <c r="FI76" s="139"/>
      <c r="FJ76" s="139"/>
      <c r="FK76" s="139"/>
      <c r="FL76" s="139"/>
      <c r="FM76" s="139"/>
      <c r="FN76" s="139"/>
      <c r="FO76" s="139"/>
      <c r="FP76" s="139"/>
      <c r="FQ76" s="139"/>
      <c r="FR76" s="139"/>
      <c r="FS76" s="139"/>
      <c r="FT76" s="139"/>
      <c r="FU76" s="139"/>
      <c r="FV76" s="139"/>
      <c r="FW76" s="139"/>
      <c r="FX76" s="139"/>
      <c r="FY76" s="139"/>
      <c r="FZ76" s="139"/>
      <c r="GA76" s="139"/>
      <c r="GB76" s="139"/>
      <c r="GC76" s="139"/>
      <c r="GD76" s="139"/>
      <c r="GE76" s="139"/>
      <c r="GF76" s="139"/>
      <c r="GG76" s="139"/>
      <c r="GH76" s="139"/>
      <c r="GI76" s="139"/>
      <c r="GJ76" s="139"/>
      <c r="GK76" s="139"/>
      <c r="GL76" s="139"/>
      <c r="GM76" s="139"/>
      <c r="GN76" s="139"/>
      <c r="GO76" s="139"/>
      <c r="GP76" s="139"/>
      <c r="GQ76" s="139"/>
      <c r="GR76" s="139"/>
      <c r="GS76" s="139"/>
      <c r="GT76" s="139"/>
      <c r="GU76" s="139"/>
      <c r="GV76" s="139"/>
      <c r="GW76" s="139"/>
      <c r="GX76" s="139"/>
      <c r="GY76" s="139"/>
      <c r="GZ76" s="139"/>
      <c r="HA76" s="139"/>
      <c r="HB76" s="139"/>
      <c r="HC76" s="139"/>
      <c r="HD76" s="139"/>
      <c r="HE76" s="139"/>
      <c r="HF76" s="139"/>
      <c r="HG76" s="139"/>
      <c r="HH76" s="139"/>
      <c r="HI76" s="139"/>
      <c r="HJ76" s="139"/>
      <c r="HK76" s="139"/>
      <c r="HL76" s="139"/>
      <c r="HM76" s="139"/>
      <c r="HN76" s="139"/>
      <c r="HO76" s="139"/>
      <c r="HP76" s="139"/>
      <c r="HQ76" s="139"/>
      <c r="HR76" s="139"/>
      <c r="HS76" s="139"/>
      <c r="HT76" s="139"/>
      <c r="HU76" s="139"/>
      <c r="HV76" s="139"/>
      <c r="HW76" s="139"/>
      <c r="HX76" s="139"/>
      <c r="HY76" s="139"/>
      <c r="HZ76" s="139"/>
      <c r="IA76" s="139"/>
      <c r="IB76" s="139"/>
      <c r="IC76" s="139"/>
      <c r="ID76" s="139"/>
      <c r="IE76" s="139"/>
      <c r="IF76" s="139"/>
      <c r="IG76" s="139"/>
      <c r="IH76" s="139"/>
      <c r="II76" s="139"/>
      <c r="IJ76" s="139"/>
      <c r="IK76" s="139"/>
      <c r="IL76" s="139"/>
      <c r="IM76" s="139"/>
      <c r="IN76" s="139"/>
      <c r="IO76" s="139"/>
      <c r="IP76" s="139"/>
      <c r="IQ76" s="139"/>
      <c r="IR76" s="139"/>
    </row>
    <row r="77" spans="2:252" x14ac:dyDescent="0.3">
      <c r="B77" s="5" t="s">
        <v>129</v>
      </c>
      <c r="C77" s="916" t="s">
        <v>234</v>
      </c>
      <c r="D77" s="941">
        <v>0</v>
      </c>
      <c r="E77" s="941">
        <v>11599.452439253413</v>
      </c>
      <c r="F77" s="941">
        <v>0</v>
      </c>
      <c r="G77" s="941">
        <v>0</v>
      </c>
      <c r="H77" s="941">
        <v>0</v>
      </c>
      <c r="I77" s="941">
        <v>0</v>
      </c>
      <c r="J77" s="941">
        <v>0</v>
      </c>
      <c r="K77" s="941">
        <v>0</v>
      </c>
      <c r="L77" s="941">
        <v>0</v>
      </c>
      <c r="M77" s="941">
        <v>0</v>
      </c>
      <c r="N77" s="941">
        <v>0</v>
      </c>
      <c r="O77" s="941">
        <v>0</v>
      </c>
      <c r="P77" s="941">
        <v>0</v>
      </c>
      <c r="Q77" s="941">
        <v>0</v>
      </c>
      <c r="R77" s="941">
        <v>0</v>
      </c>
      <c r="S77" s="941">
        <v>0</v>
      </c>
      <c r="T77" s="941">
        <v>0</v>
      </c>
      <c r="U77" s="941">
        <v>0</v>
      </c>
      <c r="V77" s="941">
        <v>0</v>
      </c>
      <c r="W77" s="941">
        <v>0</v>
      </c>
      <c r="X77" s="941">
        <v>0</v>
      </c>
      <c r="Y77" s="941">
        <v>0</v>
      </c>
      <c r="Z77" s="941">
        <v>0</v>
      </c>
      <c r="AA77" s="941">
        <v>0</v>
      </c>
      <c r="AB77" s="941">
        <v>0</v>
      </c>
      <c r="AC77" s="941">
        <v>0</v>
      </c>
      <c r="AD77" s="941">
        <v>0</v>
      </c>
      <c r="AE77" s="941">
        <v>0</v>
      </c>
      <c r="AF77" s="941">
        <v>0</v>
      </c>
      <c r="AG77" s="941">
        <v>0</v>
      </c>
      <c r="AH77" s="941">
        <v>0</v>
      </c>
      <c r="AI77" s="941">
        <v>0</v>
      </c>
      <c r="AJ77" s="629">
        <f>((D77+E77+P77+Q77+SUM(AA77:AI77))*'Emission &amp; Conversion Factors'!$H$232*1000)+((F77+R77)*'Emission &amp; Conversion Factors'!$H$240*1000)+((G77+S77)*'Emission &amp; Conversion Factors'!$H$242*1000)+((H77+T77)*'Emission &amp; Conversion Factors'!$H$254*1000)+((I77+U77)*'Emission &amp; Conversion Factors'!$H$251*1000)+((J77+V77)*'Emission &amp; Conversion Factors'!$J$240)+((K77+W77)*'Emission &amp; Conversion Factors'!$J$251)</f>
        <v>148913770.41513532</v>
      </c>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c r="BJ77" s="139"/>
      <c r="BK77" s="139"/>
      <c r="BL77" s="139"/>
      <c r="BM77" s="139"/>
      <c r="BN77" s="139"/>
      <c r="BO77" s="139"/>
      <c r="BP77" s="139"/>
      <c r="BQ77" s="139"/>
      <c r="BR77" s="139"/>
      <c r="BS77" s="139"/>
      <c r="BT77" s="139"/>
      <c r="BU77" s="139"/>
      <c r="BV77" s="139"/>
      <c r="BW77" s="139"/>
      <c r="BX77" s="139"/>
      <c r="BY77" s="139"/>
      <c r="BZ77" s="139"/>
      <c r="CA77" s="139"/>
      <c r="CB77" s="139"/>
      <c r="CC77" s="139"/>
      <c r="CD77" s="139"/>
      <c r="CE77" s="139"/>
      <c r="CF77" s="139"/>
      <c r="CG77" s="139"/>
      <c r="CH77" s="139"/>
      <c r="CI77" s="139"/>
      <c r="CJ77" s="139"/>
      <c r="CK77" s="139"/>
      <c r="CL77" s="139"/>
      <c r="CM77" s="139"/>
      <c r="CN77" s="139"/>
      <c r="CO77" s="139"/>
      <c r="CP77" s="139"/>
      <c r="CQ77" s="139"/>
      <c r="CR77" s="139"/>
      <c r="CS77" s="139"/>
      <c r="CT77" s="139"/>
      <c r="CU77" s="139"/>
      <c r="CV77" s="139"/>
      <c r="CW77" s="139"/>
      <c r="CX77" s="139"/>
      <c r="CY77" s="139"/>
      <c r="CZ77" s="139"/>
      <c r="DA77" s="139"/>
      <c r="DB77" s="139"/>
      <c r="DC77" s="139"/>
      <c r="DD77" s="139"/>
      <c r="DE77" s="139"/>
      <c r="DF77" s="139"/>
      <c r="DG77" s="139"/>
      <c r="DH77" s="139"/>
      <c r="DI77" s="139"/>
      <c r="DJ77" s="139"/>
      <c r="DK77" s="139"/>
      <c r="DL77" s="139"/>
      <c r="DM77" s="139"/>
      <c r="DN77" s="139"/>
      <c r="DO77" s="139"/>
      <c r="DP77" s="139"/>
      <c r="DQ77" s="139"/>
      <c r="DR77" s="139"/>
      <c r="DS77" s="139"/>
      <c r="DT77" s="139"/>
      <c r="DU77" s="139"/>
      <c r="DV77" s="139"/>
      <c r="DW77" s="139"/>
      <c r="DX77" s="139"/>
      <c r="DY77" s="139"/>
      <c r="DZ77" s="139"/>
      <c r="EA77" s="139"/>
      <c r="EB77" s="139"/>
      <c r="EC77" s="139"/>
      <c r="ED77" s="139"/>
      <c r="EE77" s="139"/>
      <c r="EF77" s="139"/>
      <c r="EG77" s="139"/>
      <c r="EH77" s="139"/>
      <c r="EI77" s="139"/>
      <c r="EJ77" s="139"/>
      <c r="EK77" s="139"/>
      <c r="EL77" s="139"/>
      <c r="EM77" s="139"/>
      <c r="EN77" s="139"/>
      <c r="EO77" s="139"/>
      <c r="EP77" s="139"/>
      <c r="EQ77" s="139"/>
      <c r="ER77" s="139"/>
      <c r="ES77" s="139"/>
      <c r="ET77" s="139"/>
      <c r="EU77" s="139"/>
      <c r="EV77" s="139"/>
      <c r="EW77" s="139"/>
      <c r="EX77" s="139"/>
      <c r="EY77" s="139"/>
      <c r="EZ77" s="139"/>
      <c r="FA77" s="139"/>
      <c r="FB77" s="139"/>
      <c r="FC77" s="139"/>
      <c r="FD77" s="139"/>
      <c r="FE77" s="139"/>
      <c r="FF77" s="139"/>
      <c r="FG77" s="139"/>
      <c r="FH77" s="139"/>
      <c r="FI77" s="139"/>
      <c r="FJ77" s="139"/>
      <c r="FK77" s="139"/>
      <c r="FL77" s="139"/>
      <c r="FM77" s="139"/>
      <c r="FN77" s="139"/>
      <c r="FO77" s="139"/>
      <c r="FP77" s="139"/>
      <c r="FQ77" s="139"/>
      <c r="FR77" s="139"/>
      <c r="FS77" s="139"/>
      <c r="FT77" s="139"/>
      <c r="FU77" s="139"/>
      <c r="FV77" s="139"/>
      <c r="FW77" s="139"/>
      <c r="FX77" s="139"/>
      <c r="FY77" s="139"/>
      <c r="FZ77" s="139"/>
      <c r="GA77" s="139"/>
      <c r="GB77" s="139"/>
      <c r="GC77" s="139"/>
      <c r="GD77" s="139"/>
      <c r="GE77" s="139"/>
      <c r="GF77" s="139"/>
      <c r="GG77" s="139"/>
      <c r="GH77" s="139"/>
      <c r="GI77" s="139"/>
      <c r="GJ77" s="139"/>
      <c r="GK77" s="139"/>
      <c r="GL77" s="139"/>
      <c r="GM77" s="139"/>
      <c r="GN77" s="139"/>
      <c r="GO77" s="139"/>
      <c r="GP77" s="139"/>
      <c r="GQ77" s="139"/>
      <c r="GR77" s="139"/>
      <c r="GS77" s="139"/>
      <c r="GT77" s="139"/>
      <c r="GU77" s="139"/>
      <c r="GV77" s="139"/>
      <c r="GW77" s="139"/>
      <c r="GX77" s="139"/>
      <c r="GY77" s="139"/>
      <c r="GZ77" s="139"/>
      <c r="HA77" s="139"/>
      <c r="HB77" s="139"/>
      <c r="HC77" s="139"/>
      <c r="HD77" s="139"/>
      <c r="HE77" s="139"/>
      <c r="HF77" s="139"/>
      <c r="HG77" s="139"/>
      <c r="HH77" s="139"/>
      <c r="HI77" s="139"/>
      <c r="HJ77" s="139"/>
      <c r="HK77" s="139"/>
      <c r="HL77" s="139"/>
      <c r="HM77" s="139"/>
      <c r="HN77" s="139"/>
      <c r="HO77" s="139"/>
      <c r="HP77" s="139"/>
      <c r="HQ77" s="139"/>
      <c r="HR77" s="139"/>
      <c r="HS77" s="139"/>
      <c r="HT77" s="139"/>
      <c r="HU77" s="139"/>
      <c r="HV77" s="139"/>
      <c r="HW77" s="139"/>
      <c r="HX77" s="139"/>
      <c r="HY77" s="139"/>
      <c r="HZ77" s="139"/>
      <c r="IA77" s="139"/>
      <c r="IB77" s="139"/>
      <c r="IC77" s="139"/>
      <c r="ID77" s="139"/>
      <c r="IE77" s="139"/>
      <c r="IF77" s="139"/>
      <c r="IG77" s="139"/>
      <c r="IH77" s="139"/>
      <c r="II77" s="139"/>
      <c r="IJ77" s="139"/>
      <c r="IK77" s="139"/>
      <c r="IL77" s="139"/>
      <c r="IM77" s="139"/>
      <c r="IN77" s="139"/>
      <c r="IO77" s="139"/>
      <c r="IP77" s="139"/>
      <c r="IQ77" s="139"/>
      <c r="IR77" s="139"/>
    </row>
    <row r="78" spans="2:252" x14ac:dyDescent="0.3">
      <c r="B78" s="5" t="s">
        <v>130</v>
      </c>
      <c r="C78" s="916" t="s">
        <v>235</v>
      </c>
      <c r="D78" s="941">
        <v>0</v>
      </c>
      <c r="E78" s="941">
        <v>0</v>
      </c>
      <c r="F78" s="941">
        <v>0</v>
      </c>
      <c r="G78" s="941">
        <v>0</v>
      </c>
      <c r="H78" s="941">
        <v>0</v>
      </c>
      <c r="I78" s="941">
        <v>0</v>
      </c>
      <c r="J78" s="941">
        <v>0</v>
      </c>
      <c r="K78" s="941">
        <v>0</v>
      </c>
      <c r="L78" s="941">
        <v>0</v>
      </c>
      <c r="M78" s="941">
        <v>0</v>
      </c>
      <c r="N78" s="941">
        <v>0</v>
      </c>
      <c r="O78" s="941">
        <v>0</v>
      </c>
      <c r="P78" s="941">
        <v>0</v>
      </c>
      <c r="Q78" s="941">
        <v>394.64355031506614</v>
      </c>
      <c r="R78" s="941">
        <v>0</v>
      </c>
      <c r="S78" s="941">
        <v>0</v>
      </c>
      <c r="T78" s="941">
        <v>0</v>
      </c>
      <c r="U78" s="941">
        <v>0</v>
      </c>
      <c r="V78" s="941">
        <v>0</v>
      </c>
      <c r="W78" s="941">
        <v>0</v>
      </c>
      <c r="X78" s="941">
        <v>0</v>
      </c>
      <c r="Y78" s="941">
        <v>0</v>
      </c>
      <c r="Z78" s="941">
        <v>0</v>
      </c>
      <c r="AA78" s="941">
        <v>0</v>
      </c>
      <c r="AB78" s="941">
        <v>0</v>
      </c>
      <c r="AC78" s="941">
        <v>0</v>
      </c>
      <c r="AD78" s="941">
        <v>0</v>
      </c>
      <c r="AE78" s="941">
        <v>0</v>
      </c>
      <c r="AF78" s="941">
        <v>0</v>
      </c>
      <c r="AG78" s="941">
        <v>0</v>
      </c>
      <c r="AH78" s="941">
        <v>0</v>
      </c>
      <c r="AI78" s="941">
        <v>0</v>
      </c>
      <c r="AJ78" s="629">
        <f>((D78+E78+P78+Q78+SUM(AA78:AI78))*'Emission &amp; Conversion Factors'!$H$232*1000)+((F78+R78)*'Emission &amp; Conversion Factors'!$H$240*1000)+((G78+S78)*'Emission &amp; Conversion Factors'!$H$242*1000)+((H78+T78)*'Emission &amp; Conversion Factors'!$H$254*1000)+((I78+U78)*'Emission &amp; Conversion Factors'!$H$251*1000)+((J78+V78)*'Emission &amp; Conversion Factors'!$J$240)+((K78+W78)*'Emission &amp; Conversion Factors'!$J$251)</f>
        <v>5066433.8989448184</v>
      </c>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c r="BJ78" s="139"/>
      <c r="BK78" s="139"/>
      <c r="BL78" s="139"/>
      <c r="BM78" s="139"/>
      <c r="BN78" s="139"/>
      <c r="BO78" s="139"/>
      <c r="BP78" s="139"/>
      <c r="BQ78" s="139"/>
      <c r="BR78" s="139"/>
      <c r="BS78" s="139"/>
      <c r="BT78" s="139"/>
      <c r="BU78" s="139"/>
      <c r="BV78" s="139"/>
      <c r="BW78" s="139"/>
      <c r="BX78" s="139"/>
      <c r="BY78" s="139"/>
      <c r="BZ78" s="139"/>
      <c r="CA78" s="139"/>
      <c r="CB78" s="139"/>
      <c r="CC78" s="139"/>
      <c r="CD78" s="139"/>
      <c r="CE78" s="139"/>
      <c r="CF78" s="139"/>
      <c r="CG78" s="139"/>
      <c r="CH78" s="139"/>
      <c r="CI78" s="139"/>
      <c r="CJ78" s="139"/>
      <c r="CK78" s="139"/>
      <c r="CL78" s="139"/>
      <c r="CM78" s="139"/>
      <c r="CN78" s="139"/>
      <c r="CO78" s="139"/>
      <c r="CP78" s="139"/>
      <c r="CQ78" s="139"/>
      <c r="CR78" s="139"/>
      <c r="CS78" s="139"/>
      <c r="CT78" s="139"/>
      <c r="CU78" s="139"/>
      <c r="CV78" s="139"/>
      <c r="CW78" s="139"/>
      <c r="CX78" s="139"/>
      <c r="CY78" s="139"/>
      <c r="CZ78" s="139"/>
      <c r="DA78" s="139"/>
      <c r="DB78" s="139"/>
      <c r="DC78" s="139"/>
      <c r="DD78" s="139"/>
      <c r="DE78" s="139"/>
      <c r="DF78" s="139"/>
      <c r="DG78" s="139"/>
      <c r="DH78" s="139"/>
      <c r="DI78" s="139"/>
      <c r="DJ78" s="139"/>
      <c r="DK78" s="139"/>
      <c r="DL78" s="139"/>
      <c r="DM78" s="139"/>
      <c r="DN78" s="139"/>
      <c r="DO78" s="139"/>
      <c r="DP78" s="139"/>
      <c r="DQ78" s="139"/>
      <c r="DR78" s="139"/>
      <c r="DS78" s="139"/>
      <c r="DT78" s="139"/>
      <c r="DU78" s="139"/>
      <c r="DV78" s="139"/>
      <c r="DW78" s="139"/>
      <c r="DX78" s="139"/>
      <c r="DY78" s="139"/>
      <c r="DZ78" s="139"/>
      <c r="EA78" s="139"/>
      <c r="EB78" s="139"/>
      <c r="EC78" s="139"/>
      <c r="ED78" s="139"/>
      <c r="EE78" s="139"/>
      <c r="EF78" s="139"/>
      <c r="EG78" s="139"/>
      <c r="EH78" s="139"/>
      <c r="EI78" s="139"/>
      <c r="EJ78" s="139"/>
      <c r="EK78" s="139"/>
      <c r="EL78" s="139"/>
      <c r="EM78" s="139"/>
      <c r="EN78" s="139"/>
      <c r="EO78" s="139"/>
      <c r="EP78" s="139"/>
      <c r="EQ78" s="139"/>
      <c r="ER78" s="139"/>
      <c r="ES78" s="139"/>
      <c r="ET78" s="139"/>
      <c r="EU78" s="139"/>
      <c r="EV78" s="139"/>
      <c r="EW78" s="139"/>
      <c r="EX78" s="139"/>
      <c r="EY78" s="139"/>
      <c r="EZ78" s="139"/>
      <c r="FA78" s="139"/>
      <c r="FB78" s="139"/>
      <c r="FC78" s="139"/>
      <c r="FD78" s="139"/>
      <c r="FE78" s="139"/>
      <c r="FF78" s="139"/>
      <c r="FG78" s="139"/>
      <c r="FH78" s="139"/>
      <c r="FI78" s="139"/>
      <c r="FJ78" s="139"/>
      <c r="FK78" s="139"/>
      <c r="FL78" s="139"/>
      <c r="FM78" s="139"/>
      <c r="FN78" s="139"/>
      <c r="FO78" s="139"/>
      <c r="FP78" s="139"/>
      <c r="FQ78" s="139"/>
      <c r="FR78" s="139"/>
      <c r="FS78" s="139"/>
      <c r="FT78" s="139"/>
      <c r="FU78" s="139"/>
      <c r="FV78" s="139"/>
      <c r="FW78" s="139"/>
      <c r="FX78" s="139"/>
      <c r="FY78" s="139"/>
      <c r="FZ78" s="139"/>
      <c r="GA78" s="139"/>
      <c r="GB78" s="139"/>
      <c r="GC78" s="139"/>
      <c r="GD78" s="139"/>
      <c r="GE78" s="139"/>
      <c r="GF78" s="139"/>
      <c r="GG78" s="139"/>
      <c r="GH78" s="139"/>
      <c r="GI78" s="139"/>
      <c r="GJ78" s="139"/>
      <c r="GK78" s="139"/>
      <c r="GL78" s="139"/>
      <c r="GM78" s="139"/>
      <c r="GN78" s="139"/>
      <c r="GO78" s="139"/>
      <c r="GP78" s="139"/>
      <c r="GQ78" s="139"/>
      <c r="GR78" s="139"/>
      <c r="GS78" s="139"/>
      <c r="GT78" s="139"/>
      <c r="GU78" s="139"/>
      <c r="GV78" s="139"/>
      <c r="GW78" s="139"/>
      <c r="GX78" s="139"/>
      <c r="GY78" s="139"/>
      <c r="GZ78" s="139"/>
      <c r="HA78" s="139"/>
      <c r="HB78" s="139"/>
      <c r="HC78" s="139"/>
      <c r="HD78" s="139"/>
      <c r="HE78" s="139"/>
      <c r="HF78" s="139"/>
      <c r="HG78" s="139"/>
      <c r="HH78" s="139"/>
      <c r="HI78" s="139"/>
      <c r="HJ78" s="139"/>
      <c r="HK78" s="139"/>
      <c r="HL78" s="139"/>
      <c r="HM78" s="139"/>
      <c r="HN78" s="139"/>
      <c r="HO78" s="139"/>
      <c r="HP78" s="139"/>
      <c r="HQ78" s="139"/>
      <c r="HR78" s="139"/>
      <c r="HS78" s="139"/>
      <c r="HT78" s="139"/>
      <c r="HU78" s="139"/>
      <c r="HV78" s="139"/>
      <c r="HW78" s="139"/>
      <c r="HX78" s="139"/>
      <c r="HY78" s="139"/>
      <c r="HZ78" s="139"/>
      <c r="IA78" s="139"/>
      <c r="IB78" s="139"/>
      <c r="IC78" s="139"/>
      <c r="ID78" s="139"/>
      <c r="IE78" s="139"/>
      <c r="IF78" s="139"/>
      <c r="IG78" s="139"/>
      <c r="IH78" s="139"/>
      <c r="II78" s="139"/>
      <c r="IJ78" s="139"/>
      <c r="IK78" s="139"/>
      <c r="IL78" s="139"/>
      <c r="IM78" s="139"/>
      <c r="IN78" s="139"/>
      <c r="IO78" s="139"/>
      <c r="IP78" s="139"/>
      <c r="IQ78" s="139"/>
      <c r="IR78" s="139"/>
    </row>
    <row r="79" spans="2:252" x14ac:dyDescent="0.3">
      <c r="B79" s="5" t="s">
        <v>131</v>
      </c>
      <c r="C79" s="916" t="s">
        <v>236</v>
      </c>
      <c r="D79" s="941">
        <v>0</v>
      </c>
      <c r="E79" s="941">
        <v>0</v>
      </c>
      <c r="F79" s="941">
        <v>0</v>
      </c>
      <c r="G79" s="941">
        <v>0</v>
      </c>
      <c r="H79" s="941">
        <v>0</v>
      </c>
      <c r="I79" s="941">
        <v>0</v>
      </c>
      <c r="J79" s="941">
        <v>0</v>
      </c>
      <c r="K79" s="941">
        <v>0</v>
      </c>
      <c r="L79" s="941">
        <v>0</v>
      </c>
      <c r="M79" s="941">
        <v>0</v>
      </c>
      <c r="N79" s="941">
        <v>0</v>
      </c>
      <c r="O79" s="941">
        <v>0</v>
      </c>
      <c r="P79" s="941">
        <v>0</v>
      </c>
      <c r="Q79" s="941">
        <v>0</v>
      </c>
      <c r="R79" s="941">
        <v>0</v>
      </c>
      <c r="S79" s="941">
        <v>0</v>
      </c>
      <c r="T79" s="941">
        <v>0</v>
      </c>
      <c r="U79" s="941">
        <v>0</v>
      </c>
      <c r="V79" s="941">
        <v>0</v>
      </c>
      <c r="W79" s="941">
        <v>0</v>
      </c>
      <c r="X79" s="941">
        <v>0</v>
      </c>
      <c r="Y79" s="941">
        <v>0</v>
      </c>
      <c r="Z79" s="941">
        <v>0</v>
      </c>
      <c r="AA79" s="941">
        <v>0</v>
      </c>
      <c r="AB79" s="941">
        <v>0</v>
      </c>
      <c r="AC79" s="941">
        <v>0</v>
      </c>
      <c r="AD79" s="941">
        <v>19.341239572362198</v>
      </c>
      <c r="AE79" s="941">
        <v>0</v>
      </c>
      <c r="AF79" s="941">
        <v>0</v>
      </c>
      <c r="AG79" s="941">
        <v>0</v>
      </c>
      <c r="AH79" s="941">
        <v>0</v>
      </c>
      <c r="AI79" s="941">
        <v>0</v>
      </c>
      <c r="AJ79" s="629">
        <f>((D79+E79+P79+Q79+SUM(AA79:AI79))*'Emission &amp; Conversion Factors'!$H$232*1000)+((F79+R79)*'Emission &amp; Conversion Factors'!$H$240*1000)+((G79+S79)*'Emission &amp; Conversion Factors'!$H$242*1000)+((H79+T79)*'Emission &amp; Conversion Factors'!$H$254*1000)+((I79+U79)*'Emission &amp; Conversion Factors'!$H$251*1000)+((J79+V79)*'Emission &amp; Conversion Factors'!$J$240)+((K79+W79)*'Emission &amp; Conversion Factors'!$J$251)</f>
        <v>248302.83362998589</v>
      </c>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c r="BJ79" s="139"/>
      <c r="BK79" s="139"/>
      <c r="BL79" s="139"/>
      <c r="BM79" s="139"/>
      <c r="BN79" s="139"/>
      <c r="BO79" s="139"/>
      <c r="BP79" s="139"/>
      <c r="BQ79" s="139"/>
      <c r="BR79" s="139"/>
      <c r="BS79" s="139"/>
      <c r="BT79" s="139"/>
      <c r="BU79" s="139"/>
      <c r="BV79" s="139"/>
      <c r="BW79" s="139"/>
      <c r="BX79" s="139"/>
      <c r="BY79" s="139"/>
      <c r="BZ79" s="139"/>
      <c r="CA79" s="139"/>
      <c r="CB79" s="139"/>
      <c r="CC79" s="139"/>
      <c r="CD79" s="139"/>
      <c r="CE79" s="139"/>
      <c r="CF79" s="139"/>
      <c r="CG79" s="139"/>
      <c r="CH79" s="139"/>
      <c r="CI79" s="139"/>
      <c r="CJ79" s="139"/>
      <c r="CK79" s="139"/>
      <c r="CL79" s="139"/>
      <c r="CM79" s="139"/>
      <c r="CN79" s="139"/>
      <c r="CO79" s="139"/>
      <c r="CP79" s="139"/>
      <c r="CQ79" s="139"/>
      <c r="CR79" s="139"/>
      <c r="CS79" s="139"/>
      <c r="CT79" s="139"/>
      <c r="CU79" s="139"/>
      <c r="CV79" s="139"/>
      <c r="CW79" s="139"/>
      <c r="CX79" s="139"/>
      <c r="CY79" s="139"/>
      <c r="CZ79" s="139"/>
      <c r="DA79" s="139"/>
      <c r="DB79" s="139"/>
      <c r="DC79" s="139"/>
      <c r="DD79" s="139"/>
      <c r="DE79" s="139"/>
      <c r="DF79" s="139"/>
      <c r="DG79" s="139"/>
      <c r="DH79" s="139"/>
      <c r="DI79" s="139"/>
      <c r="DJ79" s="139"/>
      <c r="DK79" s="139"/>
      <c r="DL79" s="139"/>
      <c r="DM79" s="139"/>
      <c r="DN79" s="139"/>
      <c r="DO79" s="139"/>
      <c r="DP79" s="139"/>
      <c r="DQ79" s="139"/>
      <c r="DR79" s="139"/>
      <c r="DS79" s="139"/>
      <c r="DT79" s="139"/>
      <c r="DU79" s="139"/>
      <c r="DV79" s="139"/>
      <c r="DW79" s="139"/>
      <c r="DX79" s="139"/>
      <c r="DY79" s="139"/>
      <c r="DZ79" s="139"/>
      <c r="EA79" s="139"/>
      <c r="EB79" s="139"/>
      <c r="EC79" s="139"/>
      <c r="ED79" s="139"/>
      <c r="EE79" s="139"/>
      <c r="EF79" s="139"/>
      <c r="EG79" s="139"/>
      <c r="EH79" s="139"/>
      <c r="EI79" s="139"/>
      <c r="EJ79" s="139"/>
      <c r="EK79" s="139"/>
      <c r="EL79" s="139"/>
      <c r="EM79" s="139"/>
      <c r="EN79" s="139"/>
      <c r="EO79" s="139"/>
      <c r="EP79" s="139"/>
      <c r="EQ79" s="139"/>
      <c r="ER79" s="139"/>
      <c r="ES79" s="139"/>
      <c r="ET79" s="139"/>
      <c r="EU79" s="139"/>
      <c r="EV79" s="139"/>
      <c r="EW79" s="139"/>
      <c r="EX79" s="139"/>
      <c r="EY79" s="139"/>
      <c r="EZ79" s="139"/>
      <c r="FA79" s="139"/>
      <c r="FB79" s="139"/>
      <c r="FC79" s="139"/>
      <c r="FD79" s="139"/>
      <c r="FE79" s="139"/>
      <c r="FF79" s="139"/>
      <c r="FG79" s="139"/>
      <c r="FH79" s="139"/>
      <c r="FI79" s="139"/>
      <c r="FJ79" s="139"/>
      <c r="FK79" s="139"/>
      <c r="FL79" s="139"/>
      <c r="FM79" s="139"/>
      <c r="FN79" s="139"/>
      <c r="FO79" s="139"/>
      <c r="FP79" s="139"/>
      <c r="FQ79" s="139"/>
      <c r="FR79" s="139"/>
      <c r="FS79" s="139"/>
      <c r="FT79" s="139"/>
      <c r="FU79" s="139"/>
      <c r="FV79" s="139"/>
      <c r="FW79" s="139"/>
      <c r="FX79" s="139"/>
      <c r="FY79" s="139"/>
      <c r="FZ79" s="139"/>
      <c r="GA79" s="139"/>
      <c r="GB79" s="139"/>
      <c r="GC79" s="139"/>
      <c r="GD79" s="139"/>
      <c r="GE79" s="139"/>
      <c r="GF79" s="139"/>
      <c r="GG79" s="139"/>
      <c r="GH79" s="139"/>
      <c r="GI79" s="139"/>
      <c r="GJ79" s="139"/>
      <c r="GK79" s="139"/>
      <c r="GL79" s="139"/>
      <c r="GM79" s="139"/>
      <c r="GN79" s="139"/>
      <c r="GO79" s="139"/>
      <c r="GP79" s="139"/>
      <c r="GQ79" s="139"/>
      <c r="GR79" s="139"/>
      <c r="GS79" s="139"/>
      <c r="GT79" s="139"/>
      <c r="GU79" s="139"/>
      <c r="GV79" s="139"/>
      <c r="GW79" s="139"/>
      <c r="GX79" s="139"/>
      <c r="GY79" s="139"/>
      <c r="GZ79" s="139"/>
      <c r="HA79" s="139"/>
      <c r="HB79" s="139"/>
      <c r="HC79" s="139"/>
      <c r="HD79" s="139"/>
      <c r="HE79" s="139"/>
      <c r="HF79" s="139"/>
      <c r="HG79" s="139"/>
      <c r="HH79" s="139"/>
      <c r="HI79" s="139"/>
      <c r="HJ79" s="139"/>
      <c r="HK79" s="139"/>
      <c r="HL79" s="139"/>
      <c r="HM79" s="139"/>
      <c r="HN79" s="139"/>
      <c r="HO79" s="139"/>
      <c r="HP79" s="139"/>
      <c r="HQ79" s="139"/>
      <c r="HR79" s="139"/>
      <c r="HS79" s="139"/>
      <c r="HT79" s="139"/>
      <c r="HU79" s="139"/>
      <c r="HV79" s="139"/>
      <c r="HW79" s="139"/>
      <c r="HX79" s="139"/>
      <c r="HY79" s="139"/>
      <c r="HZ79" s="139"/>
      <c r="IA79" s="139"/>
      <c r="IB79" s="139"/>
      <c r="IC79" s="139"/>
      <c r="ID79" s="139"/>
      <c r="IE79" s="139"/>
      <c r="IF79" s="139"/>
      <c r="IG79" s="139"/>
      <c r="IH79" s="139"/>
      <c r="II79" s="139"/>
      <c r="IJ79" s="139"/>
      <c r="IK79" s="139"/>
      <c r="IL79" s="139"/>
      <c r="IM79" s="139"/>
      <c r="IN79" s="139"/>
      <c r="IO79" s="139"/>
      <c r="IP79" s="139"/>
      <c r="IQ79" s="139"/>
      <c r="IR79" s="139"/>
    </row>
    <row r="80" spans="2:252" x14ac:dyDescent="0.3">
      <c r="B80" s="5" t="s">
        <v>132</v>
      </c>
      <c r="C80" s="916" t="s">
        <v>237</v>
      </c>
      <c r="D80" s="941">
        <v>0</v>
      </c>
      <c r="E80" s="941">
        <v>0</v>
      </c>
      <c r="F80" s="941">
        <v>0</v>
      </c>
      <c r="G80" s="941">
        <v>0</v>
      </c>
      <c r="H80" s="941">
        <v>0</v>
      </c>
      <c r="I80" s="941">
        <v>0</v>
      </c>
      <c r="J80" s="941">
        <v>0</v>
      </c>
      <c r="K80" s="941">
        <v>0</v>
      </c>
      <c r="L80" s="941">
        <v>0</v>
      </c>
      <c r="M80" s="941">
        <v>0</v>
      </c>
      <c r="N80" s="941">
        <v>0</v>
      </c>
      <c r="O80" s="941">
        <v>0</v>
      </c>
      <c r="P80" s="941">
        <v>0</v>
      </c>
      <c r="Q80" s="941">
        <v>2866.3033964093142</v>
      </c>
      <c r="R80" s="941">
        <v>0</v>
      </c>
      <c r="S80" s="941">
        <v>0</v>
      </c>
      <c r="T80" s="941">
        <v>0</v>
      </c>
      <c r="U80" s="941">
        <v>0</v>
      </c>
      <c r="V80" s="941">
        <v>0</v>
      </c>
      <c r="W80" s="941">
        <v>0</v>
      </c>
      <c r="X80" s="941">
        <v>0</v>
      </c>
      <c r="Y80" s="941">
        <v>0</v>
      </c>
      <c r="Z80" s="941">
        <v>0</v>
      </c>
      <c r="AA80" s="941">
        <v>0</v>
      </c>
      <c r="AB80" s="941">
        <v>0</v>
      </c>
      <c r="AC80" s="941">
        <v>0</v>
      </c>
      <c r="AD80" s="941">
        <v>0</v>
      </c>
      <c r="AE80" s="941">
        <v>0</v>
      </c>
      <c r="AF80" s="941">
        <v>0</v>
      </c>
      <c r="AG80" s="941">
        <v>0</v>
      </c>
      <c r="AH80" s="941">
        <v>0</v>
      </c>
      <c r="AI80" s="941">
        <v>0</v>
      </c>
      <c r="AJ80" s="629">
        <f>((D80+E80+P80+Q80+SUM(AA80:AI80))*'Emission &amp; Conversion Factors'!$H$232*1000)+((F80+R80)*'Emission &amp; Conversion Factors'!$H$240*1000)+((G80+S80)*'Emission &amp; Conversion Factors'!$H$242*1000)+((H80+T80)*'Emission &amp; Conversion Factors'!$H$254*1000)+((I80+U80)*'Emission &amp; Conversion Factors'!$H$251*1000)+((J80+V80)*'Emission &amp; Conversion Factors'!$J$240)+((K80+W80)*'Emission &amp; Conversion Factors'!$J$251)</f>
        <v>36797603.003102779</v>
      </c>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c r="BJ80" s="139"/>
      <c r="BK80" s="139"/>
      <c r="BL80" s="139"/>
      <c r="BM80" s="139"/>
      <c r="BN80" s="139"/>
      <c r="BO80" s="139"/>
      <c r="BP80" s="139"/>
      <c r="BQ80" s="139"/>
      <c r="BR80" s="139"/>
      <c r="BS80" s="139"/>
      <c r="BT80" s="139"/>
      <c r="BU80" s="139"/>
      <c r="BV80" s="139"/>
      <c r="BW80" s="139"/>
      <c r="BX80" s="139"/>
      <c r="BY80" s="139"/>
      <c r="BZ80" s="139"/>
      <c r="CA80" s="139"/>
      <c r="CB80" s="139"/>
      <c r="CC80" s="139"/>
      <c r="CD80" s="139"/>
      <c r="CE80" s="139"/>
      <c r="CF80" s="139"/>
      <c r="CG80" s="139"/>
      <c r="CH80" s="139"/>
      <c r="CI80" s="139"/>
      <c r="CJ80" s="139"/>
      <c r="CK80" s="139"/>
      <c r="CL80" s="139"/>
      <c r="CM80" s="139"/>
      <c r="CN80" s="139"/>
      <c r="CO80" s="139"/>
      <c r="CP80" s="139"/>
      <c r="CQ80" s="139"/>
      <c r="CR80" s="139"/>
      <c r="CS80" s="139"/>
      <c r="CT80" s="139"/>
      <c r="CU80" s="139"/>
      <c r="CV80" s="139"/>
      <c r="CW80" s="139"/>
      <c r="CX80" s="139"/>
      <c r="CY80" s="139"/>
      <c r="CZ80" s="139"/>
      <c r="DA80" s="139"/>
      <c r="DB80" s="139"/>
      <c r="DC80" s="139"/>
      <c r="DD80" s="139"/>
      <c r="DE80" s="139"/>
      <c r="DF80" s="139"/>
      <c r="DG80" s="139"/>
      <c r="DH80" s="139"/>
      <c r="DI80" s="139"/>
      <c r="DJ80" s="139"/>
      <c r="DK80" s="139"/>
      <c r="DL80" s="139"/>
      <c r="DM80" s="139"/>
      <c r="DN80" s="139"/>
      <c r="DO80" s="139"/>
      <c r="DP80" s="139"/>
      <c r="DQ80" s="139"/>
      <c r="DR80" s="139"/>
      <c r="DS80" s="139"/>
      <c r="DT80" s="139"/>
      <c r="DU80" s="139"/>
      <c r="DV80" s="139"/>
      <c r="DW80" s="139"/>
      <c r="DX80" s="139"/>
      <c r="DY80" s="139"/>
      <c r="DZ80" s="139"/>
      <c r="EA80" s="139"/>
      <c r="EB80" s="139"/>
      <c r="EC80" s="139"/>
      <c r="ED80" s="139"/>
      <c r="EE80" s="139"/>
      <c r="EF80" s="139"/>
      <c r="EG80" s="139"/>
      <c r="EH80" s="139"/>
      <c r="EI80" s="139"/>
      <c r="EJ80" s="139"/>
      <c r="EK80" s="139"/>
      <c r="EL80" s="139"/>
      <c r="EM80" s="139"/>
      <c r="EN80" s="139"/>
      <c r="EO80" s="139"/>
      <c r="EP80" s="139"/>
      <c r="EQ80" s="139"/>
      <c r="ER80" s="139"/>
      <c r="ES80" s="139"/>
      <c r="ET80" s="139"/>
      <c r="EU80" s="139"/>
      <c r="EV80" s="139"/>
      <c r="EW80" s="139"/>
      <c r="EX80" s="139"/>
      <c r="EY80" s="139"/>
      <c r="EZ80" s="139"/>
      <c r="FA80" s="139"/>
      <c r="FB80" s="139"/>
      <c r="FC80" s="139"/>
      <c r="FD80" s="139"/>
      <c r="FE80" s="139"/>
      <c r="FF80" s="139"/>
      <c r="FG80" s="139"/>
      <c r="FH80" s="139"/>
      <c r="FI80" s="139"/>
      <c r="FJ80" s="139"/>
      <c r="FK80" s="139"/>
      <c r="FL80" s="139"/>
      <c r="FM80" s="139"/>
      <c r="FN80" s="139"/>
      <c r="FO80" s="139"/>
      <c r="FP80" s="139"/>
      <c r="FQ80" s="139"/>
      <c r="FR80" s="139"/>
      <c r="FS80" s="139"/>
      <c r="FT80" s="139"/>
      <c r="FU80" s="139"/>
      <c r="FV80" s="139"/>
      <c r="FW80" s="139"/>
      <c r="FX80" s="139"/>
      <c r="FY80" s="139"/>
      <c r="FZ80" s="139"/>
      <c r="GA80" s="139"/>
      <c r="GB80" s="139"/>
      <c r="GC80" s="139"/>
      <c r="GD80" s="139"/>
      <c r="GE80" s="139"/>
      <c r="GF80" s="139"/>
      <c r="GG80" s="139"/>
      <c r="GH80" s="139"/>
      <c r="GI80" s="139"/>
      <c r="GJ80" s="139"/>
      <c r="GK80" s="139"/>
      <c r="GL80" s="139"/>
      <c r="GM80" s="139"/>
      <c r="GN80" s="139"/>
      <c r="GO80" s="139"/>
      <c r="GP80" s="139"/>
      <c r="GQ80" s="139"/>
      <c r="GR80" s="139"/>
      <c r="GS80" s="139"/>
      <c r="GT80" s="139"/>
      <c r="GU80" s="139"/>
      <c r="GV80" s="139"/>
      <c r="GW80" s="139"/>
      <c r="GX80" s="139"/>
      <c r="GY80" s="139"/>
      <c r="GZ80" s="139"/>
      <c r="HA80" s="139"/>
      <c r="HB80" s="139"/>
      <c r="HC80" s="139"/>
      <c r="HD80" s="139"/>
      <c r="HE80" s="139"/>
      <c r="HF80" s="139"/>
      <c r="HG80" s="139"/>
      <c r="HH80" s="139"/>
      <c r="HI80" s="139"/>
      <c r="HJ80" s="139"/>
      <c r="HK80" s="139"/>
      <c r="HL80" s="139"/>
      <c r="HM80" s="139"/>
      <c r="HN80" s="139"/>
      <c r="HO80" s="139"/>
      <c r="HP80" s="139"/>
      <c r="HQ80" s="139"/>
      <c r="HR80" s="139"/>
      <c r="HS80" s="139"/>
      <c r="HT80" s="139"/>
      <c r="HU80" s="139"/>
      <c r="HV80" s="139"/>
      <c r="HW80" s="139"/>
      <c r="HX80" s="139"/>
      <c r="HY80" s="139"/>
      <c r="HZ80" s="139"/>
      <c r="IA80" s="139"/>
      <c r="IB80" s="139"/>
      <c r="IC80" s="139"/>
      <c r="ID80" s="139"/>
      <c r="IE80" s="139"/>
      <c r="IF80" s="139"/>
      <c r="IG80" s="139"/>
      <c r="IH80" s="139"/>
      <c r="II80" s="139"/>
      <c r="IJ80" s="139"/>
      <c r="IK80" s="139"/>
      <c r="IL80" s="139"/>
      <c r="IM80" s="139"/>
      <c r="IN80" s="139"/>
      <c r="IO80" s="139"/>
      <c r="IP80" s="139"/>
      <c r="IQ80" s="139"/>
      <c r="IR80" s="139"/>
    </row>
    <row r="81" spans="2:253" x14ac:dyDescent="0.3">
      <c r="B81" s="5" t="s">
        <v>133</v>
      </c>
      <c r="C81" s="916" t="s">
        <v>238</v>
      </c>
      <c r="D81" s="941">
        <v>0</v>
      </c>
      <c r="E81" s="941">
        <v>0</v>
      </c>
      <c r="F81" s="941">
        <v>0</v>
      </c>
      <c r="G81" s="941">
        <v>0</v>
      </c>
      <c r="H81" s="941">
        <v>0</v>
      </c>
      <c r="I81" s="941">
        <v>0</v>
      </c>
      <c r="J81" s="941">
        <v>0</v>
      </c>
      <c r="K81" s="941">
        <v>0</v>
      </c>
      <c r="L81" s="941">
        <v>0</v>
      </c>
      <c r="M81" s="941">
        <v>0</v>
      </c>
      <c r="N81" s="941">
        <v>0</v>
      </c>
      <c r="O81" s="941">
        <v>0</v>
      </c>
      <c r="P81" s="941">
        <v>0</v>
      </c>
      <c r="Q81" s="941">
        <v>86.653953528614906</v>
      </c>
      <c r="R81" s="941">
        <v>0</v>
      </c>
      <c r="S81" s="941">
        <v>0</v>
      </c>
      <c r="T81" s="941">
        <v>0</v>
      </c>
      <c r="U81" s="941">
        <v>0</v>
      </c>
      <c r="V81" s="941">
        <v>0</v>
      </c>
      <c r="W81" s="941">
        <v>0</v>
      </c>
      <c r="X81" s="941">
        <v>0</v>
      </c>
      <c r="Y81" s="941">
        <v>0</v>
      </c>
      <c r="Z81" s="941">
        <v>0</v>
      </c>
      <c r="AA81" s="941">
        <v>0</v>
      </c>
      <c r="AB81" s="941">
        <v>0</v>
      </c>
      <c r="AC81" s="941">
        <v>0</v>
      </c>
      <c r="AD81" s="941">
        <v>0</v>
      </c>
      <c r="AE81" s="941">
        <v>0</v>
      </c>
      <c r="AF81" s="941">
        <v>0</v>
      </c>
      <c r="AG81" s="941">
        <v>0</v>
      </c>
      <c r="AH81" s="941">
        <v>0</v>
      </c>
      <c r="AI81" s="941">
        <v>0</v>
      </c>
      <c r="AJ81" s="629">
        <f>((D81+E81+P81+Q81+SUM(AA81:AI81))*'Emission &amp; Conversion Factors'!$H$232*1000)+((F81+R81)*'Emission &amp; Conversion Factors'!$H$240*1000)+((G81+S81)*'Emission &amp; Conversion Factors'!$H$242*1000)+((H81+T81)*'Emission &amp; Conversion Factors'!$H$254*1000)+((I81+U81)*'Emission &amp; Conversion Factors'!$H$251*1000)+((J81+V81)*'Emission &amp; Conversion Factors'!$J$240)+((K81+W81)*'Emission &amp; Conversion Factors'!$J$251)</f>
        <v>1112463.455400358</v>
      </c>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c r="BJ81" s="139"/>
      <c r="BK81" s="139"/>
      <c r="BL81" s="139"/>
      <c r="BM81" s="139"/>
      <c r="BN81" s="139"/>
      <c r="BO81" s="139"/>
      <c r="BP81" s="139"/>
      <c r="BQ81" s="139"/>
      <c r="BR81" s="139"/>
      <c r="BS81" s="139"/>
      <c r="BT81" s="139"/>
      <c r="BU81" s="139"/>
      <c r="BV81" s="139"/>
      <c r="BW81" s="139"/>
      <c r="BX81" s="139"/>
      <c r="BY81" s="139"/>
      <c r="BZ81" s="139"/>
      <c r="CA81" s="139"/>
      <c r="CB81" s="139"/>
      <c r="CC81" s="139"/>
      <c r="CD81" s="139"/>
      <c r="CE81" s="139"/>
      <c r="CF81" s="139"/>
      <c r="CG81" s="139"/>
      <c r="CH81" s="139"/>
      <c r="CI81" s="139"/>
      <c r="CJ81" s="139"/>
      <c r="CK81" s="139"/>
      <c r="CL81" s="139"/>
      <c r="CM81" s="139"/>
      <c r="CN81" s="139"/>
      <c r="CO81" s="139"/>
      <c r="CP81" s="139"/>
      <c r="CQ81" s="139"/>
      <c r="CR81" s="139"/>
      <c r="CS81" s="139"/>
      <c r="CT81" s="139"/>
      <c r="CU81" s="139"/>
      <c r="CV81" s="139"/>
      <c r="CW81" s="139"/>
      <c r="CX81" s="139"/>
      <c r="CY81" s="139"/>
      <c r="CZ81" s="139"/>
      <c r="DA81" s="139"/>
      <c r="DB81" s="139"/>
      <c r="DC81" s="139"/>
      <c r="DD81" s="139"/>
      <c r="DE81" s="139"/>
      <c r="DF81" s="139"/>
      <c r="DG81" s="139"/>
      <c r="DH81" s="139"/>
      <c r="DI81" s="139"/>
      <c r="DJ81" s="139"/>
      <c r="DK81" s="139"/>
      <c r="DL81" s="139"/>
      <c r="DM81" s="139"/>
      <c r="DN81" s="139"/>
      <c r="DO81" s="139"/>
      <c r="DP81" s="139"/>
      <c r="DQ81" s="139"/>
      <c r="DR81" s="139"/>
      <c r="DS81" s="139"/>
      <c r="DT81" s="139"/>
      <c r="DU81" s="139"/>
      <c r="DV81" s="139"/>
      <c r="DW81" s="139"/>
      <c r="DX81" s="139"/>
      <c r="DY81" s="139"/>
      <c r="DZ81" s="139"/>
      <c r="EA81" s="139"/>
      <c r="EB81" s="139"/>
      <c r="EC81" s="139"/>
      <c r="ED81" s="139"/>
      <c r="EE81" s="139"/>
      <c r="EF81" s="139"/>
      <c r="EG81" s="139"/>
      <c r="EH81" s="139"/>
      <c r="EI81" s="139"/>
      <c r="EJ81" s="139"/>
      <c r="EK81" s="139"/>
      <c r="EL81" s="139"/>
      <c r="EM81" s="139"/>
      <c r="EN81" s="139"/>
      <c r="EO81" s="139"/>
      <c r="EP81" s="139"/>
      <c r="EQ81" s="139"/>
      <c r="ER81" s="139"/>
      <c r="ES81" s="139"/>
      <c r="ET81" s="139"/>
      <c r="EU81" s="139"/>
      <c r="EV81" s="139"/>
      <c r="EW81" s="139"/>
      <c r="EX81" s="139"/>
      <c r="EY81" s="139"/>
      <c r="EZ81" s="139"/>
      <c r="FA81" s="139"/>
      <c r="FB81" s="139"/>
      <c r="FC81" s="139"/>
      <c r="FD81" s="139"/>
      <c r="FE81" s="139"/>
      <c r="FF81" s="139"/>
      <c r="FG81" s="139"/>
      <c r="FH81" s="139"/>
      <c r="FI81" s="139"/>
      <c r="FJ81" s="139"/>
      <c r="FK81" s="139"/>
      <c r="FL81" s="139"/>
      <c r="FM81" s="139"/>
      <c r="FN81" s="139"/>
      <c r="FO81" s="139"/>
      <c r="FP81" s="139"/>
      <c r="FQ81" s="139"/>
      <c r="FR81" s="139"/>
      <c r="FS81" s="139"/>
      <c r="FT81" s="139"/>
      <c r="FU81" s="139"/>
      <c r="FV81" s="139"/>
      <c r="FW81" s="139"/>
      <c r="FX81" s="139"/>
      <c r="FY81" s="139"/>
      <c r="FZ81" s="139"/>
      <c r="GA81" s="139"/>
      <c r="GB81" s="139"/>
      <c r="GC81" s="139"/>
      <c r="GD81" s="139"/>
      <c r="GE81" s="139"/>
      <c r="GF81" s="139"/>
      <c r="GG81" s="139"/>
      <c r="GH81" s="139"/>
      <c r="GI81" s="139"/>
      <c r="GJ81" s="139"/>
      <c r="GK81" s="139"/>
      <c r="GL81" s="139"/>
      <c r="GM81" s="139"/>
      <c r="GN81" s="139"/>
      <c r="GO81" s="139"/>
      <c r="GP81" s="139"/>
      <c r="GQ81" s="139"/>
      <c r="GR81" s="139"/>
      <c r="GS81" s="139"/>
      <c r="GT81" s="139"/>
      <c r="GU81" s="139"/>
      <c r="GV81" s="139"/>
      <c r="GW81" s="139"/>
      <c r="GX81" s="139"/>
      <c r="GY81" s="139"/>
      <c r="GZ81" s="139"/>
      <c r="HA81" s="139"/>
      <c r="HB81" s="139"/>
      <c r="HC81" s="139"/>
      <c r="HD81" s="139"/>
      <c r="HE81" s="139"/>
      <c r="HF81" s="139"/>
      <c r="HG81" s="139"/>
      <c r="HH81" s="139"/>
      <c r="HI81" s="139"/>
      <c r="HJ81" s="139"/>
      <c r="HK81" s="139"/>
      <c r="HL81" s="139"/>
      <c r="HM81" s="139"/>
      <c r="HN81" s="139"/>
      <c r="HO81" s="139"/>
      <c r="HP81" s="139"/>
      <c r="HQ81" s="139"/>
      <c r="HR81" s="139"/>
      <c r="HS81" s="139"/>
      <c r="HT81" s="139"/>
      <c r="HU81" s="139"/>
      <c r="HV81" s="139"/>
      <c r="HW81" s="139"/>
      <c r="HX81" s="139"/>
      <c r="HY81" s="139"/>
      <c r="HZ81" s="139"/>
      <c r="IA81" s="139"/>
      <c r="IB81" s="139"/>
      <c r="IC81" s="139"/>
      <c r="ID81" s="139"/>
      <c r="IE81" s="139"/>
      <c r="IF81" s="139"/>
      <c r="IG81" s="139"/>
      <c r="IH81" s="139"/>
      <c r="II81" s="139"/>
      <c r="IJ81" s="139"/>
      <c r="IK81" s="139"/>
      <c r="IL81" s="139"/>
      <c r="IM81" s="139"/>
      <c r="IN81" s="139"/>
      <c r="IO81" s="139"/>
      <c r="IP81" s="139"/>
      <c r="IQ81" s="139"/>
      <c r="IR81" s="139"/>
    </row>
    <row r="82" spans="2:253" x14ac:dyDescent="0.3">
      <c r="B82" s="5" t="s">
        <v>134</v>
      </c>
      <c r="C82" s="916" t="s">
        <v>239</v>
      </c>
      <c r="D82" s="941">
        <v>0</v>
      </c>
      <c r="E82" s="941">
        <v>1135.1299579048657</v>
      </c>
      <c r="F82" s="941">
        <v>0</v>
      </c>
      <c r="G82" s="941">
        <v>0</v>
      </c>
      <c r="H82" s="941">
        <v>0</v>
      </c>
      <c r="I82" s="941">
        <v>0</v>
      </c>
      <c r="J82" s="941">
        <v>0</v>
      </c>
      <c r="K82" s="941">
        <v>0</v>
      </c>
      <c r="L82" s="941">
        <v>0</v>
      </c>
      <c r="M82" s="941">
        <v>0</v>
      </c>
      <c r="N82" s="941">
        <v>0</v>
      </c>
      <c r="O82" s="941">
        <v>0</v>
      </c>
      <c r="P82" s="941">
        <v>0</v>
      </c>
      <c r="Q82" s="941">
        <v>0</v>
      </c>
      <c r="R82" s="941">
        <v>0</v>
      </c>
      <c r="S82" s="941">
        <v>0</v>
      </c>
      <c r="T82" s="941">
        <v>0</v>
      </c>
      <c r="U82" s="941">
        <v>0</v>
      </c>
      <c r="V82" s="941">
        <v>0</v>
      </c>
      <c r="W82" s="941">
        <v>0</v>
      </c>
      <c r="X82" s="941">
        <v>0</v>
      </c>
      <c r="Y82" s="941">
        <v>0</v>
      </c>
      <c r="Z82" s="941">
        <v>0</v>
      </c>
      <c r="AA82" s="941">
        <v>47.5785083759095</v>
      </c>
      <c r="AB82" s="941">
        <v>212.37667858822812</v>
      </c>
      <c r="AC82" s="941">
        <v>0</v>
      </c>
      <c r="AD82" s="941">
        <v>0</v>
      </c>
      <c r="AE82" s="941">
        <v>0</v>
      </c>
      <c r="AF82" s="941">
        <v>0</v>
      </c>
      <c r="AG82" s="941">
        <v>0</v>
      </c>
      <c r="AH82" s="941">
        <v>0</v>
      </c>
      <c r="AI82" s="941">
        <v>0</v>
      </c>
      <c r="AJ82" s="629">
        <f>((D82+E82+P82+Q82+SUM(AA82:AI82))*'Emission &amp; Conversion Factors'!$H$232*1000)+((F82+R82)*'Emission &amp; Conversion Factors'!$H$240*1000)+((G82+S82)*'Emission &amp; Conversion Factors'!$H$242*1000)+((H82+T82)*'Emission &amp; Conversion Factors'!$H$254*1000)+((I82+U82)*'Emission &amp; Conversion Factors'!$H$251*1000)+((J82+V82)*'Emission &amp; Conversion Factors'!$J$240)+((K82+W82)*'Emission &amp; Conversion Factors'!$J$251)</f>
        <v>17910103.089828264</v>
      </c>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c r="BJ82" s="139"/>
      <c r="BK82" s="139"/>
      <c r="BL82" s="139"/>
      <c r="BM82" s="139"/>
      <c r="BN82" s="139"/>
      <c r="BO82" s="139"/>
      <c r="BP82" s="139"/>
      <c r="BQ82" s="139"/>
      <c r="BR82" s="139"/>
      <c r="BS82" s="139"/>
      <c r="BT82" s="139"/>
      <c r="BU82" s="139"/>
      <c r="BV82" s="139"/>
      <c r="BW82" s="139"/>
      <c r="BX82" s="139"/>
      <c r="BY82" s="139"/>
      <c r="BZ82" s="139"/>
      <c r="CA82" s="139"/>
      <c r="CB82" s="139"/>
      <c r="CC82" s="139"/>
      <c r="CD82" s="139"/>
      <c r="CE82" s="139"/>
      <c r="CF82" s="139"/>
      <c r="CG82" s="139"/>
      <c r="CH82" s="139"/>
      <c r="CI82" s="139"/>
      <c r="CJ82" s="139"/>
      <c r="CK82" s="139"/>
      <c r="CL82" s="139"/>
      <c r="CM82" s="139"/>
      <c r="CN82" s="139"/>
      <c r="CO82" s="139"/>
      <c r="CP82" s="139"/>
      <c r="CQ82" s="139"/>
      <c r="CR82" s="139"/>
      <c r="CS82" s="139"/>
      <c r="CT82" s="139"/>
      <c r="CU82" s="139"/>
      <c r="CV82" s="139"/>
      <c r="CW82" s="139"/>
      <c r="CX82" s="139"/>
      <c r="CY82" s="139"/>
      <c r="CZ82" s="139"/>
      <c r="DA82" s="139"/>
      <c r="DB82" s="139"/>
      <c r="DC82" s="139"/>
      <c r="DD82" s="139"/>
      <c r="DE82" s="139"/>
      <c r="DF82" s="139"/>
      <c r="DG82" s="139"/>
      <c r="DH82" s="139"/>
      <c r="DI82" s="139"/>
      <c r="DJ82" s="139"/>
      <c r="DK82" s="139"/>
      <c r="DL82" s="139"/>
      <c r="DM82" s="139"/>
      <c r="DN82" s="139"/>
      <c r="DO82" s="139"/>
      <c r="DP82" s="139"/>
      <c r="DQ82" s="139"/>
      <c r="DR82" s="139"/>
      <c r="DS82" s="139"/>
      <c r="DT82" s="139"/>
      <c r="DU82" s="139"/>
      <c r="DV82" s="139"/>
      <c r="DW82" s="139"/>
      <c r="DX82" s="139"/>
      <c r="DY82" s="139"/>
      <c r="DZ82" s="139"/>
      <c r="EA82" s="139"/>
      <c r="EB82" s="139"/>
      <c r="EC82" s="139"/>
      <c r="ED82" s="139"/>
      <c r="EE82" s="139"/>
      <c r="EF82" s="139"/>
      <c r="EG82" s="139"/>
      <c r="EH82" s="139"/>
      <c r="EI82" s="139"/>
      <c r="EJ82" s="139"/>
      <c r="EK82" s="139"/>
      <c r="EL82" s="139"/>
      <c r="EM82" s="139"/>
      <c r="EN82" s="139"/>
      <c r="EO82" s="139"/>
      <c r="EP82" s="139"/>
      <c r="EQ82" s="139"/>
      <c r="ER82" s="139"/>
      <c r="ES82" s="139"/>
      <c r="ET82" s="139"/>
      <c r="EU82" s="139"/>
      <c r="EV82" s="139"/>
      <c r="EW82" s="139"/>
      <c r="EX82" s="139"/>
      <c r="EY82" s="139"/>
      <c r="EZ82" s="139"/>
      <c r="FA82" s="139"/>
      <c r="FB82" s="139"/>
      <c r="FC82" s="139"/>
      <c r="FD82" s="139"/>
      <c r="FE82" s="139"/>
      <c r="FF82" s="139"/>
      <c r="FG82" s="139"/>
      <c r="FH82" s="139"/>
      <c r="FI82" s="139"/>
      <c r="FJ82" s="139"/>
      <c r="FK82" s="139"/>
      <c r="FL82" s="139"/>
      <c r="FM82" s="139"/>
      <c r="FN82" s="139"/>
      <c r="FO82" s="139"/>
      <c r="FP82" s="139"/>
      <c r="FQ82" s="139"/>
      <c r="FR82" s="139"/>
      <c r="FS82" s="139"/>
      <c r="FT82" s="139"/>
      <c r="FU82" s="139"/>
      <c r="FV82" s="139"/>
      <c r="FW82" s="139"/>
      <c r="FX82" s="139"/>
      <c r="FY82" s="139"/>
      <c r="FZ82" s="139"/>
      <c r="GA82" s="139"/>
      <c r="GB82" s="139"/>
      <c r="GC82" s="139"/>
      <c r="GD82" s="139"/>
      <c r="GE82" s="139"/>
      <c r="GF82" s="139"/>
      <c r="GG82" s="139"/>
      <c r="GH82" s="139"/>
      <c r="GI82" s="139"/>
      <c r="GJ82" s="139"/>
      <c r="GK82" s="139"/>
      <c r="GL82" s="139"/>
      <c r="GM82" s="139"/>
      <c r="GN82" s="139"/>
      <c r="GO82" s="139"/>
      <c r="GP82" s="139"/>
      <c r="GQ82" s="139"/>
      <c r="GR82" s="139"/>
      <c r="GS82" s="139"/>
      <c r="GT82" s="139"/>
      <c r="GU82" s="139"/>
      <c r="GV82" s="139"/>
      <c r="GW82" s="139"/>
      <c r="GX82" s="139"/>
      <c r="GY82" s="139"/>
      <c r="GZ82" s="139"/>
      <c r="HA82" s="139"/>
      <c r="HB82" s="139"/>
      <c r="HC82" s="139"/>
      <c r="HD82" s="139"/>
      <c r="HE82" s="139"/>
      <c r="HF82" s="139"/>
      <c r="HG82" s="139"/>
      <c r="HH82" s="139"/>
      <c r="HI82" s="139"/>
      <c r="HJ82" s="139"/>
      <c r="HK82" s="139"/>
      <c r="HL82" s="139"/>
      <c r="HM82" s="139"/>
      <c r="HN82" s="139"/>
      <c r="HO82" s="139"/>
      <c r="HP82" s="139"/>
      <c r="HQ82" s="139"/>
      <c r="HR82" s="139"/>
      <c r="HS82" s="139"/>
      <c r="HT82" s="139"/>
      <c r="HU82" s="139"/>
      <c r="HV82" s="139"/>
      <c r="HW82" s="139"/>
      <c r="HX82" s="139"/>
      <c r="HY82" s="139"/>
      <c r="HZ82" s="139"/>
      <c r="IA82" s="139"/>
      <c r="IB82" s="139"/>
      <c r="IC82" s="139"/>
      <c r="ID82" s="139"/>
      <c r="IE82" s="139"/>
      <c r="IF82" s="139"/>
      <c r="IG82" s="139"/>
      <c r="IH82" s="139"/>
      <c r="II82" s="139"/>
      <c r="IJ82" s="139"/>
      <c r="IK82" s="139"/>
      <c r="IL82" s="139"/>
      <c r="IM82" s="139"/>
      <c r="IN82" s="139"/>
      <c r="IO82" s="139"/>
      <c r="IP82" s="139"/>
      <c r="IQ82" s="139"/>
      <c r="IR82" s="139"/>
    </row>
    <row r="83" spans="2:253" ht="15" thickBot="1" x14ac:dyDescent="0.35">
      <c r="B83" s="5" t="s">
        <v>135</v>
      </c>
      <c r="C83" s="916" t="s">
        <v>240</v>
      </c>
      <c r="D83" s="941">
        <v>0</v>
      </c>
      <c r="E83" s="941">
        <v>0</v>
      </c>
      <c r="F83" s="941">
        <v>0</v>
      </c>
      <c r="G83" s="941">
        <v>0</v>
      </c>
      <c r="H83" s="941">
        <v>0</v>
      </c>
      <c r="I83" s="941">
        <v>0</v>
      </c>
      <c r="J83" s="941">
        <v>0</v>
      </c>
      <c r="K83" s="941">
        <v>0</v>
      </c>
      <c r="L83" s="941">
        <v>0</v>
      </c>
      <c r="M83" s="941">
        <v>0</v>
      </c>
      <c r="N83" s="941">
        <v>0</v>
      </c>
      <c r="O83" s="941">
        <v>0</v>
      </c>
      <c r="P83" s="941">
        <v>0</v>
      </c>
      <c r="Q83" s="941">
        <v>0</v>
      </c>
      <c r="R83" s="941">
        <v>0</v>
      </c>
      <c r="S83" s="941">
        <v>0</v>
      </c>
      <c r="T83" s="941">
        <v>0</v>
      </c>
      <c r="U83" s="941">
        <v>0</v>
      </c>
      <c r="V83" s="941">
        <v>0</v>
      </c>
      <c r="W83" s="941">
        <v>0</v>
      </c>
      <c r="X83" s="941">
        <v>0</v>
      </c>
      <c r="Y83" s="941">
        <v>0</v>
      </c>
      <c r="Z83" s="941">
        <v>0</v>
      </c>
      <c r="AA83" s="941">
        <v>0</v>
      </c>
      <c r="AB83" s="941">
        <v>0</v>
      </c>
      <c r="AC83" s="941">
        <v>0</v>
      </c>
      <c r="AD83" s="941">
        <v>0</v>
      </c>
      <c r="AE83" s="941">
        <v>0</v>
      </c>
      <c r="AF83" s="941">
        <v>0</v>
      </c>
      <c r="AG83" s="941">
        <v>0</v>
      </c>
      <c r="AH83" s="941">
        <v>0</v>
      </c>
      <c r="AI83" s="941">
        <v>0</v>
      </c>
      <c r="AJ83" s="629">
        <f>((D83+E83+P83+Q83+SUM(AA83:AI83))*'Emission &amp; Conversion Factors'!$H$232*1000)+((F83+R83)*'Emission &amp; Conversion Factors'!$H$240*1000)+((G83+S83)*'Emission &amp; Conversion Factors'!$H$242*1000)+((H83+T83)*'Emission &amp; Conversion Factors'!$H$254*1000)+((I83+U83)*'Emission &amp; Conversion Factors'!$H$251*1000)+((J83+V83)*'Emission &amp; Conversion Factors'!$J$240)+((K83+W83)*'Emission &amp; Conversion Factors'!$J$251)</f>
        <v>0</v>
      </c>
      <c r="AK83" s="139"/>
      <c r="AL83" s="139"/>
      <c r="AM83" s="139"/>
      <c r="AN83" s="139"/>
      <c r="AO83" s="146"/>
      <c r="AP83" s="146"/>
      <c r="AQ83" s="146"/>
      <c r="AR83" s="146"/>
      <c r="AS83" s="146"/>
      <c r="AT83" s="146"/>
      <c r="AU83" s="146"/>
      <c r="AV83" s="146"/>
      <c r="AW83" s="146"/>
      <c r="AX83" s="146"/>
      <c r="AY83" s="146"/>
      <c r="AZ83" s="146"/>
      <c r="BA83" s="146"/>
      <c r="BB83" s="146"/>
      <c r="BC83" s="146"/>
      <c r="BD83" s="146"/>
      <c r="BE83" s="146"/>
      <c r="BF83" s="146"/>
      <c r="BG83" s="146"/>
      <c r="BH83" s="146"/>
      <c r="BI83" s="146"/>
      <c r="BJ83" s="146"/>
      <c r="BK83" s="146"/>
      <c r="BL83" s="146"/>
      <c r="BM83" s="146"/>
      <c r="BN83" s="146"/>
      <c r="BO83" s="146"/>
      <c r="BP83" s="146"/>
      <c r="BQ83" s="146"/>
      <c r="BR83" s="146"/>
      <c r="BS83" s="146"/>
      <c r="BT83" s="146"/>
      <c r="BU83" s="146"/>
      <c r="BV83" s="146"/>
      <c r="BW83" s="146"/>
      <c r="BX83" s="146"/>
      <c r="BY83" s="146"/>
      <c r="BZ83" s="146"/>
      <c r="CA83" s="146"/>
      <c r="CB83" s="146"/>
      <c r="CC83" s="146"/>
      <c r="CD83" s="146"/>
      <c r="CE83" s="146"/>
      <c r="CF83" s="146"/>
      <c r="CG83" s="146"/>
      <c r="CH83" s="146"/>
      <c r="CI83" s="146"/>
      <c r="CJ83" s="146"/>
      <c r="CK83" s="146"/>
      <c r="CL83" s="146"/>
      <c r="CM83" s="146"/>
      <c r="CN83" s="146"/>
      <c r="CO83" s="146"/>
      <c r="CP83" s="146"/>
      <c r="CQ83" s="146"/>
      <c r="CR83" s="146"/>
      <c r="CS83" s="146"/>
      <c r="CT83" s="146"/>
      <c r="CU83" s="146"/>
      <c r="CV83" s="146"/>
      <c r="CW83" s="146"/>
      <c r="CX83" s="146"/>
      <c r="CY83" s="146"/>
      <c r="CZ83" s="146"/>
      <c r="DA83" s="146"/>
      <c r="DB83" s="146"/>
      <c r="DC83" s="146"/>
      <c r="DD83" s="146"/>
      <c r="DE83" s="146"/>
      <c r="DF83" s="146"/>
      <c r="DG83" s="146"/>
      <c r="DH83" s="146"/>
      <c r="DI83" s="146"/>
      <c r="DJ83" s="146"/>
      <c r="DK83" s="146"/>
      <c r="DL83" s="146"/>
      <c r="DM83" s="146"/>
      <c r="DN83" s="146"/>
      <c r="DO83" s="146"/>
      <c r="DP83" s="146"/>
      <c r="DQ83" s="146"/>
      <c r="DR83" s="146"/>
      <c r="DS83" s="146"/>
      <c r="DT83" s="146"/>
      <c r="DU83" s="146"/>
      <c r="DV83" s="146"/>
      <c r="DW83" s="146"/>
      <c r="DX83" s="146"/>
      <c r="DY83" s="146"/>
      <c r="DZ83" s="146"/>
      <c r="EA83" s="146"/>
      <c r="EB83" s="146"/>
      <c r="EC83" s="146"/>
      <c r="ED83" s="146"/>
      <c r="EE83" s="146"/>
      <c r="EF83" s="146"/>
      <c r="EG83" s="146"/>
      <c r="EH83" s="146"/>
      <c r="EI83" s="146"/>
      <c r="EJ83" s="146"/>
      <c r="EK83" s="146"/>
      <c r="EL83" s="146"/>
      <c r="EM83" s="146"/>
      <c r="EN83" s="146"/>
      <c r="EO83" s="146"/>
      <c r="EP83" s="146"/>
      <c r="EQ83" s="146"/>
      <c r="ER83" s="146"/>
      <c r="ES83" s="146"/>
      <c r="ET83" s="146"/>
      <c r="EU83" s="146"/>
      <c r="EV83" s="146"/>
      <c r="EW83" s="146"/>
      <c r="EX83" s="146"/>
      <c r="EY83" s="146"/>
      <c r="EZ83" s="146"/>
      <c r="FA83" s="146"/>
      <c r="FB83" s="146"/>
      <c r="FC83" s="146"/>
      <c r="FD83" s="146"/>
      <c r="FE83" s="146"/>
      <c r="FF83" s="146"/>
      <c r="FG83" s="146"/>
      <c r="FH83" s="146"/>
      <c r="FI83" s="146"/>
      <c r="FJ83" s="146"/>
      <c r="FK83" s="146"/>
      <c r="FL83" s="146"/>
      <c r="FM83" s="146"/>
      <c r="FN83" s="146"/>
      <c r="FO83" s="146"/>
      <c r="FP83" s="146"/>
      <c r="FQ83" s="146"/>
      <c r="FR83" s="146"/>
      <c r="FS83" s="146"/>
      <c r="FT83" s="146"/>
      <c r="FU83" s="146"/>
      <c r="FV83" s="146"/>
      <c r="FW83" s="146"/>
      <c r="FX83" s="146"/>
      <c r="FY83" s="146"/>
      <c r="FZ83" s="146"/>
      <c r="GA83" s="146"/>
      <c r="GB83" s="146"/>
      <c r="GC83" s="146"/>
      <c r="GD83" s="146"/>
      <c r="GE83" s="146"/>
      <c r="GF83" s="146"/>
      <c r="GG83" s="146"/>
      <c r="GH83" s="146"/>
      <c r="GI83" s="146"/>
      <c r="GJ83" s="146"/>
      <c r="GK83" s="146"/>
      <c r="GL83" s="146"/>
      <c r="GM83" s="146"/>
      <c r="GN83" s="146"/>
      <c r="GO83" s="146"/>
      <c r="GP83" s="146"/>
      <c r="GQ83" s="146"/>
      <c r="GR83" s="146"/>
      <c r="GS83" s="146"/>
      <c r="GT83" s="146"/>
      <c r="GU83" s="146"/>
      <c r="GV83" s="146"/>
      <c r="GW83" s="146"/>
      <c r="GX83" s="146"/>
      <c r="GY83" s="146"/>
      <c r="GZ83" s="146"/>
      <c r="HA83" s="146"/>
      <c r="HB83" s="146"/>
      <c r="HC83" s="146"/>
      <c r="HD83" s="146"/>
      <c r="HE83" s="146"/>
      <c r="HF83" s="146"/>
      <c r="HG83" s="146"/>
      <c r="HH83" s="146"/>
      <c r="HI83" s="146"/>
      <c r="HJ83" s="146"/>
      <c r="HK83" s="146"/>
      <c r="HL83" s="146"/>
      <c r="HM83" s="146"/>
      <c r="HN83" s="146"/>
      <c r="HO83" s="146"/>
      <c r="HP83" s="146"/>
      <c r="HQ83" s="146"/>
      <c r="HR83" s="146"/>
      <c r="HS83" s="146"/>
      <c r="HT83" s="146"/>
      <c r="HU83" s="146"/>
      <c r="HV83" s="146"/>
      <c r="HW83" s="146"/>
      <c r="HX83" s="146"/>
      <c r="HY83" s="146"/>
      <c r="HZ83" s="146"/>
      <c r="IA83" s="146"/>
      <c r="IB83" s="146"/>
      <c r="IC83" s="146"/>
      <c r="ID83" s="146"/>
      <c r="IE83" s="146"/>
      <c r="IF83" s="146"/>
      <c r="IG83" s="146"/>
      <c r="IH83" s="146"/>
      <c r="II83" s="146"/>
      <c r="IJ83" s="146"/>
      <c r="IK83" s="146"/>
      <c r="IL83" s="146"/>
      <c r="IM83" s="146"/>
      <c r="IN83" s="146"/>
      <c r="IO83" s="146"/>
      <c r="IP83" s="146"/>
      <c r="IQ83" s="146"/>
      <c r="IR83" s="146"/>
    </row>
    <row r="84" spans="2:253" ht="15" thickBot="1" x14ac:dyDescent="0.35">
      <c r="B84" s="8" t="s">
        <v>66</v>
      </c>
      <c r="C84" s="254"/>
      <c r="D84" s="9">
        <f>SUM(D51:D83)</f>
        <v>182079.85036498072</v>
      </c>
      <c r="E84" s="9">
        <f t="shared" ref="E84:L84" si="13">SUM(E51:E83)</f>
        <v>60783.618749957095</v>
      </c>
      <c r="F84" s="9">
        <f t="shared" si="13"/>
        <v>6200.5795094232735</v>
      </c>
      <c r="G84" s="9">
        <f t="shared" si="13"/>
        <v>977.77428496348102</v>
      </c>
      <c r="H84" s="9">
        <f t="shared" si="13"/>
        <v>306.13066128375777</v>
      </c>
      <c r="I84" s="9">
        <f t="shared" si="13"/>
        <v>527.44102805218756</v>
      </c>
      <c r="J84" s="9">
        <f t="shared" si="13"/>
        <v>650.82573130306582</v>
      </c>
      <c r="K84" s="9">
        <f t="shared" si="13"/>
        <v>1173.0229409095991</v>
      </c>
      <c r="L84" s="9">
        <f t="shared" si="13"/>
        <v>184884927.33715105</v>
      </c>
      <c r="M84" s="9">
        <f t="shared" ref="M84:Y84" si="14">SUM(M51:M83)</f>
        <v>4430649.3753685895</v>
      </c>
      <c r="N84" s="9">
        <f t="shared" si="14"/>
        <v>0</v>
      </c>
      <c r="O84" s="9">
        <f t="shared" si="14"/>
        <v>41431.700644807242</v>
      </c>
      <c r="P84" s="9">
        <f t="shared" si="14"/>
        <v>4208.5160954235989</v>
      </c>
      <c r="Q84" s="9">
        <f t="shared" si="14"/>
        <v>7017.6318780779829</v>
      </c>
      <c r="R84" s="627">
        <f t="shared" si="14"/>
        <v>0.28354588914655848</v>
      </c>
      <c r="S84" s="627">
        <f t="shared" si="14"/>
        <v>4.4712575428356591E-2</v>
      </c>
      <c r="T84" s="627">
        <f t="shared" si="14"/>
        <v>1.3999028706399179E-2</v>
      </c>
      <c r="U84" s="627">
        <f t="shared" si="14"/>
        <v>2.4119315790427243E-2</v>
      </c>
      <c r="V84" s="9">
        <f t="shared" si="14"/>
        <v>32.319479333205166</v>
      </c>
      <c r="W84" s="9">
        <f t="shared" si="14"/>
        <v>20.232692805323587</v>
      </c>
      <c r="X84" s="9">
        <f t="shared" si="14"/>
        <v>8086408.9333420563</v>
      </c>
      <c r="Y84" s="9">
        <f t="shared" si="14"/>
        <v>113514.59795704557</v>
      </c>
      <c r="Z84" s="398">
        <f t="shared" ref="Z84:AI84" si="15">SUM(Z51:Z83)</f>
        <v>858.96490309062301</v>
      </c>
      <c r="AA84" s="398">
        <f t="shared" si="15"/>
        <v>47.5785083759095</v>
      </c>
      <c r="AB84" s="398">
        <f t="shared" si="15"/>
        <v>212.37667858822812</v>
      </c>
      <c r="AC84" s="398">
        <f t="shared" si="15"/>
        <v>1153.8059028260291</v>
      </c>
      <c r="AD84" s="398">
        <f t="shared" si="15"/>
        <v>838.35184595605881</v>
      </c>
      <c r="AE84" s="398">
        <f t="shared" si="15"/>
        <v>370.46169213253881</v>
      </c>
      <c r="AF84" s="398">
        <f t="shared" si="15"/>
        <v>292.15876719020196</v>
      </c>
      <c r="AG84" s="398">
        <f t="shared" si="15"/>
        <v>15.79821145857243</v>
      </c>
      <c r="AH84" s="9">
        <f t="shared" si="15"/>
        <v>15.268781276176918</v>
      </c>
      <c r="AI84" s="630">
        <f t="shared" si="15"/>
        <v>3.3222165489149997</v>
      </c>
      <c r="AJ84" s="488">
        <f>SUM(AJ51:AJ83)</f>
        <v>3401187239.6603146</v>
      </c>
      <c r="AK84" s="146"/>
      <c r="AL84" s="146"/>
      <c r="AM84" s="146"/>
      <c r="AN84" s="146"/>
      <c r="AO84" s="146"/>
      <c r="AP84" s="146"/>
      <c r="AQ84" s="146"/>
      <c r="AR84" s="146"/>
      <c r="AS84" s="146"/>
      <c r="AT84" s="146"/>
      <c r="AU84" s="146"/>
      <c r="AV84" s="146"/>
      <c r="AW84" s="146"/>
      <c r="AX84" s="146"/>
      <c r="AY84" s="146"/>
      <c r="AZ84" s="146"/>
      <c r="BA84" s="146"/>
      <c r="BB84" s="146"/>
      <c r="BC84" s="146"/>
      <c r="BD84" s="146"/>
      <c r="BE84" s="146"/>
      <c r="BF84" s="146"/>
      <c r="BG84" s="146"/>
      <c r="BH84" s="146"/>
      <c r="BI84" s="146"/>
      <c r="BJ84" s="146"/>
      <c r="BK84" s="146"/>
      <c r="BL84" s="146"/>
      <c r="BM84" s="146"/>
      <c r="BN84" s="146"/>
      <c r="BO84" s="146"/>
      <c r="BP84" s="146"/>
      <c r="BQ84" s="146"/>
      <c r="BR84" s="146"/>
      <c r="BS84" s="146"/>
      <c r="BT84" s="146"/>
      <c r="BU84" s="146"/>
      <c r="BV84" s="146"/>
      <c r="BW84" s="146"/>
      <c r="BX84" s="146"/>
      <c r="BY84" s="146"/>
      <c r="BZ84" s="146"/>
      <c r="CA84" s="146"/>
      <c r="CB84" s="146"/>
      <c r="CC84" s="146"/>
      <c r="CD84" s="146"/>
      <c r="CE84" s="146"/>
      <c r="CF84" s="146"/>
      <c r="CG84" s="146"/>
      <c r="CH84" s="146"/>
      <c r="CI84" s="146"/>
      <c r="CJ84" s="146"/>
      <c r="CK84" s="146"/>
      <c r="CL84" s="146"/>
      <c r="CM84" s="146"/>
      <c r="CN84" s="146"/>
      <c r="CO84" s="146"/>
      <c r="CP84" s="146"/>
      <c r="CQ84" s="146"/>
      <c r="CR84" s="146"/>
      <c r="CS84" s="146"/>
      <c r="CT84" s="146"/>
      <c r="CU84" s="146"/>
      <c r="CV84" s="146"/>
      <c r="CW84" s="146"/>
      <c r="CX84" s="146"/>
      <c r="CY84" s="146"/>
      <c r="CZ84" s="146"/>
      <c r="DA84" s="146"/>
      <c r="DB84" s="146"/>
      <c r="DC84" s="146"/>
      <c r="DD84" s="146"/>
      <c r="DE84" s="146"/>
      <c r="DF84" s="146"/>
      <c r="DG84" s="146"/>
      <c r="DH84" s="146"/>
      <c r="DI84" s="146"/>
      <c r="DJ84" s="146"/>
      <c r="DK84" s="146"/>
      <c r="DL84" s="146"/>
      <c r="DM84" s="146"/>
      <c r="DN84" s="146"/>
      <c r="DO84" s="146"/>
      <c r="DP84" s="146"/>
      <c r="DQ84" s="146"/>
      <c r="DR84" s="146"/>
      <c r="DS84" s="146"/>
      <c r="DT84" s="146"/>
      <c r="DU84" s="146"/>
      <c r="DV84" s="146"/>
      <c r="DW84" s="146"/>
      <c r="DX84" s="146"/>
      <c r="DY84" s="146"/>
      <c r="DZ84" s="146"/>
      <c r="EA84" s="146"/>
      <c r="EB84" s="146"/>
      <c r="EC84" s="146"/>
      <c r="ED84" s="146"/>
      <c r="EE84" s="146"/>
      <c r="EF84" s="146"/>
      <c r="EG84" s="146"/>
      <c r="EH84" s="146"/>
      <c r="EI84" s="146"/>
      <c r="EJ84" s="146"/>
      <c r="EK84" s="146"/>
      <c r="EL84" s="146"/>
      <c r="EM84" s="146"/>
      <c r="EN84" s="146"/>
      <c r="EO84" s="146"/>
      <c r="EP84" s="146"/>
      <c r="EQ84" s="146"/>
      <c r="ER84" s="146"/>
      <c r="ES84" s="146"/>
      <c r="ET84" s="146"/>
      <c r="EU84" s="146"/>
      <c r="EV84" s="146"/>
      <c r="EW84" s="146"/>
      <c r="EX84" s="146"/>
      <c r="EY84" s="146"/>
      <c r="EZ84" s="146"/>
      <c r="FA84" s="146"/>
      <c r="FB84" s="146"/>
      <c r="FC84" s="146"/>
      <c r="FD84" s="146"/>
      <c r="FE84" s="146"/>
      <c r="FF84" s="146"/>
      <c r="FG84" s="146"/>
      <c r="FH84" s="146"/>
      <c r="FI84" s="146"/>
      <c r="FJ84" s="146"/>
      <c r="FK84" s="146"/>
      <c r="FL84" s="146"/>
      <c r="FM84" s="146"/>
      <c r="FN84" s="146"/>
      <c r="FO84" s="146"/>
      <c r="FP84" s="146"/>
      <c r="FQ84" s="146"/>
      <c r="FR84" s="146"/>
      <c r="FS84" s="146"/>
      <c r="FT84" s="146"/>
      <c r="FU84" s="146"/>
      <c r="FV84" s="146"/>
      <c r="FW84" s="146"/>
      <c r="FX84" s="146"/>
      <c r="FY84" s="146"/>
      <c r="FZ84" s="146"/>
      <c r="GA84" s="146"/>
      <c r="GB84" s="146"/>
      <c r="GC84" s="146"/>
      <c r="GD84" s="146"/>
      <c r="GE84" s="146"/>
      <c r="GF84" s="146"/>
      <c r="GG84" s="146"/>
      <c r="GH84" s="146"/>
      <c r="GI84" s="146"/>
      <c r="GJ84" s="146"/>
      <c r="GK84" s="146"/>
      <c r="GL84" s="146"/>
      <c r="GM84" s="146"/>
      <c r="GN84" s="146"/>
      <c r="GO84" s="146"/>
      <c r="GP84" s="146"/>
      <c r="GQ84" s="146"/>
      <c r="GR84" s="146"/>
      <c r="GS84" s="146"/>
      <c r="GT84" s="146"/>
      <c r="GU84" s="146"/>
      <c r="GV84" s="146"/>
      <c r="GW84" s="146"/>
      <c r="GX84" s="146"/>
      <c r="GY84" s="146"/>
      <c r="GZ84" s="146"/>
      <c r="HA84" s="146"/>
      <c r="HB84" s="146"/>
      <c r="HC84" s="146"/>
      <c r="HD84" s="146"/>
      <c r="HE84" s="146"/>
      <c r="HF84" s="146"/>
      <c r="HG84" s="146"/>
      <c r="HH84" s="146"/>
      <c r="HI84" s="146"/>
      <c r="HJ84" s="146"/>
      <c r="HK84" s="146"/>
      <c r="HL84" s="146"/>
      <c r="HM84" s="146"/>
      <c r="HN84" s="146"/>
      <c r="HO84" s="146"/>
      <c r="HP84" s="146"/>
      <c r="HQ84" s="146"/>
      <c r="HR84" s="146"/>
      <c r="HS84" s="146"/>
      <c r="HT84" s="146"/>
      <c r="HU84" s="146"/>
      <c r="HV84" s="146"/>
      <c r="HW84" s="146"/>
      <c r="HX84" s="146"/>
      <c r="HY84" s="146"/>
      <c r="HZ84" s="146"/>
      <c r="IA84" s="146"/>
      <c r="IB84" s="146"/>
      <c r="IC84" s="146"/>
      <c r="ID84" s="146"/>
      <c r="IE84" s="146"/>
      <c r="IF84" s="146"/>
      <c r="IG84" s="146"/>
      <c r="IH84" s="146"/>
      <c r="II84" s="146"/>
      <c r="IJ84" s="146"/>
      <c r="IK84" s="146"/>
      <c r="IL84" s="146"/>
      <c r="IM84" s="146"/>
      <c r="IN84" s="146"/>
      <c r="IO84" s="146"/>
      <c r="IP84" s="146"/>
      <c r="IQ84" s="146"/>
      <c r="IR84" s="146"/>
    </row>
    <row r="85" spans="2:253" x14ac:dyDescent="0.3">
      <c r="B85" s="145"/>
      <c r="C85" s="146"/>
      <c r="D85" s="146"/>
      <c r="E85" s="147"/>
      <c r="F85" s="147"/>
      <c r="G85" s="147"/>
      <c r="H85" s="147"/>
      <c r="I85" s="147"/>
      <c r="J85" s="147"/>
      <c r="K85" s="147"/>
      <c r="L85" s="147"/>
      <c r="M85" s="147"/>
      <c r="N85" s="147"/>
      <c r="O85" s="147"/>
      <c r="P85" s="147"/>
      <c r="Q85" s="147"/>
      <c r="R85" s="147"/>
      <c r="S85" s="147"/>
      <c r="T85" s="147"/>
      <c r="U85" s="147"/>
      <c r="V85" s="147"/>
      <c r="W85" s="147"/>
      <c r="X85" s="147"/>
      <c r="Y85" s="147"/>
      <c r="Z85" s="147"/>
      <c r="AA85" s="147"/>
      <c r="AB85" s="147"/>
      <c r="AC85" s="147"/>
      <c r="AD85" s="147"/>
      <c r="AE85" s="147"/>
      <c r="AF85" s="147"/>
      <c r="AG85" s="147"/>
      <c r="AH85" s="147"/>
      <c r="AI85" s="147"/>
      <c r="AJ85" s="147"/>
      <c r="AK85" s="148"/>
      <c r="AL85" s="149"/>
      <c r="AM85" s="150"/>
      <c r="AN85" s="150"/>
      <c r="AO85" s="151"/>
      <c r="AP85" s="146"/>
      <c r="AQ85" s="146"/>
      <c r="AR85" s="146"/>
      <c r="AS85" s="146"/>
      <c r="AT85" s="146"/>
      <c r="AU85" s="146"/>
      <c r="AV85" s="146"/>
      <c r="AW85" s="146"/>
      <c r="AX85" s="146"/>
      <c r="AY85" s="146"/>
      <c r="AZ85" s="146"/>
      <c r="BA85" s="146"/>
      <c r="BB85" s="146"/>
      <c r="BC85" s="146"/>
      <c r="BD85" s="146"/>
      <c r="BE85" s="146"/>
      <c r="BF85" s="146"/>
      <c r="BG85" s="146"/>
      <c r="BH85" s="146"/>
      <c r="BI85" s="146"/>
      <c r="BJ85" s="146"/>
      <c r="BK85" s="146"/>
      <c r="BL85" s="146"/>
      <c r="BM85" s="146"/>
      <c r="BN85" s="146"/>
      <c r="BO85" s="146"/>
      <c r="BP85" s="146"/>
      <c r="BQ85" s="146"/>
      <c r="BR85" s="146"/>
      <c r="BS85" s="146"/>
      <c r="BT85" s="146"/>
      <c r="BU85" s="146"/>
      <c r="BV85" s="146"/>
      <c r="BW85" s="146"/>
      <c r="BX85" s="146"/>
      <c r="BY85" s="146"/>
      <c r="BZ85" s="146"/>
      <c r="CA85" s="146"/>
      <c r="CB85" s="146"/>
      <c r="CC85" s="146"/>
      <c r="CD85" s="146"/>
      <c r="CE85" s="146"/>
      <c r="CF85" s="146"/>
      <c r="CG85" s="146"/>
      <c r="CH85" s="146"/>
      <c r="CI85" s="146"/>
      <c r="CJ85" s="146"/>
      <c r="CK85" s="146"/>
      <c r="CL85" s="146"/>
      <c r="CM85" s="146"/>
      <c r="CN85" s="146"/>
      <c r="CO85" s="146"/>
      <c r="CP85" s="146"/>
      <c r="CQ85" s="146"/>
      <c r="CR85" s="146"/>
      <c r="CS85" s="146"/>
      <c r="CT85" s="146"/>
      <c r="CU85" s="146"/>
      <c r="CV85" s="146"/>
      <c r="CW85" s="146"/>
      <c r="CX85" s="146"/>
      <c r="CY85" s="146"/>
      <c r="CZ85" s="146"/>
      <c r="DA85" s="146"/>
      <c r="DB85" s="146"/>
      <c r="DC85" s="146"/>
      <c r="DD85" s="146"/>
      <c r="DE85" s="146"/>
      <c r="DF85" s="146"/>
      <c r="DG85" s="146"/>
      <c r="DH85" s="146"/>
      <c r="DI85" s="146"/>
      <c r="DJ85" s="146"/>
      <c r="DK85" s="146"/>
      <c r="DL85" s="146"/>
      <c r="DM85" s="146"/>
      <c r="DN85" s="146"/>
      <c r="DO85" s="146"/>
      <c r="DP85" s="146"/>
      <c r="DQ85" s="146"/>
      <c r="DR85" s="146"/>
      <c r="DS85" s="146"/>
      <c r="DT85" s="146"/>
      <c r="DU85" s="146"/>
      <c r="DV85" s="146"/>
      <c r="DW85" s="146"/>
      <c r="DX85" s="146"/>
      <c r="DY85" s="146"/>
      <c r="DZ85" s="146"/>
      <c r="EA85" s="146"/>
      <c r="EB85" s="146"/>
      <c r="EC85" s="146"/>
      <c r="ED85" s="146"/>
      <c r="EE85" s="146"/>
      <c r="EF85" s="146"/>
      <c r="EG85" s="146"/>
      <c r="EH85" s="146"/>
      <c r="EI85" s="146"/>
      <c r="EJ85" s="146"/>
      <c r="EK85" s="146"/>
      <c r="EL85" s="146"/>
      <c r="EM85" s="146"/>
      <c r="EN85" s="146"/>
      <c r="EO85" s="146"/>
      <c r="EP85" s="146"/>
      <c r="EQ85" s="146"/>
      <c r="ER85" s="146"/>
      <c r="ES85" s="146"/>
      <c r="ET85" s="146"/>
      <c r="EU85" s="146"/>
      <c r="EV85" s="146"/>
      <c r="EW85" s="146"/>
      <c r="EX85" s="146"/>
      <c r="EY85" s="146"/>
      <c r="EZ85" s="146"/>
      <c r="FA85" s="146"/>
      <c r="FB85" s="146"/>
      <c r="FC85" s="146"/>
      <c r="FD85" s="146"/>
      <c r="FE85" s="146"/>
      <c r="FF85" s="146"/>
      <c r="FG85" s="146"/>
      <c r="FH85" s="146"/>
      <c r="FI85" s="146"/>
      <c r="FJ85" s="146"/>
      <c r="FK85" s="146"/>
      <c r="FL85" s="146"/>
      <c r="FM85" s="146"/>
      <c r="FN85" s="146"/>
      <c r="FO85" s="146"/>
      <c r="FP85" s="146"/>
      <c r="FQ85" s="146"/>
      <c r="FR85" s="146"/>
      <c r="FS85" s="146"/>
      <c r="FT85" s="146"/>
      <c r="FU85" s="146"/>
      <c r="FV85" s="146"/>
      <c r="FW85" s="146"/>
      <c r="FX85" s="146"/>
      <c r="FY85" s="146"/>
      <c r="FZ85" s="146"/>
      <c r="GA85" s="146"/>
      <c r="GB85" s="146"/>
      <c r="GC85" s="146"/>
      <c r="GD85" s="146"/>
      <c r="GE85" s="146"/>
      <c r="GF85" s="146"/>
      <c r="GG85" s="146"/>
      <c r="GH85" s="146"/>
      <c r="GI85" s="146"/>
      <c r="GJ85" s="146"/>
      <c r="GK85" s="146"/>
      <c r="GL85" s="146"/>
      <c r="GM85" s="146"/>
      <c r="GN85" s="146"/>
      <c r="GO85" s="146"/>
      <c r="GP85" s="146"/>
      <c r="GQ85" s="146"/>
      <c r="GR85" s="146"/>
      <c r="GS85" s="146"/>
      <c r="GT85" s="146"/>
      <c r="GU85" s="146"/>
      <c r="GV85" s="146"/>
      <c r="GW85" s="146"/>
      <c r="GX85" s="146"/>
      <c r="GY85" s="146"/>
      <c r="GZ85" s="146"/>
      <c r="HA85" s="146"/>
      <c r="HB85" s="146"/>
      <c r="HC85" s="146"/>
      <c r="HD85" s="146"/>
      <c r="HE85" s="146"/>
      <c r="HF85" s="146"/>
      <c r="HG85" s="146"/>
      <c r="HH85" s="146"/>
      <c r="HI85" s="146"/>
      <c r="HJ85" s="146"/>
      <c r="HK85" s="146"/>
      <c r="HL85" s="146"/>
      <c r="HM85" s="146"/>
      <c r="HN85" s="146"/>
      <c r="HO85" s="146"/>
      <c r="HP85" s="146"/>
      <c r="HQ85" s="146"/>
      <c r="HR85" s="146"/>
      <c r="HS85" s="146"/>
      <c r="HT85" s="146"/>
      <c r="HU85" s="146"/>
      <c r="HV85" s="146"/>
      <c r="HW85" s="146"/>
      <c r="HX85" s="146"/>
      <c r="HY85" s="146"/>
      <c r="HZ85" s="146"/>
      <c r="IA85" s="146"/>
      <c r="IB85" s="146"/>
      <c r="IC85" s="146"/>
      <c r="ID85" s="146"/>
      <c r="IE85" s="146"/>
      <c r="IF85" s="146"/>
      <c r="IG85" s="146"/>
      <c r="IH85" s="146"/>
      <c r="II85" s="146"/>
      <c r="IJ85" s="146"/>
      <c r="IK85" s="146"/>
      <c r="IL85" s="146"/>
      <c r="IM85" s="146"/>
      <c r="IN85" s="146"/>
      <c r="IO85" s="146"/>
      <c r="IP85" s="146"/>
      <c r="IQ85" s="146"/>
      <c r="IR85" s="146"/>
      <c r="IS85" s="146"/>
    </row>
    <row r="86" spans="2:253" x14ac:dyDescent="0.3">
      <c r="B86" s="145" t="s">
        <v>326</v>
      </c>
      <c r="C86" s="146"/>
      <c r="D86" s="152"/>
      <c r="E86" s="152"/>
      <c r="F86" s="147"/>
      <c r="G86" s="147"/>
      <c r="H86" s="147"/>
      <c r="I86" s="147"/>
      <c r="J86" s="147"/>
      <c r="K86" s="147"/>
      <c r="L86" s="147"/>
      <c r="M86" s="147"/>
      <c r="N86" s="147"/>
      <c r="O86" s="147"/>
      <c r="P86" s="147"/>
      <c r="Q86" s="147"/>
      <c r="R86" s="147"/>
      <c r="S86" s="147"/>
      <c r="T86" s="147"/>
      <c r="U86" s="147"/>
      <c r="V86" s="147"/>
      <c r="W86" s="147"/>
      <c r="X86" s="147"/>
      <c r="Y86" s="147"/>
      <c r="Z86" s="147"/>
      <c r="AA86" s="147"/>
      <c r="AB86" s="147"/>
      <c r="AC86" s="147"/>
      <c r="AD86" s="147"/>
      <c r="AE86" s="147"/>
      <c r="AF86" s="147"/>
      <c r="AG86" s="147"/>
      <c r="AH86" s="147"/>
      <c r="AI86" s="147"/>
      <c r="AJ86" s="147"/>
      <c r="AK86" s="152"/>
      <c r="AL86" s="149"/>
      <c r="AM86" s="150"/>
      <c r="AN86" s="150"/>
      <c r="AO86" s="151"/>
      <c r="AP86" s="146"/>
      <c r="AQ86" s="146"/>
      <c r="AR86" s="146"/>
      <c r="AS86" s="146"/>
      <c r="AT86" s="146"/>
      <c r="AU86" s="146"/>
      <c r="AV86" s="146"/>
      <c r="AW86" s="146"/>
      <c r="AX86" s="146"/>
      <c r="AY86" s="146"/>
      <c r="AZ86" s="146"/>
      <c r="BA86" s="146"/>
      <c r="BB86" s="146"/>
      <c r="BC86" s="146"/>
      <c r="BD86" s="146"/>
      <c r="BE86" s="146"/>
      <c r="BF86" s="146"/>
      <c r="BG86" s="146"/>
      <c r="BH86" s="146"/>
      <c r="BI86" s="146"/>
      <c r="BJ86" s="146"/>
      <c r="BK86" s="146"/>
      <c r="BL86" s="146"/>
      <c r="BM86" s="146"/>
      <c r="BN86" s="146"/>
      <c r="BO86" s="146"/>
      <c r="BP86" s="146"/>
      <c r="BQ86" s="146"/>
      <c r="BR86" s="146"/>
      <c r="BS86" s="146"/>
      <c r="BT86" s="146"/>
      <c r="BU86" s="146"/>
      <c r="BV86" s="146"/>
      <c r="BW86" s="146"/>
      <c r="BX86" s="146"/>
      <c r="BY86" s="146"/>
      <c r="BZ86" s="146"/>
      <c r="CA86" s="146"/>
      <c r="CB86" s="146"/>
      <c r="CC86" s="146"/>
      <c r="CD86" s="146"/>
      <c r="CE86" s="146"/>
      <c r="CF86" s="146"/>
      <c r="CG86" s="146"/>
      <c r="CH86" s="146"/>
      <c r="CI86" s="146"/>
      <c r="CJ86" s="146"/>
      <c r="CK86" s="146"/>
      <c r="CL86" s="146"/>
      <c r="CM86" s="146"/>
      <c r="CN86" s="146"/>
      <c r="CO86" s="146"/>
      <c r="CP86" s="146"/>
      <c r="CQ86" s="146"/>
      <c r="CR86" s="146"/>
      <c r="CS86" s="146"/>
      <c r="CT86" s="146"/>
      <c r="CU86" s="146"/>
      <c r="CV86" s="146"/>
      <c r="CW86" s="146"/>
      <c r="CX86" s="146"/>
      <c r="CY86" s="146"/>
      <c r="CZ86" s="146"/>
      <c r="DA86" s="146"/>
      <c r="DB86" s="146"/>
      <c r="DC86" s="146"/>
      <c r="DD86" s="146"/>
      <c r="DE86" s="146"/>
      <c r="DF86" s="146"/>
      <c r="DG86" s="146"/>
      <c r="DH86" s="146"/>
      <c r="DI86" s="146"/>
      <c r="DJ86" s="146"/>
      <c r="DK86" s="146"/>
      <c r="DL86" s="146"/>
      <c r="DM86" s="146"/>
      <c r="DN86" s="146"/>
      <c r="DO86" s="146"/>
      <c r="DP86" s="146"/>
      <c r="DQ86" s="146"/>
      <c r="DR86" s="146"/>
      <c r="DS86" s="146"/>
      <c r="DT86" s="146"/>
      <c r="DU86" s="146"/>
      <c r="DV86" s="146"/>
      <c r="DW86" s="146"/>
      <c r="DX86" s="146"/>
      <c r="DY86" s="146"/>
      <c r="DZ86" s="146"/>
      <c r="EA86" s="146"/>
      <c r="EB86" s="146"/>
      <c r="EC86" s="146"/>
      <c r="ED86" s="146"/>
      <c r="EE86" s="146"/>
      <c r="EF86" s="146"/>
      <c r="EG86" s="146"/>
      <c r="EH86" s="146"/>
      <c r="EI86" s="146"/>
      <c r="EJ86" s="146"/>
      <c r="EK86" s="146"/>
      <c r="EL86" s="146"/>
      <c r="EM86" s="146"/>
      <c r="EN86" s="146"/>
      <c r="EO86" s="146"/>
      <c r="EP86" s="146"/>
      <c r="EQ86" s="146"/>
      <c r="ER86" s="146"/>
      <c r="ES86" s="146"/>
      <c r="ET86" s="146"/>
      <c r="EU86" s="146"/>
      <c r="EV86" s="146"/>
      <c r="EW86" s="146"/>
      <c r="EX86" s="146"/>
      <c r="EY86" s="146"/>
      <c r="EZ86" s="146"/>
      <c r="FA86" s="146"/>
      <c r="FB86" s="146"/>
      <c r="FC86" s="146"/>
      <c r="FD86" s="146"/>
      <c r="FE86" s="146"/>
      <c r="FF86" s="146"/>
      <c r="FG86" s="146"/>
      <c r="FH86" s="146"/>
      <c r="FI86" s="146"/>
      <c r="FJ86" s="146"/>
      <c r="FK86" s="146"/>
      <c r="FL86" s="146"/>
      <c r="FM86" s="146"/>
      <c r="FN86" s="146"/>
      <c r="FO86" s="146"/>
      <c r="FP86" s="146"/>
      <c r="FQ86" s="146"/>
      <c r="FR86" s="146"/>
      <c r="FS86" s="146"/>
      <c r="FT86" s="146"/>
      <c r="FU86" s="146"/>
      <c r="FV86" s="146"/>
      <c r="FW86" s="146"/>
      <c r="FX86" s="146"/>
      <c r="FY86" s="146"/>
      <c r="FZ86" s="146"/>
      <c r="GA86" s="146"/>
      <c r="GB86" s="146"/>
      <c r="GC86" s="146"/>
      <c r="GD86" s="146"/>
      <c r="GE86" s="146"/>
      <c r="GF86" s="146"/>
      <c r="GG86" s="146"/>
      <c r="GH86" s="146"/>
      <c r="GI86" s="146"/>
      <c r="GJ86" s="146"/>
      <c r="GK86" s="146"/>
      <c r="GL86" s="146"/>
      <c r="GM86" s="146"/>
      <c r="GN86" s="146"/>
      <c r="GO86" s="146"/>
      <c r="GP86" s="146"/>
      <c r="GQ86" s="146"/>
      <c r="GR86" s="146"/>
      <c r="GS86" s="146"/>
      <c r="GT86" s="146"/>
      <c r="GU86" s="146"/>
      <c r="GV86" s="146"/>
      <c r="GW86" s="146"/>
      <c r="GX86" s="146"/>
      <c r="GY86" s="146"/>
      <c r="GZ86" s="146"/>
      <c r="HA86" s="146"/>
      <c r="HB86" s="146"/>
      <c r="HC86" s="146"/>
      <c r="HD86" s="146"/>
      <c r="HE86" s="146"/>
      <c r="HF86" s="146"/>
      <c r="HG86" s="146"/>
      <c r="HH86" s="146"/>
      <c r="HI86" s="146"/>
      <c r="HJ86" s="146"/>
      <c r="HK86" s="146"/>
      <c r="HL86" s="146"/>
      <c r="HM86" s="146"/>
      <c r="HN86" s="146"/>
      <c r="HO86" s="146"/>
      <c r="HP86" s="146"/>
      <c r="HQ86" s="146"/>
      <c r="HR86" s="146"/>
      <c r="HS86" s="146"/>
      <c r="HT86" s="146"/>
      <c r="HU86" s="146"/>
      <c r="HV86" s="146"/>
      <c r="HW86" s="146"/>
      <c r="HX86" s="146"/>
      <c r="HY86" s="146"/>
      <c r="HZ86" s="146"/>
      <c r="IA86" s="146"/>
      <c r="IB86" s="146"/>
      <c r="IC86" s="146"/>
      <c r="ID86" s="146"/>
      <c r="IE86" s="146"/>
      <c r="IF86" s="146"/>
      <c r="IG86" s="146"/>
      <c r="IH86" s="146"/>
      <c r="II86" s="146"/>
      <c r="IJ86" s="146"/>
      <c r="IK86" s="146"/>
      <c r="IL86" s="146"/>
      <c r="IM86" s="146"/>
      <c r="IN86" s="146"/>
      <c r="IO86" s="146"/>
      <c r="IP86" s="146"/>
      <c r="IQ86" s="146"/>
      <c r="IR86" s="146"/>
      <c r="IS86" s="146"/>
    </row>
    <row r="87" spans="2:253" x14ac:dyDescent="0.3">
      <c r="C87" s="146"/>
      <c r="D87" s="146"/>
      <c r="E87" s="147"/>
      <c r="F87" s="147"/>
      <c r="G87" s="147"/>
      <c r="H87" s="147"/>
      <c r="I87" s="147"/>
      <c r="J87" s="147"/>
      <c r="K87" s="147"/>
      <c r="L87" s="147"/>
      <c r="M87" s="147"/>
      <c r="N87" s="147"/>
      <c r="O87" s="147"/>
      <c r="P87" s="147"/>
      <c r="Q87" s="147"/>
      <c r="R87" s="147"/>
      <c r="S87" s="147"/>
      <c r="T87" s="147"/>
      <c r="U87" s="147"/>
      <c r="V87" s="147"/>
      <c r="W87" s="147"/>
      <c r="X87" s="147"/>
      <c r="Y87" s="147"/>
      <c r="Z87" s="147"/>
      <c r="AA87" s="147"/>
      <c r="AB87" s="147"/>
      <c r="AC87" s="147"/>
      <c r="AD87" s="147"/>
      <c r="AE87" s="147"/>
      <c r="AF87" s="147"/>
      <c r="AG87" s="147"/>
      <c r="AH87" s="147"/>
      <c r="AI87" s="147"/>
      <c r="AJ87" s="147"/>
      <c r="AK87" s="152"/>
      <c r="AL87" s="149"/>
      <c r="AM87" s="150"/>
      <c r="AN87" s="150"/>
      <c r="AO87" s="151"/>
      <c r="AP87" s="146"/>
      <c r="AQ87" s="146"/>
      <c r="AR87" s="146"/>
      <c r="AS87" s="146"/>
      <c r="AT87" s="146"/>
      <c r="AU87" s="146"/>
      <c r="AV87" s="146"/>
      <c r="AW87" s="146"/>
      <c r="AX87" s="146"/>
      <c r="AY87" s="146"/>
      <c r="AZ87" s="146"/>
      <c r="BA87" s="146"/>
      <c r="BB87" s="146"/>
      <c r="BC87" s="146"/>
      <c r="BD87" s="146"/>
      <c r="BE87" s="146"/>
      <c r="BF87" s="146"/>
      <c r="BG87" s="146"/>
      <c r="BH87" s="146"/>
      <c r="BI87" s="146"/>
      <c r="BJ87" s="146"/>
      <c r="BK87" s="146"/>
      <c r="BL87" s="146"/>
      <c r="BM87" s="146"/>
      <c r="BN87" s="146"/>
      <c r="BO87" s="146"/>
      <c r="BP87" s="146"/>
      <c r="BQ87" s="146"/>
      <c r="BR87" s="146"/>
      <c r="BS87" s="146"/>
      <c r="BT87" s="146"/>
      <c r="BU87" s="146"/>
      <c r="BV87" s="146"/>
      <c r="BW87" s="146"/>
      <c r="BX87" s="146"/>
      <c r="BY87" s="146"/>
      <c r="BZ87" s="146"/>
      <c r="CA87" s="146"/>
      <c r="CB87" s="146"/>
      <c r="CC87" s="146"/>
      <c r="CD87" s="146"/>
      <c r="CE87" s="146"/>
      <c r="CF87" s="146"/>
      <c r="CG87" s="146"/>
      <c r="CH87" s="146"/>
      <c r="CI87" s="146"/>
      <c r="CJ87" s="146"/>
      <c r="CK87" s="146"/>
      <c r="CL87" s="146"/>
      <c r="CM87" s="146"/>
      <c r="CN87" s="146"/>
      <c r="CO87" s="146"/>
      <c r="CP87" s="146"/>
      <c r="CQ87" s="146"/>
      <c r="CR87" s="146"/>
      <c r="CS87" s="146"/>
      <c r="CT87" s="146"/>
      <c r="CU87" s="146"/>
      <c r="CV87" s="146"/>
      <c r="CW87" s="146"/>
      <c r="CX87" s="146"/>
      <c r="CY87" s="146"/>
      <c r="CZ87" s="146"/>
      <c r="DA87" s="146"/>
      <c r="DB87" s="146"/>
      <c r="DC87" s="146"/>
      <c r="DD87" s="146"/>
      <c r="DE87" s="146"/>
      <c r="DF87" s="146"/>
      <c r="DG87" s="146"/>
      <c r="DH87" s="146"/>
      <c r="DI87" s="146"/>
      <c r="DJ87" s="146"/>
      <c r="DK87" s="146"/>
      <c r="DL87" s="146"/>
      <c r="DM87" s="146"/>
      <c r="DN87" s="146"/>
      <c r="DO87" s="146"/>
      <c r="DP87" s="146"/>
      <c r="DQ87" s="146"/>
      <c r="DR87" s="146"/>
      <c r="DS87" s="146"/>
      <c r="DT87" s="146"/>
      <c r="DU87" s="146"/>
      <c r="DV87" s="146"/>
      <c r="DW87" s="146"/>
      <c r="DX87" s="146"/>
      <c r="DY87" s="146"/>
      <c r="DZ87" s="146"/>
      <c r="EA87" s="146"/>
      <c r="EB87" s="146"/>
      <c r="EC87" s="146"/>
      <c r="ED87" s="146"/>
      <c r="EE87" s="146"/>
      <c r="EF87" s="146"/>
      <c r="EG87" s="146"/>
      <c r="EH87" s="146"/>
      <c r="EI87" s="146"/>
      <c r="EJ87" s="146"/>
      <c r="EK87" s="146"/>
      <c r="EL87" s="146"/>
      <c r="EM87" s="146"/>
      <c r="EN87" s="146"/>
      <c r="EO87" s="146"/>
      <c r="EP87" s="146"/>
      <c r="EQ87" s="146"/>
      <c r="ER87" s="146"/>
      <c r="ES87" s="146"/>
      <c r="ET87" s="146"/>
      <c r="EU87" s="146"/>
      <c r="EV87" s="146"/>
      <c r="EW87" s="146"/>
      <c r="EX87" s="146"/>
      <c r="EY87" s="146"/>
      <c r="EZ87" s="146"/>
      <c r="FA87" s="146"/>
      <c r="FB87" s="146"/>
      <c r="FC87" s="146"/>
      <c r="FD87" s="146"/>
      <c r="FE87" s="146"/>
      <c r="FF87" s="146"/>
      <c r="FG87" s="146"/>
      <c r="FH87" s="146"/>
      <c r="FI87" s="146"/>
      <c r="FJ87" s="146"/>
      <c r="FK87" s="146"/>
      <c r="FL87" s="146"/>
      <c r="FM87" s="146"/>
      <c r="FN87" s="146"/>
      <c r="FO87" s="146"/>
      <c r="FP87" s="146"/>
      <c r="FQ87" s="146"/>
      <c r="FR87" s="146"/>
      <c r="FS87" s="146"/>
      <c r="FT87" s="146"/>
      <c r="FU87" s="146"/>
      <c r="FV87" s="146"/>
      <c r="FW87" s="146"/>
      <c r="FX87" s="146"/>
      <c r="FY87" s="146"/>
      <c r="FZ87" s="146"/>
      <c r="GA87" s="146"/>
      <c r="GB87" s="146"/>
      <c r="GC87" s="146"/>
      <c r="GD87" s="146"/>
      <c r="GE87" s="146"/>
      <c r="GF87" s="146"/>
      <c r="GG87" s="146"/>
      <c r="GH87" s="146"/>
      <c r="GI87" s="146"/>
      <c r="GJ87" s="146"/>
      <c r="GK87" s="146"/>
      <c r="GL87" s="146"/>
      <c r="GM87" s="146"/>
      <c r="GN87" s="146"/>
      <c r="GO87" s="146"/>
      <c r="GP87" s="146"/>
      <c r="GQ87" s="146"/>
      <c r="GR87" s="146"/>
      <c r="GS87" s="146"/>
      <c r="GT87" s="146"/>
      <c r="GU87" s="146"/>
      <c r="GV87" s="146"/>
      <c r="GW87" s="146"/>
      <c r="GX87" s="146"/>
      <c r="GY87" s="146"/>
      <c r="GZ87" s="146"/>
      <c r="HA87" s="146"/>
      <c r="HB87" s="146"/>
      <c r="HC87" s="146"/>
      <c r="HD87" s="146"/>
      <c r="HE87" s="146"/>
      <c r="HF87" s="146"/>
      <c r="HG87" s="146"/>
      <c r="HH87" s="146"/>
      <c r="HI87" s="146"/>
      <c r="HJ87" s="146"/>
      <c r="HK87" s="146"/>
      <c r="HL87" s="146"/>
      <c r="HM87" s="146"/>
      <c r="HN87" s="146"/>
      <c r="HO87" s="146"/>
      <c r="HP87" s="146"/>
      <c r="HQ87" s="146"/>
      <c r="HR87" s="146"/>
      <c r="HS87" s="146"/>
      <c r="HT87" s="146"/>
      <c r="HU87" s="146"/>
      <c r="HV87" s="146"/>
      <c r="HW87" s="146"/>
      <c r="HX87" s="146"/>
      <c r="HY87" s="146"/>
      <c r="HZ87" s="146"/>
      <c r="IA87" s="146"/>
      <c r="IB87" s="146"/>
      <c r="IC87" s="146"/>
      <c r="ID87" s="146"/>
      <c r="IE87" s="146"/>
      <c r="IF87" s="146"/>
      <c r="IG87" s="146"/>
      <c r="IH87" s="146"/>
      <c r="II87" s="146"/>
      <c r="IJ87" s="146"/>
      <c r="IK87" s="146"/>
      <c r="IL87" s="146"/>
      <c r="IM87" s="146"/>
      <c r="IN87" s="146"/>
      <c r="IO87" s="146"/>
      <c r="IP87" s="146"/>
      <c r="IQ87" s="146"/>
      <c r="IR87" s="146"/>
      <c r="IS87" s="146"/>
    </row>
    <row r="88" spans="2:253" x14ac:dyDescent="0.3">
      <c r="B88" s="145"/>
      <c r="C88" s="146"/>
      <c r="D88" s="146"/>
      <c r="E88" s="147"/>
      <c r="F88" s="147"/>
      <c r="G88" s="147"/>
      <c r="H88" s="147"/>
      <c r="I88" s="147"/>
      <c r="J88" s="147"/>
      <c r="K88" s="147"/>
      <c r="L88" s="147"/>
      <c r="M88" s="147"/>
      <c r="N88" s="147"/>
      <c r="O88" s="147"/>
      <c r="P88" s="147"/>
      <c r="Q88" s="147"/>
      <c r="R88" s="147"/>
      <c r="S88" s="147"/>
      <c r="T88" s="147"/>
      <c r="U88" s="147"/>
      <c r="V88" s="147"/>
      <c r="W88" s="147"/>
      <c r="X88" s="147"/>
      <c r="Y88" s="147"/>
      <c r="Z88" s="147"/>
      <c r="AA88" s="147"/>
      <c r="AB88" s="147"/>
      <c r="AC88" s="147"/>
      <c r="AD88" s="147"/>
      <c r="AE88" s="147"/>
      <c r="AF88" s="147"/>
      <c r="AG88" s="147"/>
      <c r="AH88" s="147"/>
      <c r="AI88" s="147"/>
      <c r="AJ88" s="147"/>
      <c r="AK88" s="152"/>
      <c r="AL88" s="149"/>
      <c r="AM88" s="150"/>
      <c r="AN88" s="150"/>
      <c r="AO88" s="151"/>
      <c r="AP88" s="139"/>
      <c r="AQ88" s="139"/>
      <c r="AR88" s="139"/>
      <c r="AS88" s="139"/>
      <c r="AT88" s="139"/>
      <c r="AU88" s="139"/>
      <c r="AV88" s="139"/>
      <c r="AW88" s="139"/>
      <c r="AX88" s="139"/>
      <c r="AY88" s="139"/>
      <c r="AZ88" s="139"/>
      <c r="BA88" s="139"/>
      <c r="BB88" s="139"/>
      <c r="BC88" s="139"/>
      <c r="BD88" s="139"/>
      <c r="BE88" s="139"/>
      <c r="BF88" s="139"/>
      <c r="BG88" s="139"/>
      <c r="BH88" s="139"/>
      <c r="BI88" s="139"/>
      <c r="BJ88" s="139"/>
      <c r="BK88" s="139"/>
      <c r="BL88" s="139"/>
      <c r="BM88" s="139"/>
      <c r="BN88" s="139"/>
      <c r="BO88" s="139"/>
      <c r="BP88" s="139"/>
      <c r="BQ88" s="139"/>
      <c r="BR88" s="139"/>
      <c r="BS88" s="139"/>
      <c r="BT88" s="139"/>
      <c r="BU88" s="139"/>
      <c r="BV88" s="139"/>
      <c r="BW88" s="139"/>
      <c r="BX88" s="139"/>
      <c r="BY88" s="139"/>
      <c r="BZ88" s="139"/>
      <c r="CA88" s="139"/>
      <c r="CB88" s="139"/>
      <c r="CC88" s="139"/>
      <c r="CD88" s="139"/>
      <c r="CE88" s="139"/>
      <c r="CF88" s="139"/>
      <c r="CG88" s="139"/>
      <c r="CH88" s="139"/>
      <c r="CI88" s="139"/>
      <c r="CJ88" s="139"/>
      <c r="CK88" s="139"/>
      <c r="CL88" s="139"/>
      <c r="CM88" s="139"/>
      <c r="CN88" s="139"/>
      <c r="CO88" s="139"/>
      <c r="CP88" s="139"/>
      <c r="CQ88" s="139"/>
      <c r="CR88" s="139"/>
      <c r="CS88" s="139"/>
      <c r="CT88" s="139"/>
      <c r="CU88" s="139"/>
      <c r="CV88" s="139"/>
      <c r="CW88" s="139"/>
      <c r="CX88" s="139"/>
      <c r="CY88" s="139"/>
      <c r="CZ88" s="139"/>
      <c r="DA88" s="139"/>
      <c r="DB88" s="139"/>
      <c r="DC88" s="139"/>
      <c r="DD88" s="139"/>
      <c r="DE88" s="139"/>
      <c r="DF88" s="139"/>
      <c r="DG88" s="139"/>
      <c r="DH88" s="139"/>
      <c r="DI88" s="139"/>
      <c r="DJ88" s="139"/>
      <c r="DK88" s="139"/>
      <c r="DL88" s="139"/>
      <c r="DM88" s="139"/>
      <c r="DN88" s="139"/>
      <c r="DO88" s="139"/>
      <c r="DP88" s="139"/>
      <c r="DQ88" s="139"/>
      <c r="DR88" s="139"/>
      <c r="DS88" s="139"/>
      <c r="DT88" s="139"/>
      <c r="DU88" s="139"/>
      <c r="DV88" s="139"/>
      <c r="DW88" s="139"/>
      <c r="DX88" s="139"/>
      <c r="DY88" s="139"/>
      <c r="DZ88" s="139"/>
      <c r="EA88" s="139"/>
      <c r="EB88" s="139"/>
      <c r="EC88" s="139"/>
      <c r="ED88" s="139"/>
      <c r="EE88" s="139"/>
      <c r="EF88" s="139"/>
      <c r="EG88" s="139"/>
      <c r="EH88" s="139"/>
      <c r="EI88" s="139"/>
      <c r="EJ88" s="139"/>
      <c r="EK88" s="139"/>
      <c r="EL88" s="139"/>
      <c r="EM88" s="139"/>
      <c r="EN88" s="139"/>
      <c r="EO88" s="139"/>
      <c r="EP88" s="139"/>
      <c r="EQ88" s="139"/>
      <c r="ER88" s="139"/>
      <c r="ES88" s="139"/>
      <c r="ET88" s="139"/>
      <c r="EU88" s="139"/>
      <c r="EV88" s="139"/>
      <c r="EW88" s="139"/>
      <c r="EX88" s="139"/>
      <c r="EY88" s="139"/>
      <c r="EZ88" s="139"/>
      <c r="FA88" s="139"/>
      <c r="FB88" s="139"/>
      <c r="FC88" s="139"/>
      <c r="FD88" s="139"/>
      <c r="FE88" s="139"/>
      <c r="FF88" s="139"/>
      <c r="FG88" s="139"/>
      <c r="FH88" s="139"/>
      <c r="FI88" s="139"/>
      <c r="FJ88" s="139"/>
      <c r="FK88" s="139"/>
      <c r="FL88" s="139"/>
      <c r="FM88" s="139"/>
      <c r="FN88" s="139"/>
      <c r="FO88" s="139"/>
      <c r="FP88" s="139"/>
      <c r="FQ88" s="139"/>
      <c r="FR88" s="139"/>
      <c r="FS88" s="139"/>
      <c r="FT88" s="139"/>
      <c r="FU88" s="139"/>
      <c r="FV88" s="139"/>
      <c r="FW88" s="139"/>
      <c r="FX88" s="139"/>
      <c r="FY88" s="139"/>
      <c r="FZ88" s="139"/>
      <c r="GA88" s="139"/>
      <c r="GB88" s="139"/>
      <c r="GC88" s="139"/>
      <c r="GD88" s="139"/>
      <c r="GE88" s="139"/>
      <c r="GF88" s="139"/>
      <c r="GG88" s="139"/>
      <c r="GH88" s="139"/>
      <c r="GI88" s="139"/>
      <c r="GJ88" s="139"/>
      <c r="GK88" s="139"/>
      <c r="GL88" s="139"/>
      <c r="GM88" s="139"/>
      <c r="GN88" s="139"/>
      <c r="GO88" s="139"/>
      <c r="GP88" s="139"/>
      <c r="GQ88" s="139"/>
      <c r="GR88" s="139"/>
      <c r="GS88" s="139"/>
      <c r="GT88" s="139"/>
      <c r="GU88" s="139"/>
      <c r="GV88" s="139"/>
      <c r="GW88" s="139"/>
      <c r="GX88" s="139"/>
      <c r="GY88" s="139"/>
      <c r="GZ88" s="139"/>
      <c r="HA88" s="139"/>
      <c r="HB88" s="139"/>
      <c r="HC88" s="139"/>
      <c r="HD88" s="139"/>
      <c r="HE88" s="139"/>
      <c r="HF88" s="139"/>
      <c r="HG88" s="139"/>
      <c r="HH88" s="139"/>
      <c r="HI88" s="139"/>
      <c r="HJ88" s="139"/>
      <c r="HK88" s="139"/>
      <c r="HL88" s="139"/>
      <c r="HM88" s="139"/>
      <c r="HN88" s="139"/>
      <c r="HO88" s="139"/>
      <c r="HP88" s="139"/>
      <c r="HQ88" s="139"/>
      <c r="HR88" s="139"/>
      <c r="HS88" s="139"/>
      <c r="HT88" s="139"/>
      <c r="HU88" s="139"/>
      <c r="HV88" s="139"/>
      <c r="HW88" s="139"/>
      <c r="HX88" s="139"/>
      <c r="HY88" s="139"/>
      <c r="HZ88" s="139"/>
      <c r="IA88" s="139"/>
      <c r="IB88" s="139"/>
      <c r="IC88" s="139"/>
      <c r="ID88" s="139"/>
      <c r="IE88" s="139"/>
      <c r="IF88" s="139"/>
      <c r="IG88" s="139"/>
      <c r="IH88" s="139"/>
      <c r="II88" s="139"/>
      <c r="IJ88" s="139"/>
      <c r="IK88" s="139"/>
      <c r="IL88" s="139"/>
      <c r="IM88" s="139"/>
      <c r="IN88" s="139"/>
      <c r="IO88" s="139"/>
      <c r="IP88" s="139"/>
      <c r="IQ88" s="139"/>
      <c r="IR88" s="139"/>
      <c r="IS88" s="139"/>
    </row>
    <row r="89" spans="2:253" ht="21" x14ac:dyDescent="0.3">
      <c r="B89" s="567" t="s">
        <v>327</v>
      </c>
      <c r="D89" s="139"/>
      <c r="E89" s="139"/>
      <c r="F89" s="139"/>
      <c r="G89" s="139"/>
      <c r="H89" s="139"/>
      <c r="I89" s="139"/>
      <c r="J89" s="139"/>
      <c r="K89" s="139"/>
      <c r="L89" s="139"/>
      <c r="M89" s="139"/>
      <c r="N89" s="139"/>
      <c r="O89" s="139"/>
      <c r="P89" s="139"/>
      <c r="Q89" s="139"/>
      <c r="R89" s="139"/>
      <c r="S89" s="139"/>
      <c r="T89" s="139"/>
      <c r="U89" s="139"/>
      <c r="V89" s="139"/>
      <c r="W89" s="139"/>
      <c r="X89" s="139"/>
      <c r="Y89" s="139"/>
      <c r="Z89" s="144"/>
      <c r="AA89" s="139"/>
      <c r="AB89" s="139"/>
      <c r="AC89" s="139"/>
      <c r="AD89" s="139"/>
      <c r="AE89" s="139"/>
      <c r="AF89" s="139"/>
      <c r="AG89" s="139"/>
      <c r="AH89" s="139"/>
      <c r="AI89" s="139"/>
      <c r="AJ89" s="139"/>
      <c r="AK89" s="139"/>
      <c r="AL89" s="139"/>
      <c r="AM89" s="139"/>
      <c r="AN89" s="139"/>
      <c r="AO89" s="139"/>
      <c r="AP89" s="139"/>
      <c r="AQ89" s="139"/>
      <c r="AR89" s="139"/>
      <c r="AS89" s="139"/>
      <c r="AT89" s="139"/>
      <c r="AU89" s="139"/>
      <c r="AV89" s="139"/>
      <c r="AW89" s="139"/>
      <c r="AX89" s="139"/>
      <c r="AY89" s="139"/>
      <c r="AZ89" s="139"/>
      <c r="BA89" s="139"/>
      <c r="BB89" s="139"/>
      <c r="BC89" s="139"/>
      <c r="BD89" s="139"/>
      <c r="BE89" s="139"/>
      <c r="BF89" s="139"/>
      <c r="BG89" s="139"/>
      <c r="BH89" s="139"/>
      <c r="BI89" s="139"/>
      <c r="BJ89" s="139"/>
      <c r="BK89" s="139"/>
      <c r="BL89" s="139"/>
      <c r="BM89" s="139"/>
      <c r="BN89" s="139"/>
      <c r="BO89" s="139"/>
      <c r="BP89" s="139"/>
      <c r="BQ89" s="139"/>
      <c r="BR89" s="139"/>
      <c r="BS89" s="139"/>
      <c r="BT89" s="139"/>
      <c r="BU89" s="139"/>
      <c r="BV89" s="139"/>
      <c r="BW89" s="139"/>
      <c r="BX89" s="139"/>
      <c r="BY89" s="139"/>
      <c r="BZ89" s="139"/>
      <c r="CA89" s="139"/>
      <c r="CB89" s="139"/>
      <c r="CC89" s="139"/>
      <c r="CD89" s="139"/>
      <c r="CE89" s="139"/>
      <c r="CF89" s="139"/>
      <c r="CG89" s="139"/>
      <c r="CH89" s="139"/>
      <c r="CI89" s="139"/>
      <c r="CJ89" s="139"/>
      <c r="CK89" s="139"/>
      <c r="CL89" s="139"/>
      <c r="CM89" s="139"/>
      <c r="CN89" s="139"/>
      <c r="CO89" s="139"/>
      <c r="CP89" s="139"/>
      <c r="CQ89" s="139"/>
      <c r="CR89" s="139"/>
      <c r="CS89" s="139"/>
      <c r="CT89" s="139"/>
      <c r="CU89" s="139"/>
      <c r="CV89" s="139"/>
      <c r="CW89" s="139"/>
      <c r="CX89" s="139"/>
      <c r="CY89" s="139"/>
      <c r="CZ89" s="139"/>
      <c r="DA89" s="139"/>
      <c r="DB89" s="139"/>
      <c r="DC89" s="139"/>
      <c r="DD89" s="139"/>
      <c r="DE89" s="139"/>
      <c r="DF89" s="139"/>
      <c r="DG89" s="139"/>
      <c r="DH89" s="139"/>
      <c r="DI89" s="139"/>
      <c r="DJ89" s="139"/>
      <c r="DK89" s="139"/>
      <c r="DL89" s="139"/>
      <c r="DM89" s="139"/>
      <c r="DN89" s="139"/>
      <c r="DO89" s="139"/>
      <c r="DP89" s="139"/>
      <c r="DQ89" s="139"/>
      <c r="DR89" s="139"/>
      <c r="DS89" s="139"/>
      <c r="DT89" s="139"/>
      <c r="DU89" s="139"/>
      <c r="DV89" s="139"/>
      <c r="DW89" s="139"/>
      <c r="DX89" s="139"/>
      <c r="DY89" s="139"/>
      <c r="DZ89" s="139"/>
      <c r="EA89" s="139"/>
      <c r="EB89" s="139"/>
      <c r="EC89" s="139"/>
      <c r="ED89" s="139"/>
      <c r="EE89" s="139"/>
      <c r="EF89" s="139"/>
      <c r="EG89" s="139"/>
      <c r="EH89" s="139"/>
      <c r="EI89" s="139"/>
      <c r="EJ89" s="139"/>
      <c r="EK89" s="139"/>
      <c r="EL89" s="139"/>
      <c r="EM89" s="139"/>
      <c r="EN89" s="139"/>
      <c r="EO89" s="139"/>
      <c r="EP89" s="139"/>
      <c r="EQ89" s="139"/>
      <c r="ER89" s="139"/>
      <c r="ES89" s="139"/>
      <c r="ET89" s="139"/>
      <c r="EU89" s="139"/>
      <c r="EV89" s="139"/>
      <c r="EW89" s="139"/>
      <c r="EX89" s="139"/>
      <c r="EY89" s="139"/>
      <c r="EZ89" s="139"/>
      <c r="FA89" s="139"/>
      <c r="FB89" s="139"/>
      <c r="FC89" s="139"/>
      <c r="FD89" s="139"/>
      <c r="FE89" s="139"/>
      <c r="FF89" s="139"/>
      <c r="FG89" s="139"/>
      <c r="FH89" s="139"/>
      <c r="FI89" s="139"/>
      <c r="FJ89" s="139"/>
      <c r="FK89" s="139"/>
      <c r="FL89" s="139"/>
      <c r="FM89" s="139"/>
      <c r="FN89" s="139"/>
      <c r="FO89" s="139"/>
      <c r="FP89" s="139"/>
      <c r="FQ89" s="139"/>
      <c r="FR89" s="139"/>
      <c r="FS89" s="139"/>
      <c r="FT89" s="139"/>
      <c r="FU89" s="139"/>
      <c r="FV89" s="139"/>
      <c r="FW89" s="139"/>
      <c r="FX89" s="139"/>
      <c r="FY89" s="139"/>
      <c r="FZ89" s="139"/>
      <c r="GA89" s="139"/>
      <c r="GB89" s="139"/>
      <c r="GC89" s="139"/>
      <c r="GD89" s="139"/>
      <c r="GE89" s="139"/>
      <c r="GF89" s="139"/>
      <c r="GG89" s="139"/>
      <c r="GH89" s="139"/>
      <c r="GI89" s="139"/>
      <c r="GJ89" s="139"/>
      <c r="GK89" s="139"/>
      <c r="GL89" s="139"/>
      <c r="GM89" s="139"/>
      <c r="GN89" s="139"/>
      <c r="GO89" s="139"/>
      <c r="GP89" s="139"/>
      <c r="GQ89" s="139"/>
      <c r="GR89" s="139"/>
      <c r="GS89" s="139"/>
      <c r="GT89" s="139"/>
      <c r="GU89" s="139"/>
      <c r="GV89" s="139"/>
      <c r="GW89" s="139"/>
      <c r="GX89" s="139"/>
      <c r="GY89" s="139"/>
      <c r="GZ89" s="139"/>
      <c r="HA89" s="139"/>
      <c r="HB89" s="139"/>
      <c r="HC89" s="139"/>
      <c r="HD89" s="139"/>
      <c r="HE89" s="139"/>
      <c r="HF89" s="139"/>
      <c r="HG89" s="139"/>
      <c r="HH89" s="139"/>
      <c r="HI89" s="139"/>
      <c r="HJ89" s="139"/>
      <c r="HK89" s="139"/>
      <c r="HL89" s="139"/>
      <c r="HM89" s="139"/>
      <c r="HN89" s="139"/>
      <c r="HO89" s="139"/>
      <c r="HP89" s="139"/>
      <c r="HQ89" s="139"/>
      <c r="HR89" s="139"/>
      <c r="HS89" s="139"/>
      <c r="HT89" s="139"/>
      <c r="HU89" s="139"/>
      <c r="HV89" s="139"/>
      <c r="HW89" s="139"/>
      <c r="HX89" s="139"/>
      <c r="HY89" s="139"/>
      <c r="HZ89" s="139"/>
      <c r="IA89" s="139"/>
      <c r="IB89" s="139"/>
      <c r="IC89" s="139"/>
      <c r="ID89" s="139"/>
      <c r="IE89" s="139"/>
      <c r="IF89" s="139"/>
      <c r="IG89" s="139"/>
      <c r="IH89" s="139"/>
      <c r="II89" s="139"/>
      <c r="IJ89" s="139"/>
      <c r="IK89" s="139"/>
      <c r="IL89" s="139"/>
      <c r="IM89" s="139"/>
      <c r="IN89" s="139"/>
      <c r="IO89" s="139"/>
      <c r="IP89" s="139"/>
      <c r="IQ89" s="139"/>
      <c r="IR89" s="139"/>
      <c r="IS89" s="139"/>
    </row>
    <row r="90" spans="2:253" ht="15" thickBot="1" x14ac:dyDescent="0.35">
      <c r="B90" s="139"/>
      <c r="C90" s="139"/>
      <c r="D90" s="139"/>
      <c r="E90" s="153"/>
      <c r="F90" s="153"/>
      <c r="G90" s="153"/>
      <c r="H90" s="153"/>
      <c r="I90" s="153"/>
      <c r="J90" s="153"/>
      <c r="K90" s="153"/>
      <c r="L90" s="153"/>
      <c r="M90" s="153"/>
      <c r="N90" s="153"/>
      <c r="O90" s="153"/>
      <c r="P90" s="153"/>
      <c r="Q90" s="153"/>
      <c r="R90" s="153"/>
      <c r="S90" s="153"/>
      <c r="T90" s="153"/>
      <c r="U90" s="153"/>
      <c r="V90" s="153"/>
      <c r="W90" s="153"/>
      <c r="X90" s="153"/>
      <c r="Y90" s="153"/>
      <c r="Z90" s="153"/>
      <c r="AA90" s="153"/>
      <c r="AB90" s="153"/>
      <c r="AC90" s="153"/>
      <c r="AD90" s="153"/>
      <c r="AE90" s="153"/>
      <c r="AF90" s="153"/>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c r="BJ90" s="139"/>
      <c r="BK90" s="139"/>
      <c r="BL90" s="139"/>
      <c r="BM90" s="139"/>
      <c r="BN90" s="139"/>
      <c r="BO90" s="139"/>
      <c r="BP90" s="139"/>
      <c r="BQ90" s="139"/>
      <c r="BR90" s="139"/>
      <c r="BS90" s="139"/>
      <c r="BT90" s="139"/>
      <c r="BU90" s="139"/>
      <c r="BV90" s="139"/>
      <c r="BW90" s="139"/>
      <c r="BX90" s="139"/>
      <c r="BY90" s="139"/>
      <c r="BZ90" s="139"/>
      <c r="CA90" s="139"/>
      <c r="CB90" s="139"/>
      <c r="CC90" s="139"/>
      <c r="CD90" s="139"/>
      <c r="CE90" s="139"/>
      <c r="CF90" s="139"/>
      <c r="CG90" s="139"/>
      <c r="CH90" s="139"/>
      <c r="CI90" s="139"/>
      <c r="CJ90" s="139"/>
      <c r="CK90" s="139"/>
      <c r="CL90" s="139"/>
      <c r="CM90" s="139"/>
      <c r="CN90" s="139"/>
      <c r="CO90" s="139"/>
      <c r="CP90" s="139"/>
      <c r="CQ90" s="139"/>
      <c r="CR90" s="139"/>
      <c r="CS90" s="139"/>
      <c r="CT90" s="139"/>
      <c r="CU90" s="139"/>
      <c r="CV90" s="139"/>
      <c r="CW90" s="139"/>
      <c r="CX90" s="139"/>
      <c r="CY90" s="139"/>
      <c r="CZ90" s="139"/>
      <c r="DA90" s="139"/>
      <c r="DB90" s="139"/>
      <c r="DC90" s="139"/>
      <c r="DD90" s="139"/>
      <c r="DE90" s="139"/>
      <c r="DF90" s="139"/>
      <c r="DG90" s="139"/>
      <c r="DH90" s="139"/>
      <c r="DI90" s="139"/>
      <c r="DJ90" s="139"/>
      <c r="DK90" s="139"/>
      <c r="DL90" s="139"/>
      <c r="DM90" s="139"/>
      <c r="DN90" s="139"/>
      <c r="DO90" s="139"/>
      <c r="DP90" s="139"/>
      <c r="DQ90" s="139"/>
      <c r="DR90" s="139"/>
      <c r="DS90" s="139"/>
      <c r="DT90" s="139"/>
      <c r="DU90" s="139"/>
      <c r="DV90" s="139"/>
      <c r="DW90" s="139"/>
      <c r="DX90" s="139"/>
      <c r="DY90" s="139"/>
      <c r="DZ90" s="139"/>
      <c r="EA90" s="139"/>
      <c r="EB90" s="139"/>
      <c r="EC90" s="139"/>
      <c r="ED90" s="139"/>
      <c r="EE90" s="139"/>
      <c r="EF90" s="139"/>
      <c r="EG90" s="139"/>
      <c r="EH90" s="139"/>
      <c r="EI90" s="139"/>
      <c r="EJ90" s="139"/>
      <c r="EK90" s="139"/>
      <c r="EL90" s="139"/>
      <c r="EM90" s="139"/>
      <c r="EN90" s="139"/>
      <c r="EO90" s="139"/>
      <c r="EP90" s="139"/>
      <c r="EQ90" s="139"/>
      <c r="ER90" s="139"/>
      <c r="ES90" s="139"/>
      <c r="ET90" s="139"/>
      <c r="EU90" s="139"/>
      <c r="EV90" s="139"/>
      <c r="EW90" s="139"/>
      <c r="EX90" s="139"/>
      <c r="EY90" s="139"/>
      <c r="EZ90" s="139"/>
      <c r="FA90" s="139"/>
      <c r="FB90" s="139"/>
      <c r="FC90" s="139"/>
      <c r="FD90" s="139"/>
      <c r="FE90" s="139"/>
      <c r="FF90" s="139"/>
      <c r="FG90" s="139"/>
      <c r="FH90" s="139"/>
      <c r="FI90" s="139"/>
      <c r="FJ90" s="139"/>
      <c r="FK90" s="139"/>
      <c r="FL90" s="139"/>
      <c r="FM90" s="139"/>
      <c r="FN90" s="139"/>
      <c r="FO90" s="139"/>
      <c r="FP90" s="139"/>
      <c r="FQ90" s="139"/>
      <c r="FR90" s="139"/>
      <c r="FS90" s="139"/>
      <c r="FT90" s="139"/>
      <c r="FU90" s="139"/>
      <c r="FV90" s="139"/>
      <c r="FW90" s="139"/>
      <c r="FX90" s="139"/>
      <c r="FY90" s="139"/>
      <c r="FZ90" s="139"/>
      <c r="GA90" s="139"/>
      <c r="GB90" s="139"/>
      <c r="GC90" s="139"/>
      <c r="GD90" s="139"/>
      <c r="GE90" s="139"/>
      <c r="GF90" s="139"/>
      <c r="GG90" s="139"/>
      <c r="GH90" s="139"/>
      <c r="GI90" s="139"/>
      <c r="GJ90" s="139"/>
      <c r="GK90" s="139"/>
      <c r="GL90" s="139"/>
      <c r="GM90" s="139"/>
      <c r="GN90" s="139"/>
      <c r="GO90" s="139"/>
      <c r="GP90" s="139"/>
      <c r="GQ90" s="139"/>
      <c r="GR90" s="139"/>
      <c r="GS90" s="139"/>
      <c r="GT90" s="139"/>
      <c r="GU90" s="139"/>
      <c r="GV90" s="139"/>
      <c r="GW90" s="139"/>
      <c r="GX90" s="139"/>
      <c r="GY90" s="139"/>
      <c r="GZ90" s="139"/>
      <c r="HA90" s="139"/>
      <c r="HB90" s="139"/>
      <c r="HC90" s="139"/>
      <c r="HD90" s="139"/>
      <c r="HE90" s="139"/>
      <c r="HF90" s="139"/>
      <c r="HG90" s="139"/>
      <c r="HH90" s="139"/>
      <c r="HI90" s="139"/>
      <c r="HJ90" s="139"/>
      <c r="HK90" s="139"/>
      <c r="HL90" s="139"/>
      <c r="HM90" s="139"/>
      <c r="HN90" s="139"/>
      <c r="HO90" s="139"/>
      <c r="HP90" s="139"/>
      <c r="HQ90" s="139"/>
      <c r="HR90" s="139"/>
      <c r="HS90" s="139"/>
      <c r="HT90" s="139"/>
      <c r="HU90" s="139"/>
      <c r="HV90" s="139"/>
      <c r="HW90" s="139"/>
      <c r="HX90" s="139"/>
      <c r="HY90" s="139"/>
      <c r="HZ90" s="139"/>
      <c r="IA90" s="139"/>
      <c r="IB90" s="139"/>
      <c r="IC90" s="139"/>
      <c r="ID90" s="139"/>
      <c r="IE90" s="139"/>
      <c r="IF90" s="139"/>
      <c r="IG90" s="139"/>
      <c r="IH90" s="139"/>
      <c r="II90" s="139"/>
      <c r="IJ90" s="139"/>
      <c r="IK90" s="139"/>
      <c r="IL90" s="139"/>
      <c r="IM90" s="139"/>
      <c r="IN90" s="139"/>
      <c r="IO90" s="139"/>
      <c r="IP90" s="139"/>
      <c r="IQ90" s="139"/>
      <c r="IR90" s="139"/>
      <c r="IS90" s="139"/>
    </row>
    <row r="91" spans="2:253" x14ac:dyDescent="0.3">
      <c r="B91" s="1325" t="s">
        <v>199</v>
      </c>
      <c r="C91" s="1328" t="s">
        <v>200</v>
      </c>
      <c r="D91" s="1320" t="s">
        <v>50</v>
      </c>
      <c r="E91" s="1321"/>
      <c r="F91" s="1321"/>
      <c r="G91" s="1321"/>
      <c r="H91" s="1321"/>
      <c r="I91" s="1321"/>
      <c r="J91" s="1321"/>
      <c r="K91" s="1321"/>
      <c r="L91" s="1321"/>
      <c r="M91" s="1321"/>
      <c r="N91" s="1321"/>
      <c r="O91" s="1321"/>
      <c r="P91" s="1321"/>
      <c r="Q91" s="1321"/>
      <c r="R91" s="1321"/>
      <c r="S91" s="1321"/>
      <c r="T91" s="1321"/>
      <c r="U91" s="1321"/>
      <c r="V91" s="1321"/>
      <c r="W91" s="1321"/>
      <c r="X91" s="1321"/>
      <c r="Y91" s="1321"/>
      <c r="Z91" s="1321"/>
      <c r="AA91" s="1321"/>
      <c r="AB91" s="1321"/>
      <c r="AC91" s="1321"/>
      <c r="AD91" s="1322"/>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39"/>
      <c r="BC91" s="139"/>
      <c r="BD91" s="139"/>
      <c r="BE91" s="139"/>
      <c r="BF91" s="139"/>
      <c r="BG91" s="139"/>
      <c r="BH91" s="139"/>
      <c r="BI91" s="139"/>
      <c r="BJ91" s="139"/>
      <c r="BK91" s="139"/>
      <c r="BL91" s="139"/>
      <c r="BM91" s="139"/>
      <c r="BN91" s="139"/>
      <c r="BO91" s="139"/>
      <c r="BP91" s="139"/>
      <c r="BQ91" s="139"/>
      <c r="BR91" s="139"/>
      <c r="BS91" s="139"/>
      <c r="BT91" s="139"/>
      <c r="BU91" s="139"/>
      <c r="BV91" s="139"/>
      <c r="BW91" s="139"/>
      <c r="BX91" s="139"/>
      <c r="BY91" s="139"/>
      <c r="BZ91" s="139"/>
      <c r="CA91" s="139"/>
      <c r="CB91" s="139"/>
      <c r="CC91" s="139"/>
      <c r="CD91" s="139"/>
      <c r="CE91" s="139"/>
      <c r="CF91" s="139"/>
      <c r="CG91" s="139"/>
      <c r="CH91" s="139"/>
      <c r="CI91" s="139"/>
      <c r="CJ91" s="139"/>
      <c r="CK91" s="139"/>
      <c r="CL91" s="139"/>
      <c r="CM91" s="139"/>
      <c r="CN91" s="139"/>
      <c r="CO91" s="139"/>
      <c r="CP91" s="139"/>
      <c r="CQ91" s="139"/>
      <c r="CR91" s="139"/>
      <c r="CS91" s="139"/>
      <c r="CT91" s="139"/>
      <c r="CU91" s="139"/>
      <c r="CV91" s="139"/>
      <c r="CW91" s="139"/>
      <c r="CX91" s="139"/>
      <c r="CY91" s="139"/>
      <c r="CZ91" s="139"/>
      <c r="DA91" s="139"/>
      <c r="DB91" s="139"/>
      <c r="DC91" s="139"/>
      <c r="DD91" s="139"/>
      <c r="DE91" s="139"/>
      <c r="DF91" s="139"/>
      <c r="DG91" s="139"/>
      <c r="DH91" s="139"/>
      <c r="DI91" s="139"/>
      <c r="DJ91" s="139"/>
      <c r="DK91" s="139"/>
      <c r="DL91" s="139"/>
      <c r="DM91" s="139"/>
      <c r="DN91" s="139"/>
      <c r="DO91" s="139"/>
      <c r="DP91" s="139"/>
      <c r="DQ91" s="139"/>
      <c r="DR91" s="139"/>
      <c r="DS91" s="139"/>
      <c r="DT91" s="139"/>
      <c r="DU91" s="139"/>
      <c r="DV91" s="139"/>
      <c r="DW91" s="139"/>
      <c r="DX91" s="139"/>
      <c r="DY91" s="139"/>
      <c r="DZ91" s="139"/>
      <c r="EA91" s="139"/>
      <c r="EB91" s="139"/>
      <c r="EC91" s="139"/>
      <c r="ED91" s="139"/>
      <c r="EE91" s="139"/>
      <c r="EF91" s="139"/>
      <c r="EG91" s="139"/>
      <c r="EH91" s="139"/>
      <c r="EI91" s="139"/>
      <c r="EJ91" s="139"/>
      <c r="EK91" s="139"/>
      <c r="EL91" s="139"/>
      <c r="EM91" s="139"/>
      <c r="EN91" s="139"/>
      <c r="EO91" s="139"/>
      <c r="EP91" s="139"/>
      <c r="EQ91" s="139"/>
      <c r="ER91" s="139"/>
      <c r="ES91" s="139"/>
      <c r="ET91" s="139"/>
      <c r="EU91" s="139"/>
      <c r="EV91" s="139"/>
      <c r="EW91" s="139"/>
      <c r="EX91" s="139"/>
      <c r="EY91" s="139"/>
      <c r="EZ91" s="139"/>
      <c r="FA91" s="139"/>
      <c r="FB91" s="139"/>
      <c r="FC91" s="139"/>
      <c r="FD91" s="139"/>
      <c r="FE91" s="139"/>
      <c r="FF91" s="139"/>
      <c r="FG91" s="139"/>
      <c r="FH91" s="139"/>
      <c r="FI91" s="139"/>
      <c r="FJ91" s="139"/>
      <c r="FK91" s="139"/>
      <c r="FL91" s="139"/>
      <c r="FM91" s="139"/>
      <c r="FN91" s="139"/>
      <c r="FO91" s="139"/>
      <c r="FP91" s="139"/>
      <c r="FQ91" s="139"/>
      <c r="FR91" s="139"/>
      <c r="FS91" s="139"/>
      <c r="FT91" s="139"/>
      <c r="FU91" s="139"/>
      <c r="FV91" s="139"/>
      <c r="FW91" s="139"/>
      <c r="FX91" s="139"/>
      <c r="FY91" s="139"/>
      <c r="FZ91" s="139"/>
      <c r="GA91" s="139"/>
      <c r="GB91" s="139"/>
      <c r="GC91" s="139"/>
      <c r="GD91" s="139"/>
      <c r="GE91" s="139"/>
      <c r="GF91" s="139"/>
      <c r="GG91" s="139"/>
      <c r="GH91" s="139"/>
      <c r="GI91" s="139"/>
      <c r="GJ91" s="139"/>
      <c r="GK91" s="139"/>
      <c r="GL91" s="139"/>
      <c r="GM91" s="139"/>
      <c r="GN91" s="139"/>
      <c r="GO91" s="139"/>
      <c r="GP91" s="139"/>
      <c r="GQ91" s="139"/>
      <c r="GR91" s="139"/>
      <c r="GS91" s="139"/>
      <c r="GT91" s="139"/>
      <c r="GU91" s="139"/>
      <c r="GV91" s="139"/>
      <c r="GW91" s="139"/>
      <c r="GX91" s="139"/>
      <c r="GY91" s="139"/>
      <c r="GZ91" s="139"/>
      <c r="HA91" s="139"/>
      <c r="HB91" s="139"/>
      <c r="HC91" s="139"/>
      <c r="HD91" s="139"/>
      <c r="HE91" s="139"/>
      <c r="HF91" s="139"/>
      <c r="HG91" s="139"/>
      <c r="HH91" s="139"/>
      <c r="HI91" s="139"/>
      <c r="HJ91" s="139"/>
      <c r="HK91" s="139"/>
      <c r="HL91" s="139"/>
      <c r="HM91" s="139"/>
      <c r="HN91" s="139"/>
      <c r="HO91" s="139"/>
      <c r="HP91" s="139"/>
      <c r="HQ91" s="139"/>
      <c r="HR91" s="139"/>
      <c r="HS91" s="139"/>
      <c r="HT91" s="139"/>
      <c r="HU91" s="139"/>
      <c r="HV91" s="139"/>
      <c r="HW91" s="139"/>
      <c r="HX91" s="139"/>
      <c r="HY91" s="139"/>
      <c r="HZ91" s="139"/>
      <c r="IA91" s="139"/>
      <c r="IB91" s="139"/>
      <c r="IC91" s="139"/>
      <c r="ID91" s="139"/>
      <c r="IE91" s="139"/>
      <c r="IF91" s="139"/>
      <c r="IG91" s="139"/>
      <c r="IH91" s="139"/>
      <c r="II91" s="139"/>
      <c r="IJ91" s="139"/>
    </row>
    <row r="92" spans="2:253" ht="14.25" customHeight="1" x14ac:dyDescent="0.3">
      <c r="B92" s="1326"/>
      <c r="C92" s="1329"/>
      <c r="D92" s="1342" t="s">
        <v>297</v>
      </c>
      <c r="E92" s="1323"/>
      <c r="F92" s="1323"/>
      <c r="G92" s="1323"/>
      <c r="H92" s="1324"/>
      <c r="I92" s="1331" t="s">
        <v>328</v>
      </c>
      <c r="J92" s="1323"/>
      <c r="K92" s="1323"/>
      <c r="L92" s="1323"/>
      <c r="M92" s="1324"/>
      <c r="N92" s="1331" t="s">
        <v>299</v>
      </c>
      <c r="O92" s="1324"/>
      <c r="P92" s="1331" t="s">
        <v>300</v>
      </c>
      <c r="Q92" s="1324"/>
      <c r="R92" s="1323" t="s">
        <v>301</v>
      </c>
      <c r="S92" s="1324"/>
      <c r="T92" s="1323" t="s">
        <v>302</v>
      </c>
      <c r="U92" s="1324"/>
      <c r="V92" s="1323" t="s">
        <v>303</v>
      </c>
      <c r="W92" s="1324"/>
      <c r="X92" s="1323" t="s">
        <v>304</v>
      </c>
      <c r="Y92" s="1324"/>
      <c r="Z92" s="1381" t="s">
        <v>329</v>
      </c>
      <c r="AA92" s="1381"/>
      <c r="AB92" s="1381"/>
      <c r="AC92" s="1381"/>
      <c r="AD92" s="1382"/>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c r="BF92" s="139"/>
      <c r="BG92" s="139"/>
      <c r="BH92" s="139"/>
      <c r="BI92" s="139"/>
      <c r="BJ92" s="139"/>
      <c r="BK92" s="139"/>
      <c r="BL92" s="139"/>
      <c r="BM92" s="139"/>
      <c r="BN92" s="139"/>
      <c r="BO92" s="139"/>
      <c r="BP92" s="139"/>
      <c r="BQ92" s="139"/>
      <c r="BR92" s="139"/>
      <c r="BS92" s="139"/>
      <c r="BT92" s="139"/>
      <c r="BU92" s="139"/>
      <c r="BV92" s="139"/>
      <c r="BW92" s="139"/>
      <c r="BX92" s="139"/>
      <c r="BY92" s="139"/>
      <c r="BZ92" s="139"/>
      <c r="CA92" s="139"/>
      <c r="CB92" s="139"/>
      <c r="CC92" s="139"/>
      <c r="CD92" s="139"/>
      <c r="CE92" s="139"/>
      <c r="CF92" s="139"/>
      <c r="CG92" s="139"/>
      <c r="CH92" s="139"/>
      <c r="CI92" s="139"/>
      <c r="CJ92" s="139"/>
      <c r="CK92" s="139"/>
      <c r="CL92" s="139"/>
      <c r="CM92" s="139"/>
      <c r="CN92" s="139"/>
      <c r="CO92" s="139"/>
      <c r="CP92" s="139"/>
      <c r="CQ92" s="139"/>
      <c r="CR92" s="139"/>
      <c r="CS92" s="139"/>
      <c r="CT92" s="139"/>
      <c r="CU92" s="139"/>
      <c r="CV92" s="139"/>
      <c r="CW92" s="139"/>
      <c r="CX92" s="139"/>
      <c r="CY92" s="139"/>
      <c r="CZ92" s="139"/>
      <c r="DA92" s="139"/>
      <c r="DB92" s="139"/>
      <c r="DC92" s="139"/>
      <c r="DD92" s="139"/>
      <c r="DE92" s="139"/>
      <c r="DF92" s="139"/>
      <c r="DG92" s="139"/>
      <c r="DH92" s="139"/>
      <c r="DI92" s="139"/>
      <c r="DJ92" s="139"/>
      <c r="DK92" s="139"/>
      <c r="DL92" s="139"/>
      <c r="DM92" s="139"/>
      <c r="DN92" s="139"/>
      <c r="DO92" s="139"/>
      <c r="DP92" s="139"/>
      <c r="DQ92" s="139"/>
      <c r="DR92" s="139"/>
      <c r="DS92" s="139"/>
      <c r="DT92" s="139"/>
      <c r="DU92" s="139"/>
      <c r="DV92" s="139"/>
      <c r="DW92" s="139"/>
      <c r="DX92" s="139"/>
      <c r="DY92" s="139"/>
      <c r="DZ92" s="139"/>
      <c r="EA92" s="139"/>
      <c r="EB92" s="139"/>
      <c r="EC92" s="139"/>
      <c r="ED92" s="139"/>
      <c r="EE92" s="139"/>
      <c r="EF92" s="139"/>
      <c r="EG92" s="139"/>
      <c r="EH92" s="139"/>
      <c r="EI92" s="139"/>
      <c r="EJ92" s="139"/>
      <c r="EK92" s="139"/>
      <c r="EL92" s="139"/>
      <c r="EM92" s="139"/>
      <c r="EN92" s="139"/>
      <c r="EO92" s="139"/>
      <c r="EP92" s="139"/>
      <c r="EQ92" s="139"/>
      <c r="ER92" s="139"/>
      <c r="ES92" s="139"/>
      <c r="ET92" s="139"/>
      <c r="EU92" s="139"/>
      <c r="EV92" s="139"/>
      <c r="EW92" s="139"/>
      <c r="EX92" s="139"/>
      <c r="EY92" s="139"/>
      <c r="EZ92" s="139"/>
      <c r="FA92" s="139"/>
      <c r="FB92" s="139"/>
      <c r="FC92" s="139"/>
      <c r="FD92" s="139"/>
      <c r="FE92" s="139"/>
      <c r="FF92" s="139"/>
      <c r="FG92" s="139"/>
      <c r="FH92" s="139"/>
      <c r="FI92" s="139"/>
      <c r="FJ92" s="139"/>
      <c r="FK92" s="139"/>
      <c r="FL92" s="139"/>
      <c r="FM92" s="139"/>
      <c r="FN92" s="139"/>
      <c r="FO92" s="139"/>
      <c r="FP92" s="139"/>
      <c r="FQ92" s="139"/>
      <c r="FR92" s="139"/>
      <c r="FS92" s="139"/>
      <c r="FT92" s="139"/>
      <c r="FU92" s="139"/>
      <c r="FV92" s="139"/>
      <c r="FW92" s="139"/>
      <c r="FX92" s="139"/>
      <c r="FY92" s="139"/>
      <c r="FZ92" s="139"/>
      <c r="GA92" s="139"/>
      <c r="GB92" s="139"/>
      <c r="GC92" s="139"/>
      <c r="GD92" s="139"/>
      <c r="GE92" s="139"/>
      <c r="GF92" s="139"/>
      <c r="GG92" s="139"/>
      <c r="GH92" s="139"/>
      <c r="GI92" s="139"/>
      <c r="GJ92" s="139"/>
      <c r="GK92" s="139"/>
      <c r="GL92" s="139"/>
      <c r="GM92" s="139"/>
      <c r="GN92" s="139"/>
      <c r="GO92" s="139"/>
      <c r="GP92" s="139"/>
      <c r="GQ92" s="139"/>
      <c r="GR92" s="139"/>
      <c r="GS92" s="139"/>
      <c r="GT92" s="139"/>
      <c r="GU92" s="139"/>
      <c r="GV92" s="139"/>
      <c r="GW92" s="139"/>
      <c r="GX92" s="139"/>
      <c r="GY92" s="139"/>
      <c r="GZ92" s="139"/>
      <c r="HA92" s="139"/>
      <c r="HB92" s="139"/>
      <c r="HC92" s="139"/>
      <c r="HD92" s="139"/>
      <c r="HE92" s="139"/>
      <c r="HF92" s="139"/>
      <c r="HG92" s="139"/>
      <c r="HH92" s="139"/>
      <c r="HI92" s="139"/>
      <c r="HJ92" s="139"/>
      <c r="HK92" s="139"/>
      <c r="HL92" s="139"/>
      <c r="HM92" s="139"/>
      <c r="HN92" s="139"/>
      <c r="HO92" s="139"/>
      <c r="HP92" s="139"/>
      <c r="HQ92" s="139"/>
      <c r="HR92" s="139"/>
      <c r="HS92" s="139"/>
      <c r="HT92" s="139"/>
      <c r="HU92" s="139"/>
      <c r="HV92" s="139"/>
      <c r="HW92" s="139"/>
      <c r="HX92" s="139"/>
      <c r="HY92" s="139"/>
      <c r="HZ92" s="139"/>
      <c r="IA92" s="139"/>
      <c r="IB92" s="139"/>
      <c r="IC92" s="139"/>
      <c r="ID92" s="139"/>
      <c r="IE92" s="139"/>
      <c r="IF92" s="139"/>
      <c r="IG92" s="139"/>
      <c r="IH92" s="139"/>
      <c r="II92" s="139"/>
      <c r="IJ92" s="139"/>
    </row>
    <row r="93" spans="2:253" x14ac:dyDescent="0.3">
      <c r="B93" s="1326"/>
      <c r="C93" s="1329"/>
      <c r="D93" s="928" t="s">
        <v>305</v>
      </c>
      <c r="E93" s="928" t="s">
        <v>306</v>
      </c>
      <c r="F93" s="942" t="s">
        <v>307</v>
      </c>
      <c r="G93" s="943" t="s">
        <v>308</v>
      </c>
      <c r="H93" s="944" t="s">
        <v>309</v>
      </c>
      <c r="I93" s="929" t="s">
        <v>305</v>
      </c>
      <c r="J93" s="928" t="s">
        <v>306</v>
      </c>
      <c r="K93" s="942" t="s">
        <v>307</v>
      </c>
      <c r="L93" s="943" t="s">
        <v>308</v>
      </c>
      <c r="M93" s="944" t="s">
        <v>309</v>
      </c>
      <c r="N93" s="929" t="s">
        <v>305</v>
      </c>
      <c r="O93" s="930" t="s">
        <v>306</v>
      </c>
      <c r="P93" s="929" t="s">
        <v>305</v>
      </c>
      <c r="Q93" s="930" t="s">
        <v>306</v>
      </c>
      <c r="R93" s="945" t="s">
        <v>305</v>
      </c>
      <c r="S93" s="930" t="s">
        <v>306</v>
      </c>
      <c r="T93" s="945" t="s">
        <v>305</v>
      </c>
      <c r="U93" s="930" t="s">
        <v>306</v>
      </c>
      <c r="V93" s="945" t="s">
        <v>305</v>
      </c>
      <c r="W93" s="930" t="s">
        <v>306</v>
      </c>
      <c r="X93" s="945" t="s">
        <v>305</v>
      </c>
      <c r="Y93" s="930" t="s">
        <v>306</v>
      </c>
      <c r="Z93" s="946" t="s">
        <v>305</v>
      </c>
      <c r="AA93" s="947" t="s">
        <v>330</v>
      </c>
      <c r="AB93" s="947" t="s">
        <v>331</v>
      </c>
      <c r="AC93" s="947" t="s">
        <v>332</v>
      </c>
      <c r="AD93" s="944" t="s">
        <v>333</v>
      </c>
      <c r="AE93" s="139"/>
      <c r="AF93" s="139"/>
      <c r="AG93" s="139"/>
      <c r="AH93" s="139"/>
      <c r="AI93" s="165"/>
      <c r="AJ93" s="165"/>
      <c r="AK93" s="165"/>
      <c r="AL93" s="165"/>
      <c r="AM93" s="165"/>
      <c r="AN93" s="165"/>
      <c r="AO93" s="165"/>
      <c r="AP93" s="165"/>
      <c r="AQ93" s="165"/>
      <c r="AR93" s="165"/>
      <c r="AS93" s="165"/>
      <c r="AT93" s="165"/>
      <c r="AU93" s="165"/>
      <c r="AV93" s="165"/>
      <c r="AW93" s="165"/>
      <c r="AX93" s="165"/>
      <c r="AY93" s="165"/>
      <c r="AZ93" s="165"/>
      <c r="BA93" s="165"/>
      <c r="BB93" s="165"/>
      <c r="BC93" s="165"/>
      <c r="BD93" s="165"/>
      <c r="BE93" s="165"/>
      <c r="BF93" s="165"/>
      <c r="BG93" s="165"/>
      <c r="BH93" s="165"/>
      <c r="BI93" s="165"/>
      <c r="BJ93" s="165"/>
      <c r="BK93" s="165"/>
      <c r="BL93" s="165"/>
      <c r="BM93" s="165"/>
      <c r="BN93" s="165"/>
      <c r="BO93" s="165"/>
      <c r="BP93" s="165"/>
      <c r="BQ93" s="165"/>
      <c r="BR93" s="165"/>
      <c r="BS93" s="165"/>
      <c r="BT93" s="165"/>
      <c r="BU93" s="165"/>
      <c r="BV93" s="165"/>
      <c r="BW93" s="165"/>
      <c r="BX93" s="165"/>
      <c r="BY93" s="165"/>
      <c r="BZ93" s="165"/>
      <c r="CA93" s="165"/>
      <c r="CB93" s="165"/>
      <c r="CC93" s="165"/>
      <c r="CD93" s="165"/>
      <c r="CE93" s="165"/>
      <c r="CF93" s="165"/>
      <c r="CG93" s="165"/>
      <c r="CH93" s="165"/>
      <c r="CI93" s="165"/>
      <c r="CJ93" s="165"/>
      <c r="CK93" s="165"/>
      <c r="CL93" s="165"/>
      <c r="CM93" s="165"/>
      <c r="CN93" s="165"/>
      <c r="CO93" s="165"/>
      <c r="CP93" s="165"/>
      <c r="CQ93" s="165"/>
      <c r="CR93" s="165"/>
      <c r="CS93" s="165"/>
      <c r="CT93" s="165"/>
      <c r="CU93" s="165"/>
      <c r="CV93" s="165"/>
      <c r="CW93" s="165"/>
      <c r="CX93" s="165"/>
      <c r="CY93" s="165"/>
      <c r="CZ93" s="165"/>
      <c r="DA93" s="165"/>
      <c r="DB93" s="165"/>
      <c r="DC93" s="165"/>
      <c r="DD93" s="165"/>
      <c r="DE93" s="165"/>
      <c r="DF93" s="165"/>
      <c r="DG93" s="165"/>
      <c r="DH93" s="165"/>
      <c r="DI93" s="165"/>
      <c r="DJ93" s="165"/>
      <c r="DK93" s="165"/>
      <c r="DL93" s="165"/>
      <c r="DM93" s="165"/>
      <c r="DN93" s="165"/>
      <c r="DO93" s="165"/>
      <c r="DP93" s="165"/>
      <c r="DQ93" s="165"/>
      <c r="DR93" s="165"/>
      <c r="DS93" s="165"/>
      <c r="DT93" s="165"/>
      <c r="DU93" s="165"/>
      <c r="DV93" s="165"/>
      <c r="DW93" s="165"/>
      <c r="DX93" s="165"/>
      <c r="DY93" s="165"/>
      <c r="DZ93" s="165"/>
      <c r="EA93" s="165"/>
      <c r="EB93" s="165"/>
      <c r="EC93" s="165"/>
      <c r="ED93" s="165"/>
      <c r="EE93" s="165"/>
      <c r="EF93" s="165"/>
      <c r="EG93" s="165"/>
      <c r="EH93" s="165"/>
      <c r="EI93" s="165"/>
      <c r="EJ93" s="165"/>
      <c r="EK93" s="165"/>
      <c r="EL93" s="165"/>
      <c r="EM93" s="165"/>
      <c r="EN93" s="165"/>
      <c r="EO93" s="165"/>
      <c r="EP93" s="165"/>
      <c r="EQ93" s="165"/>
      <c r="ER93" s="165"/>
      <c r="ES93" s="165"/>
      <c r="ET93" s="165"/>
      <c r="EU93" s="165"/>
      <c r="EV93" s="165"/>
      <c r="EW93" s="165"/>
      <c r="EX93" s="165"/>
      <c r="EY93" s="165"/>
      <c r="EZ93" s="165"/>
      <c r="FA93" s="165"/>
      <c r="FB93" s="165"/>
      <c r="FC93" s="165"/>
      <c r="FD93" s="165"/>
      <c r="FE93" s="165"/>
      <c r="FF93" s="165"/>
      <c r="FG93" s="165"/>
      <c r="FH93" s="165"/>
      <c r="FI93" s="165"/>
      <c r="FJ93" s="165"/>
      <c r="FK93" s="165"/>
      <c r="FL93" s="165"/>
      <c r="FM93" s="165"/>
      <c r="FN93" s="165"/>
      <c r="FO93" s="165"/>
      <c r="FP93" s="165"/>
      <c r="FQ93" s="165"/>
      <c r="FR93" s="165"/>
      <c r="FS93" s="165"/>
      <c r="FT93" s="165"/>
      <c r="FU93" s="165"/>
      <c r="FV93" s="165"/>
      <c r="FW93" s="165"/>
      <c r="FX93" s="165"/>
      <c r="FY93" s="165"/>
      <c r="FZ93" s="165"/>
      <c r="GA93" s="165"/>
      <c r="GB93" s="165"/>
      <c r="GC93" s="165"/>
      <c r="GD93" s="165"/>
      <c r="GE93" s="165"/>
      <c r="GF93" s="165"/>
      <c r="GG93" s="165"/>
      <c r="GH93" s="165"/>
      <c r="GI93" s="165"/>
      <c r="GJ93" s="165"/>
      <c r="GK93" s="165"/>
      <c r="GL93" s="165"/>
      <c r="GM93" s="165"/>
      <c r="GN93" s="165"/>
      <c r="GO93" s="165"/>
      <c r="GP93" s="165"/>
      <c r="GQ93" s="165"/>
      <c r="GR93" s="165"/>
      <c r="GS93" s="165"/>
      <c r="GT93" s="165"/>
      <c r="GU93" s="165"/>
      <c r="GV93" s="165"/>
      <c r="GW93" s="165"/>
      <c r="GX93" s="165"/>
      <c r="GY93" s="165"/>
      <c r="GZ93" s="165"/>
      <c r="HA93" s="165"/>
      <c r="HB93" s="165"/>
      <c r="HC93" s="165"/>
      <c r="HD93" s="165"/>
      <c r="HE93" s="165"/>
      <c r="HF93" s="165"/>
      <c r="HG93" s="165"/>
      <c r="HH93" s="165"/>
      <c r="HI93" s="165"/>
      <c r="HJ93" s="165"/>
      <c r="HK93" s="165"/>
      <c r="HL93" s="165"/>
      <c r="HM93" s="165"/>
      <c r="HN93" s="165"/>
      <c r="HO93" s="165"/>
      <c r="HP93" s="165"/>
      <c r="HQ93" s="165"/>
      <c r="HR93" s="165"/>
      <c r="HS93" s="165"/>
      <c r="HT93" s="165"/>
      <c r="HU93" s="165"/>
      <c r="HV93" s="165"/>
      <c r="HW93" s="165"/>
      <c r="HX93" s="165"/>
      <c r="HY93" s="165"/>
      <c r="HZ93" s="165"/>
      <c r="IA93" s="165"/>
      <c r="IB93" s="165"/>
      <c r="IC93" s="165"/>
      <c r="ID93" s="165"/>
      <c r="IE93" s="165"/>
      <c r="IF93" s="165"/>
      <c r="IG93" s="165"/>
      <c r="IH93" s="165"/>
      <c r="II93" s="165"/>
      <c r="IJ93" s="165"/>
    </row>
    <row r="94" spans="2:253" ht="15.6" thickBot="1" x14ac:dyDescent="0.35">
      <c r="B94" s="1327"/>
      <c r="C94" s="1330"/>
      <c r="D94" s="948" t="s">
        <v>334</v>
      </c>
      <c r="E94" s="948" t="s">
        <v>334</v>
      </c>
      <c r="F94" s="949" t="s">
        <v>335</v>
      </c>
      <c r="G94" s="949" t="s">
        <v>335</v>
      </c>
      <c r="H94" s="950" t="s">
        <v>284</v>
      </c>
      <c r="I94" s="951" t="s">
        <v>334</v>
      </c>
      <c r="J94" s="948" t="s">
        <v>334</v>
      </c>
      <c r="K94" s="949" t="s">
        <v>335</v>
      </c>
      <c r="L94" s="949" t="s">
        <v>335</v>
      </c>
      <c r="M94" s="950" t="s">
        <v>284</v>
      </c>
      <c r="N94" s="951" t="s">
        <v>334</v>
      </c>
      <c r="O94" s="950" t="s">
        <v>334</v>
      </c>
      <c r="P94" s="951" t="s">
        <v>334</v>
      </c>
      <c r="Q94" s="950" t="s">
        <v>334</v>
      </c>
      <c r="R94" s="952" t="s">
        <v>334</v>
      </c>
      <c r="S94" s="950" t="s">
        <v>334</v>
      </c>
      <c r="T94" s="952" t="s">
        <v>334</v>
      </c>
      <c r="U94" s="950" t="s">
        <v>334</v>
      </c>
      <c r="V94" s="952" t="s">
        <v>334</v>
      </c>
      <c r="W94" s="950" t="s">
        <v>334</v>
      </c>
      <c r="X94" s="952" t="s">
        <v>334</v>
      </c>
      <c r="Y94" s="950" t="s">
        <v>334</v>
      </c>
      <c r="Z94" s="952" t="s">
        <v>334</v>
      </c>
      <c r="AA94" s="948" t="s">
        <v>334</v>
      </c>
      <c r="AB94" s="948" t="s">
        <v>334</v>
      </c>
      <c r="AC94" s="948" t="s">
        <v>334</v>
      </c>
      <c r="AD94" s="950" t="s">
        <v>334</v>
      </c>
      <c r="AE94" s="165"/>
      <c r="AF94" s="165"/>
      <c r="AG94" s="165"/>
      <c r="AH94" s="165"/>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139"/>
      <c r="CE94" s="139"/>
      <c r="CF94" s="139"/>
      <c r="CG94" s="139"/>
      <c r="CH94" s="139"/>
      <c r="CI94" s="139"/>
      <c r="CJ94" s="139"/>
      <c r="CK94" s="139"/>
      <c r="CL94" s="139"/>
      <c r="CM94" s="139"/>
      <c r="CN94" s="139"/>
      <c r="CO94" s="139"/>
      <c r="CP94" s="139"/>
      <c r="CQ94" s="139"/>
      <c r="CR94" s="139"/>
      <c r="CS94" s="139"/>
      <c r="CT94" s="139"/>
      <c r="CU94" s="139"/>
      <c r="CV94" s="139"/>
      <c r="CW94" s="139"/>
      <c r="CX94" s="139"/>
      <c r="CY94" s="139"/>
      <c r="CZ94" s="139"/>
      <c r="DA94" s="139"/>
      <c r="DB94" s="139"/>
      <c r="DC94" s="139"/>
      <c r="DD94" s="139"/>
      <c r="DE94" s="139"/>
      <c r="DF94" s="139"/>
      <c r="DG94" s="139"/>
      <c r="DH94" s="139"/>
      <c r="DI94" s="139"/>
      <c r="DJ94" s="139"/>
      <c r="DK94" s="139"/>
      <c r="DL94" s="139"/>
      <c r="DM94" s="139"/>
      <c r="DN94" s="139"/>
      <c r="DO94" s="139"/>
      <c r="DP94" s="139"/>
      <c r="DQ94" s="139"/>
      <c r="DR94" s="139"/>
      <c r="DS94" s="139"/>
      <c r="DT94" s="139"/>
      <c r="DU94" s="139"/>
      <c r="DV94" s="139"/>
      <c r="DW94" s="139"/>
      <c r="DX94" s="139"/>
      <c r="DY94" s="139"/>
      <c r="DZ94" s="139"/>
      <c r="EA94" s="139"/>
      <c r="EB94" s="139"/>
      <c r="EC94" s="139"/>
      <c r="ED94" s="139"/>
      <c r="EE94" s="139"/>
      <c r="EF94" s="139"/>
      <c r="EG94" s="139"/>
      <c r="EH94" s="139"/>
      <c r="EI94" s="139"/>
      <c r="EJ94" s="139"/>
      <c r="EK94" s="139"/>
      <c r="EL94" s="139"/>
      <c r="EM94" s="139"/>
      <c r="EN94" s="139"/>
      <c r="EO94" s="139"/>
      <c r="EP94" s="139"/>
      <c r="EQ94" s="139"/>
      <c r="ER94" s="139"/>
      <c r="ES94" s="139"/>
      <c r="ET94" s="139"/>
      <c r="EU94" s="139"/>
      <c r="EV94" s="139"/>
      <c r="EW94" s="139"/>
      <c r="EX94" s="139"/>
      <c r="EY94" s="139"/>
      <c r="EZ94" s="139"/>
      <c r="FA94" s="139"/>
      <c r="FB94" s="139"/>
      <c r="FC94" s="139"/>
      <c r="FD94" s="139"/>
      <c r="FE94" s="139"/>
      <c r="FF94" s="139"/>
      <c r="FG94" s="139"/>
      <c r="FH94" s="139"/>
      <c r="FI94" s="139"/>
      <c r="FJ94" s="139"/>
      <c r="FK94" s="139"/>
      <c r="FL94" s="139"/>
      <c r="FM94" s="139"/>
      <c r="FN94" s="139"/>
      <c r="FO94" s="139"/>
      <c r="FP94" s="139"/>
      <c r="FQ94" s="139"/>
      <c r="FR94" s="139"/>
      <c r="FS94" s="139"/>
      <c r="FT94" s="139"/>
      <c r="FU94" s="139"/>
      <c r="FV94" s="139"/>
      <c r="FW94" s="139"/>
      <c r="FX94" s="139"/>
      <c r="FY94" s="139"/>
      <c r="FZ94" s="139"/>
      <c r="GA94" s="139"/>
      <c r="GB94" s="139"/>
      <c r="GC94" s="139"/>
      <c r="GD94" s="139"/>
      <c r="GE94" s="139"/>
      <c r="GF94" s="139"/>
      <c r="GG94" s="139"/>
      <c r="GH94" s="139"/>
      <c r="GI94" s="139"/>
      <c r="GJ94" s="139"/>
      <c r="GK94" s="139"/>
      <c r="GL94" s="139"/>
      <c r="GM94" s="139"/>
      <c r="GN94" s="139"/>
      <c r="GO94" s="139"/>
      <c r="GP94" s="139"/>
      <c r="GQ94" s="139"/>
      <c r="GR94" s="139"/>
      <c r="GS94" s="139"/>
      <c r="GT94" s="139"/>
      <c r="GU94" s="139"/>
      <c r="GV94" s="139"/>
      <c r="GW94" s="139"/>
      <c r="GX94" s="139"/>
      <c r="GY94" s="139"/>
      <c r="GZ94" s="139"/>
      <c r="HA94" s="139"/>
      <c r="HB94" s="139"/>
      <c r="HC94" s="139"/>
      <c r="HD94" s="139"/>
      <c r="HE94" s="139"/>
      <c r="HF94" s="139"/>
      <c r="HG94" s="139"/>
      <c r="HH94" s="139"/>
      <c r="HI94" s="139"/>
      <c r="HJ94" s="139"/>
      <c r="HK94" s="139"/>
      <c r="HL94" s="139"/>
      <c r="HM94" s="139"/>
      <c r="HN94" s="139"/>
      <c r="HO94" s="139"/>
      <c r="HP94" s="139"/>
      <c r="HQ94" s="139"/>
      <c r="HR94" s="139"/>
      <c r="HS94" s="139"/>
      <c r="HT94" s="139"/>
      <c r="HU94" s="139"/>
      <c r="HV94" s="139"/>
      <c r="HW94" s="139"/>
      <c r="HX94" s="139"/>
      <c r="HY94" s="139"/>
      <c r="HZ94" s="139"/>
      <c r="IA94" s="139"/>
      <c r="IB94" s="139"/>
      <c r="IC94" s="139"/>
      <c r="ID94" s="139"/>
      <c r="IE94" s="139"/>
      <c r="IF94" s="139"/>
      <c r="IG94" s="139"/>
      <c r="IH94" s="139"/>
      <c r="II94" s="139"/>
      <c r="IJ94" s="139"/>
    </row>
    <row r="95" spans="2:253" x14ac:dyDescent="0.3">
      <c r="B95" s="5" t="s">
        <v>103</v>
      </c>
      <c r="C95" s="953" t="s">
        <v>206</v>
      </c>
      <c r="D95" s="697">
        <v>0</v>
      </c>
      <c r="E95" s="712">
        <v>0</v>
      </c>
      <c r="F95" s="712">
        <v>0</v>
      </c>
      <c r="G95" s="712">
        <v>0</v>
      </c>
      <c r="H95" s="698">
        <v>0</v>
      </c>
      <c r="I95" s="697">
        <v>0</v>
      </c>
      <c r="J95" s="712">
        <v>0</v>
      </c>
      <c r="K95" s="712">
        <v>0</v>
      </c>
      <c r="L95" s="712">
        <v>0</v>
      </c>
      <c r="M95" s="698">
        <v>0</v>
      </c>
      <c r="N95" s="697">
        <v>0</v>
      </c>
      <c r="O95" s="698">
        <v>0</v>
      </c>
      <c r="P95" s="697">
        <v>0</v>
      </c>
      <c r="Q95" s="698">
        <v>0</v>
      </c>
      <c r="R95" s="697">
        <v>0</v>
      </c>
      <c r="S95" s="698">
        <v>0</v>
      </c>
      <c r="T95" s="697">
        <v>0</v>
      </c>
      <c r="U95" s="698">
        <v>0</v>
      </c>
      <c r="V95" s="697">
        <v>0</v>
      </c>
      <c r="W95" s="698">
        <v>0</v>
      </c>
      <c r="X95" s="697">
        <v>0</v>
      </c>
      <c r="Y95" s="698">
        <v>0</v>
      </c>
      <c r="Z95" s="697">
        <v>0</v>
      </c>
      <c r="AA95" s="712">
        <v>0</v>
      </c>
      <c r="AB95" s="712">
        <v>0</v>
      </c>
      <c r="AC95" s="712">
        <v>0</v>
      </c>
      <c r="AD95" s="702">
        <f>SUM(Z95:AC95)</f>
        <v>0</v>
      </c>
      <c r="AE95" s="139"/>
      <c r="AF95" s="139"/>
      <c r="AG95" s="139"/>
      <c r="AH95" s="139"/>
      <c r="AI95" s="139"/>
      <c r="AJ95" s="139"/>
      <c r="AK95" s="139"/>
      <c r="AL95" s="139"/>
      <c r="AM95" s="139"/>
      <c r="AN95" s="139"/>
      <c r="AO95" s="139"/>
      <c r="AP95" s="139"/>
      <c r="AQ95" s="139"/>
      <c r="AR95" s="139"/>
      <c r="AS95" s="139"/>
      <c r="AT95" s="139"/>
      <c r="AU95" s="139"/>
      <c r="AV95" s="139"/>
      <c r="AW95" s="139"/>
      <c r="AX95" s="139"/>
      <c r="AY95" s="139"/>
      <c r="AZ95" s="139"/>
      <c r="BA95" s="139"/>
      <c r="BB95" s="139"/>
      <c r="BC95" s="139"/>
      <c r="BD95" s="139"/>
      <c r="BE95" s="139"/>
      <c r="BF95" s="139"/>
      <c r="BG95" s="139"/>
      <c r="BH95" s="139"/>
      <c r="BI95" s="139"/>
      <c r="BJ95" s="139"/>
      <c r="BK95" s="139"/>
      <c r="BL95" s="139"/>
      <c r="BM95" s="139"/>
      <c r="BN95" s="139"/>
      <c r="BO95" s="139"/>
      <c r="BP95" s="139"/>
      <c r="BQ95" s="139"/>
      <c r="BR95" s="139"/>
      <c r="BS95" s="139"/>
      <c r="BT95" s="139"/>
      <c r="BU95" s="139"/>
      <c r="BV95" s="139"/>
      <c r="BW95" s="139"/>
      <c r="BX95" s="139"/>
      <c r="BY95" s="139"/>
      <c r="BZ95" s="139"/>
      <c r="CA95" s="139"/>
      <c r="CB95" s="139"/>
      <c r="CC95" s="139"/>
      <c r="CD95" s="139"/>
      <c r="CE95" s="139"/>
      <c r="CF95" s="139"/>
      <c r="CG95" s="139"/>
      <c r="CH95" s="139"/>
      <c r="CI95" s="139"/>
      <c r="CJ95" s="139"/>
      <c r="CK95" s="139"/>
      <c r="CL95" s="139"/>
      <c r="CM95" s="139"/>
      <c r="CN95" s="139"/>
      <c r="CO95" s="139"/>
      <c r="CP95" s="139"/>
      <c r="CQ95" s="139"/>
      <c r="CR95" s="139"/>
      <c r="CS95" s="139"/>
      <c r="CT95" s="139"/>
      <c r="CU95" s="139"/>
      <c r="CV95" s="139"/>
      <c r="CW95" s="139"/>
      <c r="CX95" s="139"/>
      <c r="CY95" s="139"/>
      <c r="CZ95" s="139"/>
      <c r="DA95" s="139"/>
      <c r="DB95" s="139"/>
      <c r="DC95" s="139"/>
      <c r="DD95" s="139"/>
      <c r="DE95" s="139"/>
      <c r="DF95" s="139"/>
      <c r="DG95" s="139"/>
      <c r="DH95" s="139"/>
      <c r="DI95" s="139"/>
      <c r="DJ95" s="139"/>
      <c r="DK95" s="139"/>
      <c r="DL95" s="139"/>
      <c r="DM95" s="139"/>
      <c r="DN95" s="139"/>
      <c r="DO95" s="139"/>
      <c r="DP95" s="139"/>
      <c r="DQ95" s="139"/>
      <c r="DR95" s="139"/>
      <c r="DS95" s="139"/>
      <c r="DT95" s="139"/>
      <c r="DU95" s="139"/>
      <c r="DV95" s="139"/>
      <c r="DW95" s="139"/>
      <c r="DX95" s="139"/>
      <c r="DY95" s="139"/>
      <c r="DZ95" s="139"/>
      <c r="EA95" s="139"/>
      <c r="EB95" s="139"/>
      <c r="EC95" s="139"/>
      <c r="ED95" s="139"/>
      <c r="EE95" s="139"/>
      <c r="EF95" s="139"/>
      <c r="EG95" s="139"/>
      <c r="EH95" s="139"/>
      <c r="EI95" s="139"/>
      <c r="EJ95" s="139"/>
      <c r="EK95" s="139"/>
      <c r="EL95" s="139"/>
      <c r="EM95" s="139"/>
      <c r="EN95" s="139"/>
      <c r="EO95" s="139"/>
      <c r="EP95" s="139"/>
      <c r="EQ95" s="139"/>
      <c r="ER95" s="139"/>
      <c r="ES95" s="139"/>
      <c r="ET95" s="139"/>
      <c r="EU95" s="139"/>
      <c r="EV95" s="139"/>
      <c r="EW95" s="139"/>
      <c r="EX95" s="139"/>
      <c r="EY95" s="139"/>
      <c r="EZ95" s="139"/>
      <c r="FA95" s="139"/>
      <c r="FB95" s="139"/>
      <c r="FC95" s="139"/>
      <c r="FD95" s="139"/>
      <c r="FE95" s="139"/>
      <c r="FF95" s="139"/>
      <c r="FG95" s="139"/>
      <c r="FH95" s="139"/>
      <c r="FI95" s="139"/>
      <c r="FJ95" s="139"/>
      <c r="FK95" s="139"/>
      <c r="FL95" s="139"/>
      <c r="FM95" s="139"/>
      <c r="FN95" s="139"/>
      <c r="FO95" s="139"/>
      <c r="FP95" s="139"/>
      <c r="FQ95" s="139"/>
      <c r="FR95" s="139"/>
      <c r="FS95" s="139"/>
      <c r="FT95" s="139"/>
      <c r="FU95" s="139"/>
      <c r="FV95" s="139"/>
      <c r="FW95" s="139"/>
      <c r="FX95" s="139"/>
      <c r="FY95" s="139"/>
      <c r="FZ95" s="139"/>
      <c r="GA95" s="139"/>
      <c r="GB95" s="139"/>
      <c r="GC95" s="139"/>
      <c r="GD95" s="139"/>
      <c r="GE95" s="139"/>
      <c r="GF95" s="139"/>
      <c r="GG95" s="139"/>
      <c r="GH95" s="139"/>
      <c r="GI95" s="139"/>
      <c r="GJ95" s="139"/>
      <c r="GK95" s="139"/>
      <c r="GL95" s="139"/>
      <c r="GM95" s="139"/>
      <c r="GN95" s="139"/>
      <c r="GO95" s="139"/>
      <c r="GP95" s="139"/>
      <c r="GQ95" s="139"/>
      <c r="GR95" s="139"/>
      <c r="GS95" s="139"/>
      <c r="GT95" s="139"/>
      <c r="GU95" s="139"/>
      <c r="GV95" s="139"/>
      <c r="GW95" s="139"/>
      <c r="GX95" s="139"/>
      <c r="GY95" s="139"/>
      <c r="GZ95" s="139"/>
      <c r="HA95" s="139"/>
      <c r="HB95" s="139"/>
      <c r="HC95" s="139"/>
      <c r="HD95" s="139"/>
      <c r="HE95" s="139"/>
      <c r="HF95" s="139"/>
      <c r="HG95" s="139"/>
      <c r="HH95" s="139"/>
      <c r="HI95" s="139"/>
      <c r="HJ95" s="139"/>
      <c r="HK95" s="139"/>
      <c r="HL95" s="139"/>
      <c r="HM95" s="139"/>
      <c r="HN95" s="139"/>
      <c r="HO95" s="139"/>
      <c r="HP95" s="139"/>
      <c r="HQ95" s="139"/>
      <c r="HR95" s="139"/>
      <c r="HS95" s="139"/>
      <c r="HT95" s="139"/>
      <c r="HU95" s="139"/>
      <c r="HV95" s="139"/>
      <c r="HW95" s="139"/>
      <c r="HX95" s="139"/>
      <c r="HY95" s="139"/>
      <c r="HZ95" s="139"/>
      <c r="IA95" s="139"/>
      <c r="IB95" s="139"/>
      <c r="IC95" s="139"/>
      <c r="ID95" s="139"/>
      <c r="IE95" s="139"/>
      <c r="IF95" s="139"/>
      <c r="IG95" s="139"/>
      <c r="IH95" s="139"/>
      <c r="II95" s="139"/>
      <c r="IJ95" s="139"/>
    </row>
    <row r="96" spans="2:253" x14ac:dyDescent="0.3">
      <c r="B96" s="5" t="s">
        <v>104</v>
      </c>
      <c r="C96" s="953" t="s">
        <v>207</v>
      </c>
      <c r="D96" s="672">
        <v>0</v>
      </c>
      <c r="E96" s="954">
        <v>0</v>
      </c>
      <c r="F96" s="954">
        <v>0</v>
      </c>
      <c r="G96" s="954">
        <v>0</v>
      </c>
      <c r="H96" s="671">
        <v>0</v>
      </c>
      <c r="I96" s="672">
        <v>0</v>
      </c>
      <c r="J96" s="954">
        <v>0</v>
      </c>
      <c r="K96" s="954">
        <v>0</v>
      </c>
      <c r="L96" s="954">
        <v>0</v>
      </c>
      <c r="M96" s="671">
        <v>0</v>
      </c>
      <c r="N96" s="672">
        <v>0</v>
      </c>
      <c r="O96" s="671">
        <v>0</v>
      </c>
      <c r="P96" s="672">
        <v>0</v>
      </c>
      <c r="Q96" s="671">
        <v>0</v>
      </c>
      <c r="R96" s="672">
        <v>0</v>
      </c>
      <c r="S96" s="671">
        <v>116.19416904860768</v>
      </c>
      <c r="T96" s="672">
        <v>0</v>
      </c>
      <c r="U96" s="671">
        <v>0</v>
      </c>
      <c r="V96" s="672">
        <v>0</v>
      </c>
      <c r="W96" s="671">
        <v>0</v>
      </c>
      <c r="X96" s="672">
        <v>0</v>
      </c>
      <c r="Y96" s="671">
        <v>0</v>
      </c>
      <c r="Z96" s="672">
        <v>0</v>
      </c>
      <c r="AA96" s="954">
        <v>116.19416904860768</v>
      </c>
      <c r="AB96" s="954">
        <v>0</v>
      </c>
      <c r="AC96" s="954">
        <v>0</v>
      </c>
      <c r="AD96" s="703">
        <f t="shared" ref="AD96:AD127" si="16">SUM(Z96:AC96)</f>
        <v>116.19416904860768</v>
      </c>
      <c r="AE96" s="139"/>
      <c r="AF96" s="139"/>
      <c r="AG96" s="139"/>
      <c r="AH96" s="139"/>
      <c r="AI96" s="139"/>
      <c r="AJ96" s="139"/>
      <c r="AK96" s="139"/>
      <c r="AL96" s="139"/>
      <c r="AM96" s="139"/>
      <c r="AN96" s="139"/>
      <c r="AO96" s="139"/>
      <c r="AP96" s="139"/>
      <c r="AQ96" s="139"/>
      <c r="AR96" s="139"/>
      <c r="AS96" s="139"/>
      <c r="AT96" s="139"/>
      <c r="AU96" s="139"/>
      <c r="AV96" s="139"/>
      <c r="AW96" s="139"/>
      <c r="AX96" s="139"/>
      <c r="AY96" s="139"/>
      <c r="AZ96" s="139"/>
      <c r="BA96" s="139"/>
      <c r="BB96" s="139"/>
      <c r="BC96" s="139"/>
      <c r="BD96" s="139"/>
      <c r="BE96" s="139"/>
      <c r="BF96" s="139"/>
      <c r="BG96" s="139"/>
      <c r="BH96" s="139"/>
      <c r="BI96" s="139"/>
      <c r="BJ96" s="139"/>
      <c r="BK96" s="139"/>
      <c r="BL96" s="139"/>
      <c r="BM96" s="139"/>
      <c r="BN96" s="139"/>
      <c r="BO96" s="139"/>
      <c r="BP96" s="139"/>
      <c r="BQ96" s="139"/>
      <c r="BR96" s="139"/>
      <c r="BS96" s="139"/>
      <c r="BT96" s="139"/>
      <c r="BU96" s="139"/>
      <c r="BV96" s="139"/>
      <c r="BW96" s="139"/>
      <c r="BX96" s="139"/>
      <c r="BY96" s="139"/>
      <c r="BZ96" s="139"/>
      <c r="CA96" s="139"/>
      <c r="CB96" s="139"/>
      <c r="CC96" s="139"/>
      <c r="CD96" s="139"/>
      <c r="CE96" s="139"/>
      <c r="CF96" s="139"/>
      <c r="CG96" s="139"/>
      <c r="CH96" s="139"/>
      <c r="CI96" s="139"/>
      <c r="CJ96" s="139"/>
      <c r="CK96" s="139"/>
      <c r="CL96" s="139"/>
      <c r="CM96" s="139"/>
      <c r="CN96" s="139"/>
      <c r="CO96" s="139"/>
      <c r="CP96" s="139"/>
      <c r="CQ96" s="139"/>
      <c r="CR96" s="139"/>
      <c r="CS96" s="139"/>
      <c r="CT96" s="139"/>
      <c r="CU96" s="139"/>
      <c r="CV96" s="139"/>
      <c r="CW96" s="139"/>
      <c r="CX96" s="139"/>
      <c r="CY96" s="139"/>
      <c r="CZ96" s="139"/>
      <c r="DA96" s="139"/>
      <c r="DB96" s="139"/>
      <c r="DC96" s="139"/>
      <c r="DD96" s="139"/>
      <c r="DE96" s="139"/>
      <c r="DF96" s="139"/>
      <c r="DG96" s="139"/>
      <c r="DH96" s="139"/>
      <c r="DI96" s="139"/>
      <c r="DJ96" s="139"/>
      <c r="DK96" s="139"/>
      <c r="DL96" s="139"/>
      <c r="DM96" s="139"/>
      <c r="DN96" s="139"/>
      <c r="DO96" s="139"/>
      <c r="DP96" s="139"/>
      <c r="DQ96" s="139"/>
      <c r="DR96" s="139"/>
      <c r="DS96" s="139"/>
      <c r="DT96" s="139"/>
      <c r="DU96" s="139"/>
      <c r="DV96" s="139"/>
      <c r="DW96" s="139"/>
      <c r="DX96" s="139"/>
      <c r="DY96" s="139"/>
      <c r="DZ96" s="139"/>
      <c r="EA96" s="139"/>
      <c r="EB96" s="139"/>
      <c r="EC96" s="139"/>
      <c r="ED96" s="139"/>
      <c r="EE96" s="139"/>
      <c r="EF96" s="139"/>
      <c r="EG96" s="139"/>
      <c r="EH96" s="139"/>
      <c r="EI96" s="139"/>
      <c r="EJ96" s="139"/>
      <c r="EK96" s="139"/>
      <c r="EL96" s="139"/>
      <c r="EM96" s="139"/>
      <c r="EN96" s="139"/>
      <c r="EO96" s="139"/>
      <c r="EP96" s="139"/>
      <c r="EQ96" s="139"/>
      <c r="ER96" s="139"/>
      <c r="ES96" s="139"/>
      <c r="ET96" s="139"/>
      <c r="EU96" s="139"/>
      <c r="EV96" s="139"/>
      <c r="EW96" s="139"/>
      <c r="EX96" s="139"/>
      <c r="EY96" s="139"/>
      <c r="EZ96" s="139"/>
      <c r="FA96" s="139"/>
      <c r="FB96" s="139"/>
      <c r="FC96" s="139"/>
      <c r="FD96" s="139"/>
      <c r="FE96" s="139"/>
      <c r="FF96" s="139"/>
      <c r="FG96" s="139"/>
      <c r="FH96" s="139"/>
      <c r="FI96" s="139"/>
      <c r="FJ96" s="139"/>
      <c r="FK96" s="139"/>
      <c r="FL96" s="139"/>
      <c r="FM96" s="139"/>
      <c r="FN96" s="139"/>
      <c r="FO96" s="139"/>
      <c r="FP96" s="139"/>
      <c r="FQ96" s="139"/>
      <c r="FR96" s="139"/>
      <c r="FS96" s="139"/>
      <c r="FT96" s="139"/>
      <c r="FU96" s="139"/>
      <c r="FV96" s="139"/>
      <c r="FW96" s="139"/>
      <c r="FX96" s="139"/>
      <c r="FY96" s="139"/>
      <c r="FZ96" s="139"/>
      <c r="GA96" s="139"/>
      <c r="GB96" s="139"/>
      <c r="GC96" s="139"/>
      <c r="GD96" s="139"/>
      <c r="GE96" s="139"/>
      <c r="GF96" s="139"/>
      <c r="GG96" s="139"/>
      <c r="GH96" s="139"/>
      <c r="GI96" s="139"/>
      <c r="GJ96" s="139"/>
      <c r="GK96" s="139"/>
      <c r="GL96" s="139"/>
      <c r="GM96" s="139"/>
      <c r="GN96" s="139"/>
      <c r="GO96" s="139"/>
      <c r="GP96" s="139"/>
      <c r="GQ96" s="139"/>
      <c r="GR96" s="139"/>
      <c r="GS96" s="139"/>
      <c r="GT96" s="139"/>
      <c r="GU96" s="139"/>
      <c r="GV96" s="139"/>
      <c r="GW96" s="139"/>
      <c r="GX96" s="139"/>
      <c r="GY96" s="139"/>
      <c r="GZ96" s="139"/>
      <c r="HA96" s="139"/>
      <c r="HB96" s="139"/>
      <c r="HC96" s="139"/>
      <c r="HD96" s="139"/>
      <c r="HE96" s="139"/>
      <c r="HF96" s="139"/>
      <c r="HG96" s="139"/>
      <c r="HH96" s="139"/>
      <c r="HI96" s="139"/>
      <c r="HJ96" s="139"/>
      <c r="HK96" s="139"/>
      <c r="HL96" s="139"/>
      <c r="HM96" s="139"/>
      <c r="HN96" s="139"/>
      <c r="HO96" s="139"/>
      <c r="HP96" s="139"/>
      <c r="HQ96" s="139"/>
      <c r="HR96" s="139"/>
      <c r="HS96" s="139"/>
      <c r="HT96" s="139"/>
      <c r="HU96" s="139"/>
      <c r="HV96" s="139"/>
      <c r="HW96" s="139"/>
      <c r="HX96" s="139"/>
      <c r="HY96" s="139"/>
      <c r="HZ96" s="139"/>
      <c r="IA96" s="139"/>
      <c r="IB96" s="139"/>
      <c r="IC96" s="139"/>
      <c r="ID96" s="139"/>
      <c r="IE96" s="139"/>
      <c r="IF96" s="139"/>
      <c r="IG96" s="139"/>
      <c r="IH96" s="139"/>
      <c r="II96" s="139"/>
      <c r="IJ96" s="139"/>
    </row>
    <row r="97" spans="2:244" x14ac:dyDescent="0.3">
      <c r="B97" s="5" t="s">
        <v>105</v>
      </c>
      <c r="C97" s="953" t="s">
        <v>208</v>
      </c>
      <c r="D97" s="672">
        <v>0</v>
      </c>
      <c r="E97" s="954">
        <v>0</v>
      </c>
      <c r="F97" s="954">
        <v>0</v>
      </c>
      <c r="G97" s="954">
        <v>0</v>
      </c>
      <c r="H97" s="671">
        <v>0</v>
      </c>
      <c r="I97" s="672">
        <v>0</v>
      </c>
      <c r="J97" s="954">
        <v>5420.124436388789</v>
      </c>
      <c r="K97" s="954">
        <v>0</v>
      </c>
      <c r="L97" s="954">
        <v>0</v>
      </c>
      <c r="M97" s="671">
        <v>0</v>
      </c>
      <c r="N97" s="672">
        <v>0</v>
      </c>
      <c r="O97" s="671">
        <v>0</v>
      </c>
      <c r="P97" s="672">
        <v>0</v>
      </c>
      <c r="Q97" s="671">
        <v>317.34902641592072</v>
      </c>
      <c r="R97" s="672">
        <v>0</v>
      </c>
      <c r="S97" s="671">
        <v>0</v>
      </c>
      <c r="T97" s="672">
        <v>0</v>
      </c>
      <c r="U97" s="671">
        <v>0</v>
      </c>
      <c r="V97" s="672">
        <v>0</v>
      </c>
      <c r="W97" s="671">
        <v>0</v>
      </c>
      <c r="X97" s="672">
        <v>0</v>
      </c>
      <c r="Y97" s="671">
        <v>0</v>
      </c>
      <c r="Z97" s="672">
        <v>0</v>
      </c>
      <c r="AA97" s="954">
        <v>5737.4734628047099</v>
      </c>
      <c r="AB97" s="954">
        <v>0</v>
      </c>
      <c r="AC97" s="954">
        <v>0</v>
      </c>
      <c r="AD97" s="703">
        <f t="shared" si="16"/>
        <v>5737.4734628047099</v>
      </c>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c r="BJ97" s="139"/>
      <c r="BK97" s="139"/>
      <c r="BL97" s="139"/>
      <c r="BM97" s="139"/>
      <c r="BN97" s="139"/>
      <c r="BO97" s="139"/>
      <c r="BP97" s="139"/>
      <c r="BQ97" s="139"/>
      <c r="BR97" s="139"/>
      <c r="BS97" s="139"/>
      <c r="BT97" s="139"/>
      <c r="BU97" s="139"/>
      <c r="BV97" s="139"/>
      <c r="BW97" s="139"/>
      <c r="BX97" s="139"/>
      <c r="BY97" s="139"/>
      <c r="BZ97" s="139"/>
      <c r="CA97" s="139"/>
      <c r="CB97" s="139"/>
      <c r="CC97" s="139"/>
      <c r="CD97" s="139"/>
      <c r="CE97" s="139"/>
      <c r="CF97" s="139"/>
      <c r="CG97" s="139"/>
      <c r="CH97" s="139"/>
      <c r="CI97" s="139"/>
      <c r="CJ97" s="139"/>
      <c r="CK97" s="139"/>
      <c r="CL97" s="139"/>
      <c r="CM97" s="139"/>
      <c r="CN97" s="139"/>
      <c r="CO97" s="139"/>
      <c r="CP97" s="139"/>
      <c r="CQ97" s="139"/>
      <c r="CR97" s="139"/>
      <c r="CS97" s="139"/>
      <c r="CT97" s="139"/>
      <c r="CU97" s="139"/>
      <c r="CV97" s="139"/>
      <c r="CW97" s="139"/>
      <c r="CX97" s="139"/>
      <c r="CY97" s="139"/>
      <c r="CZ97" s="139"/>
      <c r="DA97" s="139"/>
      <c r="DB97" s="139"/>
      <c r="DC97" s="139"/>
      <c r="DD97" s="139"/>
      <c r="DE97" s="139"/>
      <c r="DF97" s="139"/>
      <c r="DG97" s="139"/>
      <c r="DH97" s="139"/>
      <c r="DI97" s="139"/>
      <c r="DJ97" s="139"/>
      <c r="DK97" s="139"/>
      <c r="DL97" s="139"/>
      <c r="DM97" s="139"/>
      <c r="DN97" s="139"/>
      <c r="DO97" s="139"/>
      <c r="DP97" s="139"/>
      <c r="DQ97" s="139"/>
      <c r="DR97" s="139"/>
      <c r="DS97" s="139"/>
      <c r="DT97" s="139"/>
      <c r="DU97" s="139"/>
      <c r="DV97" s="139"/>
      <c r="DW97" s="139"/>
      <c r="DX97" s="139"/>
      <c r="DY97" s="139"/>
      <c r="DZ97" s="139"/>
      <c r="EA97" s="139"/>
      <c r="EB97" s="139"/>
      <c r="EC97" s="139"/>
      <c r="ED97" s="139"/>
      <c r="EE97" s="139"/>
      <c r="EF97" s="139"/>
      <c r="EG97" s="139"/>
      <c r="EH97" s="139"/>
      <c r="EI97" s="139"/>
      <c r="EJ97" s="139"/>
      <c r="EK97" s="139"/>
      <c r="EL97" s="139"/>
      <c r="EM97" s="139"/>
      <c r="EN97" s="139"/>
      <c r="EO97" s="139"/>
      <c r="EP97" s="139"/>
      <c r="EQ97" s="139"/>
      <c r="ER97" s="139"/>
      <c r="ES97" s="139"/>
      <c r="ET97" s="139"/>
      <c r="EU97" s="139"/>
      <c r="EV97" s="139"/>
      <c r="EW97" s="139"/>
      <c r="EX97" s="139"/>
      <c r="EY97" s="139"/>
      <c r="EZ97" s="139"/>
      <c r="FA97" s="139"/>
      <c r="FB97" s="139"/>
      <c r="FC97" s="139"/>
      <c r="FD97" s="139"/>
      <c r="FE97" s="139"/>
      <c r="FF97" s="139"/>
      <c r="FG97" s="139"/>
      <c r="FH97" s="139"/>
      <c r="FI97" s="139"/>
      <c r="FJ97" s="139"/>
      <c r="FK97" s="139"/>
      <c r="FL97" s="139"/>
      <c r="FM97" s="139"/>
      <c r="FN97" s="139"/>
      <c r="FO97" s="139"/>
      <c r="FP97" s="139"/>
      <c r="FQ97" s="139"/>
      <c r="FR97" s="139"/>
      <c r="FS97" s="139"/>
      <c r="FT97" s="139"/>
      <c r="FU97" s="139"/>
      <c r="FV97" s="139"/>
      <c r="FW97" s="139"/>
      <c r="FX97" s="139"/>
      <c r="FY97" s="139"/>
      <c r="FZ97" s="139"/>
      <c r="GA97" s="139"/>
      <c r="GB97" s="139"/>
      <c r="GC97" s="139"/>
      <c r="GD97" s="139"/>
      <c r="GE97" s="139"/>
      <c r="GF97" s="139"/>
      <c r="GG97" s="139"/>
      <c r="GH97" s="139"/>
      <c r="GI97" s="139"/>
      <c r="GJ97" s="139"/>
      <c r="GK97" s="139"/>
      <c r="GL97" s="139"/>
      <c r="GM97" s="139"/>
      <c r="GN97" s="139"/>
      <c r="GO97" s="139"/>
      <c r="GP97" s="139"/>
      <c r="GQ97" s="139"/>
      <c r="GR97" s="139"/>
      <c r="GS97" s="139"/>
      <c r="GT97" s="139"/>
      <c r="GU97" s="139"/>
      <c r="GV97" s="139"/>
      <c r="GW97" s="139"/>
      <c r="GX97" s="139"/>
      <c r="GY97" s="139"/>
      <c r="GZ97" s="139"/>
      <c r="HA97" s="139"/>
      <c r="HB97" s="139"/>
      <c r="HC97" s="139"/>
      <c r="HD97" s="139"/>
      <c r="HE97" s="139"/>
      <c r="HF97" s="139"/>
      <c r="HG97" s="139"/>
      <c r="HH97" s="139"/>
      <c r="HI97" s="139"/>
      <c r="HJ97" s="139"/>
      <c r="HK97" s="139"/>
      <c r="HL97" s="139"/>
      <c r="HM97" s="139"/>
      <c r="HN97" s="139"/>
      <c r="HO97" s="139"/>
      <c r="HP97" s="139"/>
      <c r="HQ97" s="139"/>
      <c r="HR97" s="139"/>
      <c r="HS97" s="139"/>
      <c r="HT97" s="139"/>
      <c r="HU97" s="139"/>
      <c r="HV97" s="139"/>
      <c r="HW97" s="139"/>
      <c r="HX97" s="139"/>
      <c r="HY97" s="139"/>
      <c r="HZ97" s="139"/>
      <c r="IA97" s="139"/>
      <c r="IB97" s="139"/>
      <c r="IC97" s="139"/>
      <c r="ID97" s="139"/>
      <c r="IE97" s="139"/>
      <c r="IF97" s="139"/>
      <c r="IG97" s="139"/>
      <c r="IH97" s="139"/>
      <c r="II97" s="139"/>
      <c r="IJ97" s="139"/>
    </row>
    <row r="98" spans="2:244" x14ac:dyDescent="0.3">
      <c r="B98" s="5" t="s">
        <v>106</v>
      </c>
      <c r="C98" s="953" t="s">
        <v>209</v>
      </c>
      <c r="D98" s="672">
        <v>0</v>
      </c>
      <c r="E98" s="954">
        <v>0</v>
      </c>
      <c r="F98" s="954">
        <v>0</v>
      </c>
      <c r="G98" s="954">
        <v>0</v>
      </c>
      <c r="H98" s="671">
        <v>0</v>
      </c>
      <c r="I98" s="672">
        <v>0</v>
      </c>
      <c r="J98" s="954">
        <v>0</v>
      </c>
      <c r="K98" s="954">
        <v>0</v>
      </c>
      <c r="L98" s="954">
        <v>0</v>
      </c>
      <c r="M98" s="671">
        <v>0</v>
      </c>
      <c r="N98" s="672">
        <v>0</v>
      </c>
      <c r="O98" s="671">
        <v>0</v>
      </c>
      <c r="P98" s="672">
        <v>0</v>
      </c>
      <c r="Q98" s="671">
        <v>0</v>
      </c>
      <c r="R98" s="672">
        <v>0</v>
      </c>
      <c r="S98" s="671">
        <v>195.34923452218609</v>
      </c>
      <c r="T98" s="672">
        <v>0</v>
      </c>
      <c r="U98" s="671">
        <v>0</v>
      </c>
      <c r="V98" s="672">
        <v>0</v>
      </c>
      <c r="W98" s="671">
        <v>0</v>
      </c>
      <c r="X98" s="672">
        <v>0</v>
      </c>
      <c r="Y98" s="671">
        <v>0</v>
      </c>
      <c r="Z98" s="672">
        <v>0</v>
      </c>
      <c r="AA98" s="954">
        <v>195.34923452218609</v>
      </c>
      <c r="AB98" s="954">
        <v>0</v>
      </c>
      <c r="AC98" s="954">
        <v>0</v>
      </c>
      <c r="AD98" s="703">
        <f t="shared" si="16"/>
        <v>195.34923452218609</v>
      </c>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39"/>
      <c r="BC98" s="139"/>
      <c r="BD98" s="139"/>
      <c r="BE98" s="139"/>
      <c r="BF98" s="139"/>
      <c r="BG98" s="139"/>
      <c r="BH98" s="139"/>
      <c r="BI98" s="139"/>
      <c r="BJ98" s="139"/>
      <c r="BK98" s="139"/>
      <c r="BL98" s="139"/>
      <c r="BM98" s="139"/>
      <c r="BN98" s="139"/>
      <c r="BO98" s="139"/>
      <c r="BP98" s="139"/>
      <c r="BQ98" s="139"/>
      <c r="BR98" s="139"/>
      <c r="BS98" s="139"/>
      <c r="BT98" s="139"/>
      <c r="BU98" s="139"/>
      <c r="BV98" s="139"/>
      <c r="BW98" s="139"/>
      <c r="BX98" s="139"/>
      <c r="BY98" s="139"/>
      <c r="BZ98" s="139"/>
      <c r="CA98" s="139"/>
      <c r="CB98" s="139"/>
      <c r="CC98" s="139"/>
      <c r="CD98" s="139"/>
      <c r="CE98" s="139"/>
      <c r="CF98" s="139"/>
      <c r="CG98" s="139"/>
      <c r="CH98" s="139"/>
      <c r="CI98" s="139"/>
      <c r="CJ98" s="139"/>
      <c r="CK98" s="139"/>
      <c r="CL98" s="139"/>
      <c r="CM98" s="139"/>
      <c r="CN98" s="139"/>
      <c r="CO98" s="139"/>
      <c r="CP98" s="139"/>
      <c r="CQ98" s="139"/>
      <c r="CR98" s="139"/>
      <c r="CS98" s="139"/>
      <c r="CT98" s="139"/>
      <c r="CU98" s="139"/>
      <c r="CV98" s="139"/>
      <c r="CW98" s="139"/>
      <c r="CX98" s="139"/>
      <c r="CY98" s="139"/>
      <c r="CZ98" s="139"/>
      <c r="DA98" s="139"/>
      <c r="DB98" s="139"/>
      <c r="DC98" s="139"/>
      <c r="DD98" s="139"/>
      <c r="DE98" s="139"/>
      <c r="DF98" s="139"/>
      <c r="DG98" s="139"/>
      <c r="DH98" s="139"/>
      <c r="DI98" s="139"/>
      <c r="DJ98" s="139"/>
      <c r="DK98" s="139"/>
      <c r="DL98" s="139"/>
      <c r="DM98" s="139"/>
      <c r="DN98" s="139"/>
      <c r="DO98" s="139"/>
      <c r="DP98" s="139"/>
      <c r="DQ98" s="139"/>
      <c r="DR98" s="139"/>
      <c r="DS98" s="139"/>
      <c r="DT98" s="139"/>
      <c r="DU98" s="139"/>
      <c r="DV98" s="139"/>
      <c r="DW98" s="139"/>
      <c r="DX98" s="139"/>
      <c r="DY98" s="139"/>
      <c r="DZ98" s="139"/>
      <c r="EA98" s="139"/>
      <c r="EB98" s="139"/>
      <c r="EC98" s="139"/>
      <c r="ED98" s="139"/>
      <c r="EE98" s="139"/>
      <c r="EF98" s="139"/>
      <c r="EG98" s="139"/>
      <c r="EH98" s="139"/>
      <c r="EI98" s="139"/>
      <c r="EJ98" s="139"/>
      <c r="EK98" s="139"/>
      <c r="EL98" s="139"/>
      <c r="EM98" s="139"/>
      <c r="EN98" s="139"/>
      <c r="EO98" s="139"/>
      <c r="EP98" s="139"/>
      <c r="EQ98" s="139"/>
      <c r="ER98" s="139"/>
      <c r="ES98" s="139"/>
      <c r="ET98" s="139"/>
      <c r="EU98" s="139"/>
      <c r="EV98" s="139"/>
      <c r="EW98" s="139"/>
      <c r="EX98" s="139"/>
      <c r="EY98" s="139"/>
      <c r="EZ98" s="139"/>
      <c r="FA98" s="139"/>
      <c r="FB98" s="139"/>
      <c r="FC98" s="139"/>
      <c r="FD98" s="139"/>
      <c r="FE98" s="139"/>
      <c r="FF98" s="139"/>
      <c r="FG98" s="139"/>
      <c r="FH98" s="139"/>
      <c r="FI98" s="139"/>
      <c r="FJ98" s="139"/>
      <c r="FK98" s="139"/>
      <c r="FL98" s="139"/>
      <c r="FM98" s="139"/>
      <c r="FN98" s="139"/>
      <c r="FO98" s="139"/>
      <c r="FP98" s="139"/>
      <c r="FQ98" s="139"/>
      <c r="FR98" s="139"/>
      <c r="FS98" s="139"/>
      <c r="FT98" s="139"/>
      <c r="FU98" s="139"/>
      <c r="FV98" s="139"/>
      <c r="FW98" s="139"/>
      <c r="FX98" s="139"/>
      <c r="FY98" s="139"/>
      <c r="FZ98" s="139"/>
      <c r="GA98" s="139"/>
      <c r="GB98" s="139"/>
      <c r="GC98" s="139"/>
      <c r="GD98" s="139"/>
      <c r="GE98" s="139"/>
      <c r="GF98" s="139"/>
      <c r="GG98" s="139"/>
      <c r="GH98" s="139"/>
      <c r="GI98" s="139"/>
      <c r="GJ98" s="139"/>
      <c r="GK98" s="139"/>
      <c r="GL98" s="139"/>
      <c r="GM98" s="139"/>
      <c r="GN98" s="139"/>
      <c r="GO98" s="139"/>
      <c r="GP98" s="139"/>
      <c r="GQ98" s="139"/>
      <c r="GR98" s="139"/>
      <c r="GS98" s="139"/>
      <c r="GT98" s="139"/>
      <c r="GU98" s="139"/>
      <c r="GV98" s="139"/>
      <c r="GW98" s="139"/>
      <c r="GX98" s="139"/>
      <c r="GY98" s="139"/>
      <c r="GZ98" s="139"/>
      <c r="HA98" s="139"/>
      <c r="HB98" s="139"/>
      <c r="HC98" s="139"/>
      <c r="HD98" s="139"/>
      <c r="HE98" s="139"/>
      <c r="HF98" s="139"/>
      <c r="HG98" s="139"/>
      <c r="HH98" s="139"/>
      <c r="HI98" s="139"/>
      <c r="HJ98" s="139"/>
      <c r="HK98" s="139"/>
      <c r="HL98" s="139"/>
      <c r="HM98" s="139"/>
      <c r="HN98" s="139"/>
      <c r="HO98" s="139"/>
      <c r="HP98" s="139"/>
      <c r="HQ98" s="139"/>
      <c r="HR98" s="139"/>
      <c r="HS98" s="139"/>
      <c r="HT98" s="139"/>
      <c r="HU98" s="139"/>
      <c r="HV98" s="139"/>
      <c r="HW98" s="139"/>
      <c r="HX98" s="139"/>
      <c r="HY98" s="139"/>
      <c r="HZ98" s="139"/>
      <c r="IA98" s="139"/>
      <c r="IB98" s="139"/>
      <c r="IC98" s="139"/>
      <c r="ID98" s="139"/>
      <c r="IE98" s="139"/>
      <c r="IF98" s="139"/>
      <c r="IG98" s="139"/>
      <c r="IH98" s="139"/>
      <c r="II98" s="139"/>
      <c r="IJ98" s="139"/>
    </row>
    <row r="99" spans="2:244" x14ac:dyDescent="0.3">
      <c r="B99" s="5" t="s">
        <v>107</v>
      </c>
      <c r="C99" s="953" t="s">
        <v>210</v>
      </c>
      <c r="D99" s="672">
        <v>0</v>
      </c>
      <c r="E99" s="954">
        <v>0</v>
      </c>
      <c r="F99" s="954">
        <v>0</v>
      </c>
      <c r="G99" s="954">
        <v>0</v>
      </c>
      <c r="H99" s="671">
        <v>0</v>
      </c>
      <c r="I99" s="672">
        <v>0</v>
      </c>
      <c r="J99" s="954">
        <v>0</v>
      </c>
      <c r="K99" s="954">
        <v>0</v>
      </c>
      <c r="L99" s="954">
        <v>0</v>
      </c>
      <c r="M99" s="671">
        <v>0</v>
      </c>
      <c r="N99" s="672">
        <v>0</v>
      </c>
      <c r="O99" s="671">
        <v>0</v>
      </c>
      <c r="P99" s="672">
        <v>3650.3114531856563</v>
      </c>
      <c r="Q99" s="671">
        <v>2003.7514292779358</v>
      </c>
      <c r="R99" s="672">
        <v>0</v>
      </c>
      <c r="S99" s="671">
        <v>0</v>
      </c>
      <c r="T99" s="672">
        <v>0</v>
      </c>
      <c r="U99" s="671">
        <v>0</v>
      </c>
      <c r="V99" s="672">
        <v>0</v>
      </c>
      <c r="W99" s="671">
        <v>0</v>
      </c>
      <c r="X99" s="672">
        <v>0</v>
      </c>
      <c r="Y99" s="671">
        <v>0</v>
      </c>
      <c r="Z99" s="672">
        <v>3650.3114531856563</v>
      </c>
      <c r="AA99" s="954">
        <v>2003.7514292779358</v>
      </c>
      <c r="AB99" s="954">
        <v>0</v>
      </c>
      <c r="AC99" s="954">
        <v>0</v>
      </c>
      <c r="AD99" s="703">
        <f t="shared" si="16"/>
        <v>5654.0628824635924</v>
      </c>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c r="BD99" s="139"/>
      <c r="BE99" s="139"/>
      <c r="BF99" s="139"/>
      <c r="BG99" s="139"/>
      <c r="BH99" s="139"/>
      <c r="BI99" s="139"/>
      <c r="BJ99" s="139"/>
      <c r="BK99" s="139"/>
      <c r="BL99" s="139"/>
      <c r="BM99" s="139"/>
      <c r="BN99" s="139"/>
      <c r="BO99" s="139"/>
      <c r="BP99" s="139"/>
      <c r="BQ99" s="139"/>
      <c r="BR99" s="139"/>
      <c r="BS99" s="139"/>
      <c r="BT99" s="139"/>
      <c r="BU99" s="139"/>
      <c r="BV99" s="139"/>
      <c r="BW99" s="139"/>
      <c r="BX99" s="139"/>
      <c r="BY99" s="139"/>
      <c r="BZ99" s="139"/>
      <c r="CA99" s="139"/>
      <c r="CB99" s="139"/>
      <c r="CC99" s="139"/>
      <c r="CD99" s="139"/>
      <c r="CE99" s="139"/>
      <c r="CF99" s="139"/>
      <c r="CG99" s="139"/>
      <c r="CH99" s="139"/>
      <c r="CI99" s="139"/>
      <c r="CJ99" s="139"/>
      <c r="CK99" s="139"/>
      <c r="CL99" s="139"/>
      <c r="CM99" s="139"/>
      <c r="CN99" s="139"/>
      <c r="CO99" s="139"/>
      <c r="CP99" s="139"/>
      <c r="CQ99" s="139"/>
      <c r="CR99" s="139"/>
      <c r="CS99" s="139"/>
      <c r="CT99" s="139"/>
      <c r="CU99" s="139"/>
      <c r="CV99" s="139"/>
      <c r="CW99" s="139"/>
      <c r="CX99" s="139"/>
      <c r="CY99" s="139"/>
      <c r="CZ99" s="139"/>
      <c r="DA99" s="139"/>
      <c r="DB99" s="139"/>
      <c r="DC99" s="139"/>
      <c r="DD99" s="139"/>
      <c r="DE99" s="139"/>
      <c r="DF99" s="139"/>
      <c r="DG99" s="139"/>
      <c r="DH99" s="139"/>
      <c r="DI99" s="139"/>
      <c r="DJ99" s="139"/>
      <c r="DK99" s="139"/>
      <c r="DL99" s="139"/>
      <c r="DM99" s="139"/>
      <c r="DN99" s="139"/>
      <c r="DO99" s="139"/>
      <c r="DP99" s="139"/>
      <c r="DQ99" s="139"/>
      <c r="DR99" s="139"/>
      <c r="DS99" s="139"/>
      <c r="DT99" s="139"/>
      <c r="DU99" s="139"/>
      <c r="DV99" s="139"/>
      <c r="DW99" s="139"/>
      <c r="DX99" s="139"/>
      <c r="DY99" s="139"/>
      <c r="DZ99" s="139"/>
      <c r="EA99" s="139"/>
      <c r="EB99" s="139"/>
      <c r="EC99" s="139"/>
      <c r="ED99" s="139"/>
      <c r="EE99" s="139"/>
      <c r="EF99" s="139"/>
      <c r="EG99" s="139"/>
      <c r="EH99" s="139"/>
      <c r="EI99" s="139"/>
      <c r="EJ99" s="139"/>
      <c r="EK99" s="139"/>
      <c r="EL99" s="139"/>
      <c r="EM99" s="139"/>
      <c r="EN99" s="139"/>
      <c r="EO99" s="139"/>
      <c r="EP99" s="139"/>
      <c r="EQ99" s="139"/>
      <c r="ER99" s="139"/>
      <c r="ES99" s="139"/>
      <c r="ET99" s="139"/>
      <c r="EU99" s="139"/>
      <c r="EV99" s="139"/>
      <c r="EW99" s="139"/>
      <c r="EX99" s="139"/>
      <c r="EY99" s="139"/>
      <c r="EZ99" s="139"/>
      <c r="FA99" s="139"/>
      <c r="FB99" s="139"/>
      <c r="FC99" s="139"/>
      <c r="FD99" s="139"/>
      <c r="FE99" s="139"/>
      <c r="FF99" s="139"/>
      <c r="FG99" s="139"/>
      <c r="FH99" s="139"/>
      <c r="FI99" s="139"/>
      <c r="FJ99" s="139"/>
      <c r="FK99" s="139"/>
      <c r="FL99" s="139"/>
      <c r="FM99" s="139"/>
      <c r="FN99" s="139"/>
      <c r="FO99" s="139"/>
      <c r="FP99" s="139"/>
      <c r="FQ99" s="139"/>
      <c r="FR99" s="139"/>
      <c r="FS99" s="139"/>
      <c r="FT99" s="139"/>
      <c r="FU99" s="139"/>
      <c r="FV99" s="139"/>
      <c r="FW99" s="139"/>
      <c r="FX99" s="139"/>
      <c r="FY99" s="139"/>
      <c r="FZ99" s="139"/>
      <c r="GA99" s="139"/>
      <c r="GB99" s="139"/>
      <c r="GC99" s="139"/>
      <c r="GD99" s="139"/>
      <c r="GE99" s="139"/>
      <c r="GF99" s="139"/>
      <c r="GG99" s="139"/>
      <c r="GH99" s="139"/>
      <c r="GI99" s="139"/>
      <c r="GJ99" s="139"/>
      <c r="GK99" s="139"/>
      <c r="GL99" s="139"/>
      <c r="GM99" s="139"/>
      <c r="GN99" s="139"/>
      <c r="GO99" s="139"/>
      <c r="GP99" s="139"/>
      <c r="GQ99" s="139"/>
      <c r="GR99" s="139"/>
      <c r="GS99" s="139"/>
      <c r="GT99" s="139"/>
      <c r="GU99" s="139"/>
      <c r="GV99" s="139"/>
      <c r="GW99" s="139"/>
      <c r="GX99" s="139"/>
      <c r="GY99" s="139"/>
      <c r="GZ99" s="139"/>
      <c r="HA99" s="139"/>
      <c r="HB99" s="139"/>
      <c r="HC99" s="139"/>
      <c r="HD99" s="139"/>
      <c r="HE99" s="139"/>
      <c r="HF99" s="139"/>
      <c r="HG99" s="139"/>
      <c r="HH99" s="139"/>
      <c r="HI99" s="139"/>
      <c r="HJ99" s="139"/>
      <c r="HK99" s="139"/>
      <c r="HL99" s="139"/>
      <c r="HM99" s="139"/>
      <c r="HN99" s="139"/>
      <c r="HO99" s="139"/>
      <c r="HP99" s="139"/>
      <c r="HQ99" s="139"/>
      <c r="HR99" s="139"/>
      <c r="HS99" s="139"/>
      <c r="HT99" s="139"/>
      <c r="HU99" s="139"/>
      <c r="HV99" s="139"/>
      <c r="HW99" s="139"/>
      <c r="HX99" s="139"/>
      <c r="HY99" s="139"/>
      <c r="HZ99" s="139"/>
      <c r="IA99" s="139"/>
      <c r="IB99" s="139"/>
      <c r="IC99" s="139"/>
      <c r="ID99" s="139"/>
      <c r="IE99" s="139"/>
      <c r="IF99" s="139"/>
      <c r="IG99" s="139"/>
      <c r="IH99" s="139"/>
      <c r="II99" s="139"/>
      <c r="IJ99" s="139"/>
    </row>
    <row r="100" spans="2:244" x14ac:dyDescent="0.3">
      <c r="B100" s="5" t="s">
        <v>108</v>
      </c>
      <c r="C100" s="953" t="s">
        <v>211</v>
      </c>
      <c r="D100" s="672">
        <v>0</v>
      </c>
      <c r="E100" s="954">
        <v>0</v>
      </c>
      <c r="F100" s="954">
        <v>0</v>
      </c>
      <c r="G100" s="954">
        <v>0</v>
      </c>
      <c r="H100" s="671">
        <v>0</v>
      </c>
      <c r="I100" s="672">
        <v>0</v>
      </c>
      <c r="J100" s="954">
        <v>0</v>
      </c>
      <c r="K100" s="954">
        <v>0</v>
      </c>
      <c r="L100" s="954">
        <v>0</v>
      </c>
      <c r="M100" s="671">
        <v>0</v>
      </c>
      <c r="N100" s="672">
        <v>0</v>
      </c>
      <c r="O100" s="671">
        <v>0</v>
      </c>
      <c r="P100" s="672">
        <v>0</v>
      </c>
      <c r="Q100" s="671">
        <v>0</v>
      </c>
      <c r="R100" s="672">
        <v>0</v>
      </c>
      <c r="S100" s="671">
        <v>0</v>
      </c>
      <c r="T100" s="672">
        <v>0</v>
      </c>
      <c r="U100" s="671">
        <v>0</v>
      </c>
      <c r="V100" s="672">
        <v>0</v>
      </c>
      <c r="W100" s="671">
        <v>0</v>
      </c>
      <c r="X100" s="672">
        <v>0</v>
      </c>
      <c r="Y100" s="671">
        <v>0</v>
      </c>
      <c r="Z100" s="672">
        <v>0</v>
      </c>
      <c r="AA100" s="954">
        <v>0</v>
      </c>
      <c r="AB100" s="954">
        <v>0</v>
      </c>
      <c r="AC100" s="954">
        <v>0</v>
      </c>
      <c r="AD100" s="703">
        <f t="shared" si="16"/>
        <v>0</v>
      </c>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39"/>
      <c r="BC100" s="139"/>
      <c r="BD100" s="139"/>
      <c r="BE100" s="139"/>
      <c r="BF100" s="139"/>
      <c r="BG100" s="139"/>
      <c r="BH100" s="139"/>
      <c r="BI100" s="139"/>
      <c r="BJ100" s="139"/>
      <c r="BK100" s="139"/>
      <c r="BL100" s="139"/>
      <c r="BM100" s="139"/>
      <c r="BN100" s="139"/>
      <c r="BO100" s="139"/>
      <c r="BP100" s="139"/>
      <c r="BQ100" s="139"/>
      <c r="BR100" s="139"/>
      <c r="BS100" s="139"/>
      <c r="BT100" s="139"/>
      <c r="BU100" s="139"/>
      <c r="BV100" s="139"/>
      <c r="BW100" s="139"/>
      <c r="BX100" s="139"/>
      <c r="BY100" s="139"/>
      <c r="BZ100" s="139"/>
      <c r="CA100" s="139"/>
      <c r="CB100" s="139"/>
      <c r="CC100" s="139"/>
      <c r="CD100" s="139"/>
      <c r="CE100" s="139"/>
      <c r="CF100" s="139"/>
      <c r="CG100" s="139"/>
      <c r="CH100" s="139"/>
      <c r="CI100" s="139"/>
      <c r="CJ100" s="139"/>
      <c r="CK100" s="139"/>
      <c r="CL100" s="139"/>
      <c r="CM100" s="139"/>
      <c r="CN100" s="139"/>
      <c r="CO100" s="139"/>
      <c r="CP100" s="139"/>
      <c r="CQ100" s="139"/>
      <c r="CR100" s="139"/>
      <c r="CS100" s="139"/>
      <c r="CT100" s="139"/>
      <c r="CU100" s="139"/>
      <c r="CV100" s="139"/>
      <c r="CW100" s="139"/>
      <c r="CX100" s="139"/>
      <c r="CY100" s="139"/>
      <c r="CZ100" s="139"/>
      <c r="DA100" s="139"/>
      <c r="DB100" s="139"/>
      <c r="DC100" s="139"/>
      <c r="DD100" s="139"/>
      <c r="DE100" s="139"/>
      <c r="DF100" s="139"/>
      <c r="DG100" s="139"/>
      <c r="DH100" s="139"/>
      <c r="DI100" s="139"/>
      <c r="DJ100" s="139"/>
      <c r="DK100" s="139"/>
      <c r="DL100" s="139"/>
      <c r="DM100" s="139"/>
      <c r="DN100" s="139"/>
      <c r="DO100" s="139"/>
      <c r="DP100" s="139"/>
      <c r="DQ100" s="139"/>
      <c r="DR100" s="139"/>
      <c r="DS100" s="139"/>
      <c r="DT100" s="139"/>
      <c r="DU100" s="139"/>
      <c r="DV100" s="139"/>
      <c r="DW100" s="139"/>
      <c r="DX100" s="139"/>
      <c r="DY100" s="139"/>
      <c r="DZ100" s="139"/>
      <c r="EA100" s="139"/>
      <c r="EB100" s="139"/>
      <c r="EC100" s="139"/>
      <c r="ED100" s="139"/>
      <c r="EE100" s="139"/>
      <c r="EF100" s="139"/>
      <c r="EG100" s="139"/>
      <c r="EH100" s="139"/>
      <c r="EI100" s="139"/>
      <c r="EJ100" s="139"/>
      <c r="EK100" s="139"/>
      <c r="EL100" s="139"/>
      <c r="EM100" s="139"/>
      <c r="EN100" s="139"/>
      <c r="EO100" s="139"/>
      <c r="EP100" s="139"/>
      <c r="EQ100" s="139"/>
      <c r="ER100" s="139"/>
      <c r="ES100" s="139"/>
      <c r="ET100" s="139"/>
      <c r="EU100" s="139"/>
      <c r="EV100" s="139"/>
      <c r="EW100" s="139"/>
      <c r="EX100" s="139"/>
      <c r="EY100" s="139"/>
      <c r="EZ100" s="139"/>
      <c r="FA100" s="139"/>
      <c r="FB100" s="139"/>
      <c r="FC100" s="139"/>
      <c r="FD100" s="139"/>
      <c r="FE100" s="139"/>
      <c r="FF100" s="139"/>
      <c r="FG100" s="139"/>
      <c r="FH100" s="139"/>
      <c r="FI100" s="139"/>
      <c r="FJ100" s="139"/>
      <c r="FK100" s="139"/>
      <c r="FL100" s="139"/>
      <c r="FM100" s="139"/>
      <c r="FN100" s="139"/>
      <c r="FO100" s="139"/>
      <c r="FP100" s="139"/>
      <c r="FQ100" s="139"/>
      <c r="FR100" s="139"/>
      <c r="FS100" s="139"/>
      <c r="FT100" s="139"/>
      <c r="FU100" s="139"/>
      <c r="FV100" s="139"/>
      <c r="FW100" s="139"/>
      <c r="FX100" s="139"/>
      <c r="FY100" s="139"/>
      <c r="FZ100" s="139"/>
      <c r="GA100" s="139"/>
      <c r="GB100" s="139"/>
      <c r="GC100" s="139"/>
      <c r="GD100" s="139"/>
      <c r="GE100" s="139"/>
      <c r="GF100" s="139"/>
      <c r="GG100" s="139"/>
      <c r="GH100" s="139"/>
      <c r="GI100" s="139"/>
      <c r="GJ100" s="139"/>
      <c r="GK100" s="139"/>
      <c r="GL100" s="139"/>
      <c r="GM100" s="139"/>
      <c r="GN100" s="139"/>
      <c r="GO100" s="139"/>
      <c r="GP100" s="139"/>
      <c r="GQ100" s="139"/>
      <c r="GR100" s="139"/>
      <c r="GS100" s="139"/>
      <c r="GT100" s="139"/>
      <c r="GU100" s="139"/>
      <c r="GV100" s="139"/>
      <c r="GW100" s="139"/>
      <c r="GX100" s="139"/>
      <c r="GY100" s="139"/>
      <c r="GZ100" s="139"/>
      <c r="HA100" s="139"/>
      <c r="HB100" s="139"/>
      <c r="HC100" s="139"/>
      <c r="HD100" s="139"/>
      <c r="HE100" s="139"/>
      <c r="HF100" s="139"/>
      <c r="HG100" s="139"/>
      <c r="HH100" s="139"/>
      <c r="HI100" s="139"/>
      <c r="HJ100" s="139"/>
      <c r="HK100" s="139"/>
      <c r="HL100" s="139"/>
      <c r="HM100" s="139"/>
      <c r="HN100" s="139"/>
      <c r="HO100" s="139"/>
      <c r="HP100" s="139"/>
      <c r="HQ100" s="139"/>
      <c r="HR100" s="139"/>
      <c r="HS100" s="139"/>
      <c r="HT100" s="139"/>
      <c r="HU100" s="139"/>
      <c r="HV100" s="139"/>
      <c r="HW100" s="139"/>
      <c r="HX100" s="139"/>
      <c r="HY100" s="139"/>
      <c r="HZ100" s="139"/>
      <c r="IA100" s="139"/>
      <c r="IB100" s="139"/>
      <c r="IC100" s="139"/>
      <c r="ID100" s="139"/>
      <c r="IE100" s="139"/>
      <c r="IF100" s="139"/>
      <c r="IG100" s="139"/>
      <c r="IH100" s="139"/>
      <c r="II100" s="139"/>
      <c r="IJ100" s="139"/>
    </row>
    <row r="101" spans="2:244" x14ac:dyDescent="0.3">
      <c r="B101" s="5" t="s">
        <v>109</v>
      </c>
      <c r="C101" s="953" t="s">
        <v>212</v>
      </c>
      <c r="D101" s="672">
        <v>0</v>
      </c>
      <c r="E101" s="954">
        <v>0</v>
      </c>
      <c r="F101" s="954">
        <v>0</v>
      </c>
      <c r="G101" s="954">
        <v>0</v>
      </c>
      <c r="H101" s="671">
        <v>0</v>
      </c>
      <c r="I101" s="672">
        <v>0</v>
      </c>
      <c r="J101" s="954">
        <v>203.51952697302286</v>
      </c>
      <c r="K101" s="954">
        <v>0</v>
      </c>
      <c r="L101" s="954">
        <v>0</v>
      </c>
      <c r="M101" s="671">
        <v>0</v>
      </c>
      <c r="N101" s="672">
        <v>0</v>
      </c>
      <c r="O101" s="671">
        <v>0</v>
      </c>
      <c r="P101" s="672">
        <v>0</v>
      </c>
      <c r="Q101" s="671">
        <v>0</v>
      </c>
      <c r="R101" s="672">
        <v>0</v>
      </c>
      <c r="S101" s="671">
        <v>0</v>
      </c>
      <c r="T101" s="672">
        <v>0</v>
      </c>
      <c r="U101" s="671">
        <v>0</v>
      </c>
      <c r="V101" s="672">
        <v>0</v>
      </c>
      <c r="W101" s="671">
        <v>0</v>
      </c>
      <c r="X101" s="672">
        <v>0</v>
      </c>
      <c r="Y101" s="671">
        <v>0</v>
      </c>
      <c r="Z101" s="672">
        <v>0</v>
      </c>
      <c r="AA101" s="954">
        <v>203.51952697302286</v>
      </c>
      <c r="AB101" s="954">
        <v>0</v>
      </c>
      <c r="AC101" s="954">
        <v>0</v>
      </c>
      <c r="AD101" s="703">
        <f t="shared" si="16"/>
        <v>203.51952697302286</v>
      </c>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c r="BF101" s="139"/>
      <c r="BG101" s="139"/>
      <c r="BH101" s="139"/>
      <c r="BI101" s="139"/>
      <c r="BJ101" s="139"/>
      <c r="BK101" s="139"/>
      <c r="BL101" s="139"/>
      <c r="BM101" s="139"/>
      <c r="BN101" s="139"/>
      <c r="BO101" s="139"/>
      <c r="BP101" s="139"/>
      <c r="BQ101" s="139"/>
      <c r="BR101" s="139"/>
      <c r="BS101" s="139"/>
      <c r="BT101" s="139"/>
      <c r="BU101" s="139"/>
      <c r="BV101" s="139"/>
      <c r="BW101" s="139"/>
      <c r="BX101" s="139"/>
      <c r="BY101" s="139"/>
      <c r="BZ101" s="139"/>
      <c r="CA101" s="139"/>
      <c r="CB101" s="139"/>
      <c r="CC101" s="139"/>
      <c r="CD101" s="139"/>
      <c r="CE101" s="139"/>
      <c r="CF101" s="139"/>
      <c r="CG101" s="139"/>
      <c r="CH101" s="139"/>
      <c r="CI101" s="139"/>
      <c r="CJ101" s="139"/>
      <c r="CK101" s="139"/>
      <c r="CL101" s="139"/>
      <c r="CM101" s="139"/>
      <c r="CN101" s="139"/>
      <c r="CO101" s="139"/>
      <c r="CP101" s="139"/>
      <c r="CQ101" s="139"/>
      <c r="CR101" s="139"/>
      <c r="CS101" s="139"/>
      <c r="CT101" s="139"/>
      <c r="CU101" s="139"/>
      <c r="CV101" s="139"/>
      <c r="CW101" s="139"/>
      <c r="CX101" s="139"/>
      <c r="CY101" s="139"/>
      <c r="CZ101" s="139"/>
      <c r="DA101" s="139"/>
      <c r="DB101" s="139"/>
      <c r="DC101" s="139"/>
      <c r="DD101" s="139"/>
      <c r="DE101" s="139"/>
      <c r="DF101" s="139"/>
      <c r="DG101" s="139"/>
      <c r="DH101" s="139"/>
      <c r="DI101" s="139"/>
      <c r="DJ101" s="139"/>
      <c r="DK101" s="139"/>
      <c r="DL101" s="139"/>
      <c r="DM101" s="139"/>
      <c r="DN101" s="139"/>
      <c r="DO101" s="139"/>
      <c r="DP101" s="139"/>
      <c r="DQ101" s="139"/>
      <c r="DR101" s="139"/>
      <c r="DS101" s="139"/>
      <c r="DT101" s="139"/>
      <c r="DU101" s="139"/>
      <c r="DV101" s="139"/>
      <c r="DW101" s="139"/>
      <c r="DX101" s="139"/>
      <c r="DY101" s="139"/>
      <c r="DZ101" s="139"/>
      <c r="EA101" s="139"/>
      <c r="EB101" s="139"/>
      <c r="EC101" s="139"/>
      <c r="ED101" s="139"/>
      <c r="EE101" s="139"/>
      <c r="EF101" s="139"/>
      <c r="EG101" s="139"/>
      <c r="EH101" s="139"/>
      <c r="EI101" s="139"/>
      <c r="EJ101" s="139"/>
      <c r="EK101" s="139"/>
      <c r="EL101" s="139"/>
      <c r="EM101" s="139"/>
      <c r="EN101" s="139"/>
      <c r="EO101" s="139"/>
      <c r="EP101" s="139"/>
      <c r="EQ101" s="139"/>
      <c r="ER101" s="139"/>
      <c r="ES101" s="139"/>
      <c r="ET101" s="139"/>
      <c r="EU101" s="139"/>
      <c r="EV101" s="139"/>
      <c r="EW101" s="139"/>
      <c r="EX101" s="139"/>
      <c r="EY101" s="139"/>
      <c r="EZ101" s="139"/>
      <c r="FA101" s="139"/>
      <c r="FB101" s="139"/>
      <c r="FC101" s="139"/>
      <c r="FD101" s="139"/>
      <c r="FE101" s="139"/>
      <c r="FF101" s="139"/>
      <c r="FG101" s="139"/>
      <c r="FH101" s="139"/>
      <c r="FI101" s="139"/>
      <c r="FJ101" s="139"/>
      <c r="FK101" s="139"/>
      <c r="FL101" s="139"/>
      <c r="FM101" s="139"/>
      <c r="FN101" s="139"/>
      <c r="FO101" s="139"/>
      <c r="FP101" s="139"/>
      <c r="FQ101" s="139"/>
      <c r="FR101" s="139"/>
      <c r="FS101" s="139"/>
      <c r="FT101" s="139"/>
      <c r="FU101" s="139"/>
      <c r="FV101" s="139"/>
      <c r="FW101" s="139"/>
      <c r="FX101" s="139"/>
      <c r="FY101" s="139"/>
      <c r="FZ101" s="139"/>
      <c r="GA101" s="139"/>
      <c r="GB101" s="139"/>
      <c r="GC101" s="139"/>
      <c r="GD101" s="139"/>
      <c r="GE101" s="139"/>
      <c r="GF101" s="139"/>
      <c r="GG101" s="139"/>
      <c r="GH101" s="139"/>
      <c r="GI101" s="139"/>
      <c r="GJ101" s="139"/>
      <c r="GK101" s="139"/>
      <c r="GL101" s="139"/>
      <c r="GM101" s="139"/>
      <c r="GN101" s="139"/>
      <c r="GO101" s="139"/>
      <c r="GP101" s="139"/>
      <c r="GQ101" s="139"/>
      <c r="GR101" s="139"/>
      <c r="GS101" s="139"/>
      <c r="GT101" s="139"/>
      <c r="GU101" s="139"/>
      <c r="GV101" s="139"/>
      <c r="GW101" s="139"/>
      <c r="GX101" s="139"/>
      <c r="GY101" s="139"/>
      <c r="GZ101" s="139"/>
      <c r="HA101" s="139"/>
      <c r="HB101" s="139"/>
      <c r="HC101" s="139"/>
      <c r="HD101" s="139"/>
      <c r="HE101" s="139"/>
      <c r="HF101" s="139"/>
      <c r="HG101" s="139"/>
      <c r="HH101" s="139"/>
      <c r="HI101" s="139"/>
      <c r="HJ101" s="139"/>
      <c r="HK101" s="139"/>
      <c r="HL101" s="139"/>
      <c r="HM101" s="139"/>
      <c r="HN101" s="139"/>
      <c r="HO101" s="139"/>
      <c r="HP101" s="139"/>
      <c r="HQ101" s="139"/>
      <c r="HR101" s="139"/>
      <c r="HS101" s="139"/>
      <c r="HT101" s="139"/>
      <c r="HU101" s="139"/>
      <c r="HV101" s="139"/>
      <c r="HW101" s="139"/>
      <c r="HX101" s="139"/>
      <c r="HY101" s="139"/>
      <c r="HZ101" s="139"/>
      <c r="IA101" s="139"/>
      <c r="IB101" s="139"/>
      <c r="IC101" s="139"/>
      <c r="ID101" s="139"/>
      <c r="IE101" s="139"/>
      <c r="IF101" s="139"/>
      <c r="IG101" s="139"/>
      <c r="IH101" s="139"/>
      <c r="II101" s="139"/>
      <c r="IJ101" s="139"/>
    </row>
    <row r="102" spans="2:244" x14ac:dyDescent="0.3">
      <c r="B102" s="5" t="s">
        <v>110</v>
      </c>
      <c r="C102" s="953" t="s">
        <v>213</v>
      </c>
      <c r="D102" s="672">
        <v>0</v>
      </c>
      <c r="E102" s="954">
        <v>0</v>
      </c>
      <c r="F102" s="954">
        <v>0</v>
      </c>
      <c r="G102" s="954">
        <v>0</v>
      </c>
      <c r="H102" s="671">
        <v>0</v>
      </c>
      <c r="I102" s="672">
        <v>0</v>
      </c>
      <c r="J102" s="954">
        <v>0</v>
      </c>
      <c r="K102" s="954">
        <v>0</v>
      </c>
      <c r="L102" s="954">
        <v>0</v>
      </c>
      <c r="M102" s="671">
        <v>0</v>
      </c>
      <c r="N102" s="672">
        <v>0</v>
      </c>
      <c r="O102" s="671">
        <v>0</v>
      </c>
      <c r="P102" s="672">
        <v>0</v>
      </c>
      <c r="Q102" s="671">
        <v>261.47969645835394</v>
      </c>
      <c r="R102" s="672">
        <v>0</v>
      </c>
      <c r="S102" s="671">
        <v>0</v>
      </c>
      <c r="T102" s="672">
        <v>0</v>
      </c>
      <c r="U102" s="671">
        <v>0</v>
      </c>
      <c r="V102" s="672">
        <v>0</v>
      </c>
      <c r="W102" s="671">
        <v>0</v>
      </c>
      <c r="X102" s="672">
        <v>0</v>
      </c>
      <c r="Y102" s="671">
        <v>0</v>
      </c>
      <c r="Z102" s="672">
        <v>0</v>
      </c>
      <c r="AA102" s="954">
        <v>261.47969645835394</v>
      </c>
      <c r="AB102" s="954">
        <v>0</v>
      </c>
      <c r="AC102" s="954">
        <v>0</v>
      </c>
      <c r="AD102" s="703">
        <f t="shared" si="16"/>
        <v>261.47969645835394</v>
      </c>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39"/>
      <c r="BC102" s="139"/>
      <c r="BD102" s="139"/>
      <c r="BE102" s="139"/>
      <c r="BF102" s="139"/>
      <c r="BG102" s="139"/>
      <c r="BH102" s="139"/>
      <c r="BI102" s="139"/>
      <c r="BJ102" s="139"/>
      <c r="BK102" s="139"/>
      <c r="BL102" s="139"/>
      <c r="BM102" s="139"/>
      <c r="BN102" s="139"/>
      <c r="BO102" s="139"/>
      <c r="BP102" s="139"/>
      <c r="BQ102" s="139"/>
      <c r="BR102" s="139"/>
      <c r="BS102" s="139"/>
      <c r="BT102" s="139"/>
      <c r="BU102" s="139"/>
      <c r="BV102" s="139"/>
      <c r="BW102" s="139"/>
      <c r="BX102" s="139"/>
      <c r="BY102" s="139"/>
      <c r="BZ102" s="139"/>
      <c r="CA102" s="139"/>
      <c r="CB102" s="139"/>
      <c r="CC102" s="139"/>
      <c r="CD102" s="139"/>
      <c r="CE102" s="139"/>
      <c r="CF102" s="139"/>
      <c r="CG102" s="139"/>
      <c r="CH102" s="139"/>
      <c r="CI102" s="139"/>
      <c r="CJ102" s="139"/>
      <c r="CK102" s="139"/>
      <c r="CL102" s="139"/>
      <c r="CM102" s="139"/>
      <c r="CN102" s="139"/>
      <c r="CO102" s="139"/>
      <c r="CP102" s="139"/>
      <c r="CQ102" s="139"/>
      <c r="CR102" s="139"/>
      <c r="CS102" s="139"/>
      <c r="CT102" s="139"/>
      <c r="CU102" s="139"/>
      <c r="CV102" s="139"/>
      <c r="CW102" s="139"/>
      <c r="CX102" s="139"/>
      <c r="CY102" s="139"/>
      <c r="CZ102" s="139"/>
      <c r="DA102" s="139"/>
      <c r="DB102" s="139"/>
      <c r="DC102" s="139"/>
      <c r="DD102" s="139"/>
      <c r="DE102" s="139"/>
      <c r="DF102" s="139"/>
      <c r="DG102" s="139"/>
      <c r="DH102" s="139"/>
      <c r="DI102" s="139"/>
      <c r="DJ102" s="139"/>
      <c r="DK102" s="139"/>
      <c r="DL102" s="139"/>
      <c r="DM102" s="139"/>
      <c r="DN102" s="139"/>
      <c r="DO102" s="139"/>
      <c r="DP102" s="139"/>
      <c r="DQ102" s="139"/>
      <c r="DR102" s="139"/>
      <c r="DS102" s="139"/>
      <c r="DT102" s="139"/>
      <c r="DU102" s="139"/>
      <c r="DV102" s="139"/>
      <c r="DW102" s="139"/>
      <c r="DX102" s="139"/>
      <c r="DY102" s="139"/>
      <c r="DZ102" s="139"/>
      <c r="EA102" s="139"/>
      <c r="EB102" s="139"/>
      <c r="EC102" s="139"/>
      <c r="ED102" s="139"/>
      <c r="EE102" s="139"/>
      <c r="EF102" s="139"/>
      <c r="EG102" s="139"/>
      <c r="EH102" s="139"/>
      <c r="EI102" s="139"/>
      <c r="EJ102" s="139"/>
      <c r="EK102" s="139"/>
      <c r="EL102" s="139"/>
      <c r="EM102" s="139"/>
      <c r="EN102" s="139"/>
      <c r="EO102" s="139"/>
      <c r="EP102" s="139"/>
      <c r="EQ102" s="139"/>
      <c r="ER102" s="139"/>
      <c r="ES102" s="139"/>
      <c r="ET102" s="139"/>
      <c r="EU102" s="139"/>
      <c r="EV102" s="139"/>
      <c r="EW102" s="139"/>
      <c r="EX102" s="139"/>
      <c r="EY102" s="139"/>
      <c r="EZ102" s="139"/>
      <c r="FA102" s="139"/>
      <c r="FB102" s="139"/>
      <c r="FC102" s="139"/>
      <c r="FD102" s="139"/>
      <c r="FE102" s="139"/>
      <c r="FF102" s="139"/>
      <c r="FG102" s="139"/>
      <c r="FH102" s="139"/>
      <c r="FI102" s="139"/>
      <c r="FJ102" s="139"/>
      <c r="FK102" s="139"/>
      <c r="FL102" s="139"/>
      <c r="FM102" s="139"/>
      <c r="FN102" s="139"/>
      <c r="FO102" s="139"/>
      <c r="FP102" s="139"/>
      <c r="FQ102" s="139"/>
      <c r="FR102" s="139"/>
      <c r="FS102" s="139"/>
      <c r="FT102" s="139"/>
      <c r="FU102" s="139"/>
      <c r="FV102" s="139"/>
      <c r="FW102" s="139"/>
      <c r="FX102" s="139"/>
      <c r="FY102" s="139"/>
      <c r="FZ102" s="139"/>
      <c r="GA102" s="139"/>
      <c r="GB102" s="139"/>
      <c r="GC102" s="139"/>
      <c r="GD102" s="139"/>
      <c r="GE102" s="139"/>
      <c r="GF102" s="139"/>
      <c r="GG102" s="139"/>
      <c r="GH102" s="139"/>
      <c r="GI102" s="139"/>
      <c r="GJ102" s="139"/>
      <c r="GK102" s="139"/>
      <c r="GL102" s="139"/>
      <c r="GM102" s="139"/>
      <c r="GN102" s="139"/>
      <c r="GO102" s="139"/>
      <c r="GP102" s="139"/>
      <c r="GQ102" s="139"/>
      <c r="GR102" s="139"/>
      <c r="GS102" s="139"/>
      <c r="GT102" s="139"/>
      <c r="GU102" s="139"/>
      <c r="GV102" s="139"/>
      <c r="GW102" s="139"/>
      <c r="GX102" s="139"/>
      <c r="GY102" s="139"/>
      <c r="GZ102" s="139"/>
      <c r="HA102" s="139"/>
      <c r="HB102" s="139"/>
      <c r="HC102" s="139"/>
      <c r="HD102" s="139"/>
      <c r="HE102" s="139"/>
      <c r="HF102" s="139"/>
      <c r="HG102" s="139"/>
      <c r="HH102" s="139"/>
      <c r="HI102" s="139"/>
      <c r="HJ102" s="139"/>
      <c r="HK102" s="139"/>
      <c r="HL102" s="139"/>
      <c r="HM102" s="139"/>
      <c r="HN102" s="139"/>
      <c r="HO102" s="139"/>
      <c r="HP102" s="139"/>
      <c r="HQ102" s="139"/>
      <c r="HR102" s="139"/>
      <c r="HS102" s="139"/>
      <c r="HT102" s="139"/>
      <c r="HU102" s="139"/>
      <c r="HV102" s="139"/>
      <c r="HW102" s="139"/>
      <c r="HX102" s="139"/>
      <c r="HY102" s="139"/>
      <c r="HZ102" s="139"/>
      <c r="IA102" s="139"/>
      <c r="IB102" s="139"/>
      <c r="IC102" s="139"/>
      <c r="ID102" s="139"/>
      <c r="IE102" s="139"/>
      <c r="IF102" s="139"/>
      <c r="IG102" s="139"/>
      <c r="IH102" s="139"/>
      <c r="II102" s="139"/>
      <c r="IJ102" s="139"/>
    </row>
    <row r="103" spans="2:244" x14ac:dyDescent="0.3">
      <c r="B103" s="5" t="s">
        <v>111</v>
      </c>
      <c r="C103" s="953" t="s">
        <v>214</v>
      </c>
      <c r="D103" s="672">
        <v>0</v>
      </c>
      <c r="E103" s="954">
        <v>0</v>
      </c>
      <c r="F103" s="954">
        <v>0</v>
      </c>
      <c r="G103" s="954">
        <v>0</v>
      </c>
      <c r="H103" s="671">
        <v>0</v>
      </c>
      <c r="I103" s="672">
        <v>0</v>
      </c>
      <c r="J103" s="954">
        <v>0</v>
      </c>
      <c r="K103" s="954">
        <v>0</v>
      </c>
      <c r="L103" s="954">
        <v>0</v>
      </c>
      <c r="M103" s="671">
        <v>0</v>
      </c>
      <c r="N103" s="672">
        <v>0</v>
      </c>
      <c r="O103" s="671">
        <v>0</v>
      </c>
      <c r="P103" s="672">
        <v>0</v>
      </c>
      <c r="Q103" s="671">
        <v>0</v>
      </c>
      <c r="R103" s="672">
        <v>0</v>
      </c>
      <c r="S103" s="671">
        <v>0</v>
      </c>
      <c r="T103" s="672">
        <v>0</v>
      </c>
      <c r="U103" s="671">
        <v>0</v>
      </c>
      <c r="V103" s="672">
        <v>0</v>
      </c>
      <c r="W103" s="671">
        <v>0</v>
      </c>
      <c r="X103" s="672">
        <v>0</v>
      </c>
      <c r="Y103" s="671">
        <v>0</v>
      </c>
      <c r="Z103" s="672">
        <v>0</v>
      </c>
      <c r="AA103" s="954">
        <v>0</v>
      </c>
      <c r="AB103" s="954">
        <v>0</v>
      </c>
      <c r="AC103" s="954">
        <v>0</v>
      </c>
      <c r="AD103" s="703">
        <f t="shared" si="16"/>
        <v>0</v>
      </c>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39"/>
      <c r="BC103" s="139"/>
      <c r="BD103" s="139"/>
      <c r="BE103" s="139"/>
      <c r="BF103" s="139"/>
      <c r="BG103" s="139"/>
      <c r="BH103" s="139"/>
      <c r="BI103" s="139"/>
      <c r="BJ103" s="139"/>
      <c r="BK103" s="139"/>
      <c r="BL103" s="139"/>
      <c r="BM103" s="139"/>
      <c r="BN103" s="139"/>
      <c r="BO103" s="139"/>
      <c r="BP103" s="139"/>
      <c r="BQ103" s="139"/>
      <c r="BR103" s="139"/>
      <c r="BS103" s="139"/>
      <c r="BT103" s="139"/>
      <c r="BU103" s="139"/>
      <c r="BV103" s="139"/>
      <c r="BW103" s="139"/>
      <c r="BX103" s="139"/>
      <c r="BY103" s="139"/>
      <c r="BZ103" s="139"/>
      <c r="CA103" s="139"/>
      <c r="CB103" s="139"/>
      <c r="CC103" s="139"/>
      <c r="CD103" s="139"/>
      <c r="CE103" s="139"/>
      <c r="CF103" s="139"/>
      <c r="CG103" s="139"/>
      <c r="CH103" s="139"/>
      <c r="CI103" s="139"/>
      <c r="CJ103" s="139"/>
      <c r="CK103" s="139"/>
      <c r="CL103" s="139"/>
      <c r="CM103" s="139"/>
      <c r="CN103" s="139"/>
      <c r="CO103" s="139"/>
      <c r="CP103" s="139"/>
      <c r="CQ103" s="139"/>
      <c r="CR103" s="139"/>
      <c r="CS103" s="139"/>
      <c r="CT103" s="139"/>
      <c r="CU103" s="139"/>
      <c r="CV103" s="139"/>
      <c r="CW103" s="139"/>
      <c r="CX103" s="139"/>
      <c r="CY103" s="139"/>
      <c r="CZ103" s="139"/>
      <c r="DA103" s="139"/>
      <c r="DB103" s="139"/>
      <c r="DC103" s="139"/>
      <c r="DD103" s="139"/>
      <c r="DE103" s="139"/>
      <c r="DF103" s="139"/>
      <c r="DG103" s="139"/>
      <c r="DH103" s="139"/>
      <c r="DI103" s="139"/>
      <c r="DJ103" s="139"/>
      <c r="DK103" s="139"/>
      <c r="DL103" s="139"/>
      <c r="DM103" s="139"/>
      <c r="DN103" s="139"/>
      <c r="DO103" s="139"/>
      <c r="DP103" s="139"/>
      <c r="DQ103" s="139"/>
      <c r="DR103" s="139"/>
      <c r="DS103" s="139"/>
      <c r="DT103" s="139"/>
      <c r="DU103" s="139"/>
      <c r="DV103" s="139"/>
      <c r="DW103" s="139"/>
      <c r="DX103" s="139"/>
      <c r="DY103" s="139"/>
      <c r="DZ103" s="139"/>
      <c r="EA103" s="139"/>
      <c r="EB103" s="139"/>
      <c r="EC103" s="139"/>
      <c r="ED103" s="139"/>
      <c r="EE103" s="139"/>
      <c r="EF103" s="139"/>
      <c r="EG103" s="139"/>
      <c r="EH103" s="139"/>
      <c r="EI103" s="139"/>
      <c r="EJ103" s="139"/>
      <c r="EK103" s="139"/>
      <c r="EL103" s="139"/>
      <c r="EM103" s="139"/>
      <c r="EN103" s="139"/>
      <c r="EO103" s="139"/>
      <c r="EP103" s="139"/>
      <c r="EQ103" s="139"/>
      <c r="ER103" s="139"/>
      <c r="ES103" s="139"/>
      <c r="ET103" s="139"/>
      <c r="EU103" s="139"/>
      <c r="EV103" s="139"/>
      <c r="EW103" s="139"/>
      <c r="EX103" s="139"/>
      <c r="EY103" s="139"/>
      <c r="EZ103" s="139"/>
      <c r="FA103" s="139"/>
      <c r="FB103" s="139"/>
      <c r="FC103" s="139"/>
      <c r="FD103" s="139"/>
      <c r="FE103" s="139"/>
      <c r="FF103" s="139"/>
      <c r="FG103" s="139"/>
      <c r="FH103" s="139"/>
      <c r="FI103" s="139"/>
      <c r="FJ103" s="139"/>
      <c r="FK103" s="139"/>
      <c r="FL103" s="139"/>
      <c r="FM103" s="139"/>
      <c r="FN103" s="139"/>
      <c r="FO103" s="139"/>
      <c r="FP103" s="139"/>
      <c r="FQ103" s="139"/>
      <c r="FR103" s="139"/>
      <c r="FS103" s="139"/>
      <c r="FT103" s="139"/>
      <c r="FU103" s="139"/>
      <c r="FV103" s="139"/>
      <c r="FW103" s="139"/>
      <c r="FX103" s="139"/>
      <c r="FY103" s="139"/>
      <c r="FZ103" s="139"/>
      <c r="GA103" s="139"/>
      <c r="GB103" s="139"/>
      <c r="GC103" s="139"/>
      <c r="GD103" s="139"/>
      <c r="GE103" s="139"/>
      <c r="GF103" s="139"/>
      <c r="GG103" s="139"/>
      <c r="GH103" s="139"/>
      <c r="GI103" s="139"/>
      <c r="GJ103" s="139"/>
      <c r="GK103" s="139"/>
      <c r="GL103" s="139"/>
      <c r="GM103" s="139"/>
      <c r="GN103" s="139"/>
      <c r="GO103" s="139"/>
      <c r="GP103" s="139"/>
      <c r="GQ103" s="139"/>
      <c r="GR103" s="139"/>
      <c r="GS103" s="139"/>
      <c r="GT103" s="139"/>
      <c r="GU103" s="139"/>
      <c r="GV103" s="139"/>
      <c r="GW103" s="139"/>
      <c r="GX103" s="139"/>
      <c r="GY103" s="139"/>
      <c r="GZ103" s="139"/>
      <c r="HA103" s="139"/>
      <c r="HB103" s="139"/>
      <c r="HC103" s="139"/>
      <c r="HD103" s="139"/>
      <c r="HE103" s="139"/>
      <c r="HF103" s="139"/>
      <c r="HG103" s="139"/>
      <c r="HH103" s="139"/>
      <c r="HI103" s="139"/>
      <c r="HJ103" s="139"/>
      <c r="HK103" s="139"/>
      <c r="HL103" s="139"/>
      <c r="HM103" s="139"/>
      <c r="HN103" s="139"/>
      <c r="HO103" s="139"/>
      <c r="HP103" s="139"/>
      <c r="HQ103" s="139"/>
      <c r="HR103" s="139"/>
      <c r="HS103" s="139"/>
      <c r="HT103" s="139"/>
      <c r="HU103" s="139"/>
      <c r="HV103" s="139"/>
      <c r="HW103" s="139"/>
      <c r="HX103" s="139"/>
      <c r="HY103" s="139"/>
      <c r="HZ103" s="139"/>
      <c r="IA103" s="139"/>
      <c r="IB103" s="139"/>
      <c r="IC103" s="139"/>
      <c r="ID103" s="139"/>
      <c r="IE103" s="139"/>
      <c r="IF103" s="139"/>
      <c r="IG103" s="139"/>
      <c r="IH103" s="139"/>
      <c r="II103" s="139"/>
      <c r="IJ103" s="139"/>
    </row>
    <row r="104" spans="2:244" x14ac:dyDescent="0.3">
      <c r="B104" s="5" t="s">
        <v>112</v>
      </c>
      <c r="C104" s="953" t="s">
        <v>215</v>
      </c>
      <c r="D104" s="672">
        <v>0</v>
      </c>
      <c r="E104" s="954">
        <v>0</v>
      </c>
      <c r="F104" s="954">
        <v>0</v>
      </c>
      <c r="G104" s="954">
        <v>0</v>
      </c>
      <c r="H104" s="671">
        <v>0</v>
      </c>
      <c r="I104" s="672">
        <v>0</v>
      </c>
      <c r="J104" s="954">
        <v>152.07393052047075</v>
      </c>
      <c r="K104" s="954">
        <v>0</v>
      </c>
      <c r="L104" s="954">
        <v>0</v>
      </c>
      <c r="M104" s="671">
        <v>0</v>
      </c>
      <c r="N104" s="672">
        <v>0</v>
      </c>
      <c r="O104" s="671">
        <v>0</v>
      </c>
      <c r="P104" s="672">
        <v>0</v>
      </c>
      <c r="Q104" s="671">
        <v>0</v>
      </c>
      <c r="R104" s="672">
        <v>0</v>
      </c>
      <c r="S104" s="671">
        <v>0</v>
      </c>
      <c r="T104" s="672">
        <v>0</v>
      </c>
      <c r="U104" s="671">
        <v>0</v>
      </c>
      <c r="V104" s="672">
        <v>48.382031724945115</v>
      </c>
      <c r="W104" s="671">
        <v>0</v>
      </c>
      <c r="X104" s="672">
        <v>0</v>
      </c>
      <c r="Y104" s="671">
        <v>0</v>
      </c>
      <c r="Z104" s="672">
        <v>48.382031724945115</v>
      </c>
      <c r="AA104" s="954">
        <v>152.07393052047075</v>
      </c>
      <c r="AB104" s="954">
        <v>0</v>
      </c>
      <c r="AC104" s="954">
        <v>0</v>
      </c>
      <c r="AD104" s="703">
        <f t="shared" si="16"/>
        <v>200.45596224541586</v>
      </c>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c r="BJ104" s="139"/>
      <c r="BK104" s="139"/>
      <c r="BL104" s="139"/>
      <c r="BM104" s="139"/>
      <c r="BN104" s="139"/>
      <c r="BO104" s="139"/>
      <c r="BP104" s="139"/>
      <c r="BQ104" s="139"/>
      <c r="BR104" s="139"/>
      <c r="BS104" s="139"/>
      <c r="BT104" s="139"/>
      <c r="BU104" s="139"/>
      <c r="BV104" s="139"/>
      <c r="BW104" s="139"/>
      <c r="BX104" s="139"/>
      <c r="BY104" s="139"/>
      <c r="BZ104" s="139"/>
      <c r="CA104" s="139"/>
      <c r="CB104" s="139"/>
      <c r="CC104" s="139"/>
      <c r="CD104" s="139"/>
      <c r="CE104" s="139"/>
      <c r="CF104" s="139"/>
      <c r="CG104" s="139"/>
      <c r="CH104" s="139"/>
      <c r="CI104" s="139"/>
      <c r="CJ104" s="139"/>
      <c r="CK104" s="139"/>
      <c r="CL104" s="139"/>
      <c r="CM104" s="139"/>
      <c r="CN104" s="139"/>
      <c r="CO104" s="139"/>
      <c r="CP104" s="139"/>
      <c r="CQ104" s="139"/>
      <c r="CR104" s="139"/>
      <c r="CS104" s="139"/>
      <c r="CT104" s="139"/>
      <c r="CU104" s="139"/>
      <c r="CV104" s="139"/>
      <c r="CW104" s="139"/>
      <c r="CX104" s="139"/>
      <c r="CY104" s="139"/>
      <c r="CZ104" s="139"/>
      <c r="DA104" s="139"/>
      <c r="DB104" s="139"/>
      <c r="DC104" s="139"/>
      <c r="DD104" s="139"/>
      <c r="DE104" s="139"/>
      <c r="DF104" s="139"/>
      <c r="DG104" s="139"/>
      <c r="DH104" s="139"/>
      <c r="DI104" s="139"/>
      <c r="DJ104" s="139"/>
      <c r="DK104" s="139"/>
      <c r="DL104" s="139"/>
      <c r="DM104" s="139"/>
      <c r="DN104" s="139"/>
      <c r="DO104" s="139"/>
      <c r="DP104" s="139"/>
      <c r="DQ104" s="139"/>
      <c r="DR104" s="139"/>
      <c r="DS104" s="139"/>
      <c r="DT104" s="139"/>
      <c r="DU104" s="139"/>
      <c r="DV104" s="139"/>
      <c r="DW104" s="139"/>
      <c r="DX104" s="139"/>
      <c r="DY104" s="139"/>
      <c r="DZ104" s="139"/>
      <c r="EA104" s="139"/>
      <c r="EB104" s="139"/>
      <c r="EC104" s="139"/>
      <c r="ED104" s="139"/>
      <c r="EE104" s="139"/>
      <c r="EF104" s="139"/>
      <c r="EG104" s="139"/>
      <c r="EH104" s="139"/>
      <c r="EI104" s="139"/>
      <c r="EJ104" s="139"/>
      <c r="EK104" s="139"/>
      <c r="EL104" s="139"/>
      <c r="EM104" s="139"/>
      <c r="EN104" s="139"/>
      <c r="EO104" s="139"/>
      <c r="EP104" s="139"/>
      <c r="EQ104" s="139"/>
      <c r="ER104" s="139"/>
      <c r="ES104" s="139"/>
      <c r="ET104" s="139"/>
      <c r="EU104" s="139"/>
      <c r="EV104" s="139"/>
      <c r="EW104" s="139"/>
      <c r="EX104" s="139"/>
      <c r="EY104" s="139"/>
      <c r="EZ104" s="139"/>
      <c r="FA104" s="139"/>
      <c r="FB104" s="139"/>
      <c r="FC104" s="139"/>
      <c r="FD104" s="139"/>
      <c r="FE104" s="139"/>
      <c r="FF104" s="139"/>
      <c r="FG104" s="139"/>
      <c r="FH104" s="139"/>
      <c r="FI104" s="139"/>
      <c r="FJ104" s="139"/>
      <c r="FK104" s="139"/>
      <c r="FL104" s="139"/>
      <c r="FM104" s="139"/>
      <c r="FN104" s="139"/>
      <c r="FO104" s="139"/>
      <c r="FP104" s="139"/>
      <c r="FQ104" s="139"/>
      <c r="FR104" s="139"/>
      <c r="FS104" s="139"/>
      <c r="FT104" s="139"/>
      <c r="FU104" s="139"/>
      <c r="FV104" s="139"/>
      <c r="FW104" s="139"/>
      <c r="FX104" s="139"/>
      <c r="FY104" s="139"/>
      <c r="FZ104" s="139"/>
      <c r="GA104" s="139"/>
      <c r="GB104" s="139"/>
      <c r="GC104" s="139"/>
      <c r="GD104" s="139"/>
      <c r="GE104" s="139"/>
      <c r="GF104" s="139"/>
      <c r="GG104" s="139"/>
      <c r="GH104" s="139"/>
      <c r="GI104" s="139"/>
      <c r="GJ104" s="139"/>
      <c r="GK104" s="139"/>
      <c r="GL104" s="139"/>
      <c r="GM104" s="139"/>
      <c r="GN104" s="139"/>
      <c r="GO104" s="139"/>
      <c r="GP104" s="139"/>
      <c r="GQ104" s="139"/>
      <c r="GR104" s="139"/>
      <c r="GS104" s="139"/>
      <c r="GT104" s="139"/>
      <c r="GU104" s="139"/>
      <c r="GV104" s="139"/>
      <c r="GW104" s="139"/>
      <c r="GX104" s="139"/>
      <c r="GY104" s="139"/>
      <c r="GZ104" s="139"/>
      <c r="HA104" s="139"/>
      <c r="HB104" s="139"/>
      <c r="HC104" s="139"/>
      <c r="HD104" s="139"/>
      <c r="HE104" s="139"/>
      <c r="HF104" s="139"/>
      <c r="HG104" s="139"/>
      <c r="HH104" s="139"/>
      <c r="HI104" s="139"/>
      <c r="HJ104" s="139"/>
      <c r="HK104" s="139"/>
      <c r="HL104" s="139"/>
      <c r="HM104" s="139"/>
      <c r="HN104" s="139"/>
      <c r="HO104" s="139"/>
      <c r="HP104" s="139"/>
      <c r="HQ104" s="139"/>
      <c r="HR104" s="139"/>
      <c r="HS104" s="139"/>
      <c r="HT104" s="139"/>
      <c r="HU104" s="139"/>
      <c r="HV104" s="139"/>
      <c r="HW104" s="139"/>
      <c r="HX104" s="139"/>
      <c r="HY104" s="139"/>
      <c r="HZ104" s="139"/>
      <c r="IA104" s="139"/>
      <c r="IB104" s="139"/>
      <c r="IC104" s="139"/>
      <c r="ID104" s="139"/>
      <c r="IE104" s="139"/>
      <c r="IF104" s="139"/>
      <c r="IG104" s="139"/>
      <c r="IH104" s="139"/>
      <c r="II104" s="139"/>
      <c r="IJ104" s="139"/>
    </row>
    <row r="105" spans="2:244" x14ac:dyDescent="0.3">
      <c r="B105" s="5" t="s">
        <v>113</v>
      </c>
      <c r="C105" s="953" t="s">
        <v>216</v>
      </c>
      <c r="D105" s="672">
        <v>0</v>
      </c>
      <c r="E105" s="954">
        <v>0</v>
      </c>
      <c r="F105" s="954">
        <v>0</v>
      </c>
      <c r="G105" s="954">
        <v>0</v>
      </c>
      <c r="H105" s="671">
        <v>0</v>
      </c>
      <c r="I105" s="672">
        <v>0</v>
      </c>
      <c r="J105" s="954">
        <v>3069.122576250355</v>
      </c>
      <c r="K105" s="954">
        <v>0</v>
      </c>
      <c r="L105" s="954">
        <v>0</v>
      </c>
      <c r="M105" s="671">
        <v>0</v>
      </c>
      <c r="N105" s="672">
        <v>0</v>
      </c>
      <c r="O105" s="671">
        <v>0</v>
      </c>
      <c r="P105" s="672">
        <v>0</v>
      </c>
      <c r="Q105" s="671">
        <v>0</v>
      </c>
      <c r="R105" s="672">
        <v>0</v>
      </c>
      <c r="S105" s="671">
        <v>0</v>
      </c>
      <c r="T105" s="672">
        <v>0</v>
      </c>
      <c r="U105" s="671">
        <v>0</v>
      </c>
      <c r="V105" s="672">
        <v>0</v>
      </c>
      <c r="W105" s="671">
        <v>0</v>
      </c>
      <c r="X105" s="672">
        <v>0</v>
      </c>
      <c r="Y105" s="671">
        <v>0</v>
      </c>
      <c r="Z105" s="672">
        <v>0</v>
      </c>
      <c r="AA105" s="954">
        <v>3069.122576250355</v>
      </c>
      <c r="AB105" s="954">
        <v>0</v>
      </c>
      <c r="AC105" s="954">
        <v>0</v>
      </c>
      <c r="AD105" s="703">
        <f t="shared" si="16"/>
        <v>3069.122576250355</v>
      </c>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c r="BP105" s="139"/>
      <c r="BQ105" s="139"/>
      <c r="BR105" s="139"/>
      <c r="BS105" s="139"/>
      <c r="BT105" s="139"/>
      <c r="BU105" s="139"/>
      <c r="BV105" s="139"/>
      <c r="BW105" s="139"/>
      <c r="BX105" s="139"/>
      <c r="BY105" s="139"/>
      <c r="BZ105" s="139"/>
      <c r="CA105" s="139"/>
      <c r="CB105" s="139"/>
      <c r="CC105" s="139"/>
      <c r="CD105" s="139"/>
      <c r="CE105" s="139"/>
      <c r="CF105" s="139"/>
      <c r="CG105" s="139"/>
      <c r="CH105" s="139"/>
      <c r="CI105" s="139"/>
      <c r="CJ105" s="139"/>
      <c r="CK105" s="139"/>
      <c r="CL105" s="139"/>
      <c r="CM105" s="139"/>
      <c r="CN105" s="139"/>
      <c r="CO105" s="139"/>
      <c r="CP105" s="139"/>
      <c r="CQ105" s="139"/>
      <c r="CR105" s="139"/>
      <c r="CS105" s="139"/>
      <c r="CT105" s="139"/>
      <c r="CU105" s="139"/>
      <c r="CV105" s="139"/>
      <c r="CW105" s="139"/>
      <c r="CX105" s="139"/>
      <c r="CY105" s="139"/>
      <c r="CZ105" s="139"/>
      <c r="DA105" s="139"/>
      <c r="DB105" s="139"/>
      <c r="DC105" s="139"/>
      <c r="DD105" s="139"/>
      <c r="DE105" s="139"/>
      <c r="DF105" s="139"/>
      <c r="DG105" s="139"/>
      <c r="DH105" s="139"/>
      <c r="DI105" s="139"/>
      <c r="DJ105" s="139"/>
      <c r="DK105" s="139"/>
      <c r="DL105" s="139"/>
      <c r="DM105" s="139"/>
      <c r="DN105" s="139"/>
      <c r="DO105" s="139"/>
      <c r="DP105" s="139"/>
      <c r="DQ105" s="139"/>
      <c r="DR105" s="139"/>
      <c r="DS105" s="139"/>
      <c r="DT105" s="139"/>
      <c r="DU105" s="139"/>
      <c r="DV105" s="139"/>
      <c r="DW105" s="139"/>
      <c r="DX105" s="139"/>
      <c r="DY105" s="139"/>
      <c r="DZ105" s="139"/>
      <c r="EA105" s="139"/>
      <c r="EB105" s="139"/>
      <c r="EC105" s="139"/>
      <c r="ED105" s="139"/>
      <c r="EE105" s="139"/>
      <c r="EF105" s="139"/>
      <c r="EG105" s="139"/>
      <c r="EH105" s="139"/>
      <c r="EI105" s="139"/>
      <c r="EJ105" s="139"/>
      <c r="EK105" s="139"/>
      <c r="EL105" s="139"/>
      <c r="EM105" s="139"/>
      <c r="EN105" s="139"/>
      <c r="EO105" s="139"/>
      <c r="EP105" s="139"/>
      <c r="EQ105" s="139"/>
      <c r="ER105" s="139"/>
      <c r="ES105" s="139"/>
      <c r="ET105" s="139"/>
      <c r="EU105" s="139"/>
      <c r="EV105" s="139"/>
      <c r="EW105" s="139"/>
      <c r="EX105" s="139"/>
      <c r="EY105" s="139"/>
      <c r="EZ105" s="139"/>
      <c r="FA105" s="139"/>
      <c r="FB105" s="139"/>
      <c r="FC105" s="139"/>
      <c r="FD105" s="139"/>
      <c r="FE105" s="139"/>
      <c r="FF105" s="139"/>
      <c r="FG105" s="139"/>
      <c r="FH105" s="139"/>
      <c r="FI105" s="139"/>
      <c r="FJ105" s="139"/>
      <c r="FK105" s="139"/>
      <c r="FL105" s="139"/>
      <c r="FM105" s="139"/>
      <c r="FN105" s="139"/>
      <c r="FO105" s="139"/>
      <c r="FP105" s="139"/>
      <c r="FQ105" s="139"/>
      <c r="FR105" s="139"/>
      <c r="FS105" s="139"/>
      <c r="FT105" s="139"/>
      <c r="FU105" s="139"/>
      <c r="FV105" s="139"/>
      <c r="FW105" s="139"/>
      <c r="FX105" s="139"/>
      <c r="FY105" s="139"/>
      <c r="FZ105" s="139"/>
      <c r="GA105" s="139"/>
      <c r="GB105" s="139"/>
      <c r="GC105" s="139"/>
      <c r="GD105" s="139"/>
      <c r="GE105" s="139"/>
      <c r="GF105" s="139"/>
      <c r="GG105" s="139"/>
      <c r="GH105" s="139"/>
      <c r="GI105" s="139"/>
      <c r="GJ105" s="139"/>
      <c r="GK105" s="139"/>
      <c r="GL105" s="139"/>
      <c r="GM105" s="139"/>
      <c r="GN105" s="139"/>
      <c r="GO105" s="139"/>
      <c r="GP105" s="139"/>
      <c r="GQ105" s="139"/>
      <c r="GR105" s="139"/>
      <c r="GS105" s="139"/>
      <c r="GT105" s="139"/>
      <c r="GU105" s="139"/>
      <c r="GV105" s="139"/>
      <c r="GW105" s="139"/>
      <c r="GX105" s="139"/>
      <c r="GY105" s="139"/>
      <c r="GZ105" s="139"/>
      <c r="HA105" s="139"/>
      <c r="HB105" s="139"/>
      <c r="HC105" s="139"/>
      <c r="HD105" s="139"/>
      <c r="HE105" s="139"/>
      <c r="HF105" s="139"/>
      <c r="HG105" s="139"/>
      <c r="HH105" s="139"/>
      <c r="HI105" s="139"/>
      <c r="HJ105" s="139"/>
      <c r="HK105" s="139"/>
      <c r="HL105" s="139"/>
      <c r="HM105" s="139"/>
      <c r="HN105" s="139"/>
      <c r="HO105" s="139"/>
      <c r="HP105" s="139"/>
      <c r="HQ105" s="139"/>
      <c r="HR105" s="139"/>
      <c r="HS105" s="139"/>
      <c r="HT105" s="139"/>
      <c r="HU105" s="139"/>
      <c r="HV105" s="139"/>
      <c r="HW105" s="139"/>
      <c r="HX105" s="139"/>
      <c r="HY105" s="139"/>
      <c r="HZ105" s="139"/>
      <c r="IA105" s="139"/>
      <c r="IB105" s="139"/>
      <c r="IC105" s="139"/>
      <c r="ID105" s="139"/>
      <c r="IE105" s="139"/>
      <c r="IF105" s="139"/>
      <c r="IG105" s="139"/>
      <c r="IH105" s="139"/>
      <c r="II105" s="139"/>
      <c r="IJ105" s="139"/>
    </row>
    <row r="106" spans="2:244" x14ac:dyDescent="0.3">
      <c r="B106" s="5" t="s">
        <v>114</v>
      </c>
      <c r="C106" s="953" t="s">
        <v>217</v>
      </c>
      <c r="D106" s="672">
        <v>0</v>
      </c>
      <c r="E106" s="954">
        <v>0</v>
      </c>
      <c r="F106" s="954">
        <v>0</v>
      </c>
      <c r="G106" s="954">
        <v>0</v>
      </c>
      <c r="H106" s="671">
        <v>0</v>
      </c>
      <c r="I106" s="672">
        <v>0</v>
      </c>
      <c r="J106" s="954">
        <v>0</v>
      </c>
      <c r="K106" s="954">
        <v>0</v>
      </c>
      <c r="L106" s="954">
        <v>0</v>
      </c>
      <c r="M106" s="671">
        <v>0</v>
      </c>
      <c r="N106" s="672">
        <v>0</v>
      </c>
      <c r="O106" s="671">
        <v>0</v>
      </c>
      <c r="P106" s="672">
        <v>0</v>
      </c>
      <c r="Q106" s="671">
        <v>0</v>
      </c>
      <c r="R106" s="672">
        <v>0</v>
      </c>
      <c r="S106" s="671">
        <v>0</v>
      </c>
      <c r="T106" s="672">
        <v>0</v>
      </c>
      <c r="U106" s="671">
        <v>0</v>
      </c>
      <c r="V106" s="672">
        <v>0</v>
      </c>
      <c r="W106" s="671">
        <v>0</v>
      </c>
      <c r="X106" s="672">
        <v>0</v>
      </c>
      <c r="Y106" s="671">
        <v>0</v>
      </c>
      <c r="Z106" s="672">
        <v>0</v>
      </c>
      <c r="AA106" s="954">
        <v>0</v>
      </c>
      <c r="AB106" s="954">
        <v>0</v>
      </c>
      <c r="AC106" s="954">
        <v>0</v>
      </c>
      <c r="AD106" s="703">
        <f t="shared" si="16"/>
        <v>0</v>
      </c>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c r="BA106" s="139"/>
      <c r="BB106" s="139"/>
      <c r="BC106" s="139"/>
      <c r="BD106" s="139"/>
      <c r="BE106" s="139"/>
      <c r="BF106" s="139"/>
      <c r="BG106" s="139"/>
      <c r="BH106" s="139"/>
      <c r="BI106" s="139"/>
      <c r="BJ106" s="139"/>
      <c r="BK106" s="139"/>
      <c r="BL106" s="139"/>
      <c r="BM106" s="139"/>
      <c r="BN106" s="139"/>
      <c r="BO106" s="139"/>
      <c r="BP106" s="139"/>
      <c r="BQ106" s="139"/>
      <c r="BR106" s="139"/>
      <c r="BS106" s="139"/>
      <c r="BT106" s="139"/>
      <c r="BU106" s="139"/>
      <c r="BV106" s="139"/>
      <c r="BW106" s="139"/>
      <c r="BX106" s="139"/>
      <c r="BY106" s="139"/>
      <c r="BZ106" s="139"/>
      <c r="CA106" s="139"/>
      <c r="CB106" s="139"/>
      <c r="CC106" s="139"/>
      <c r="CD106" s="139"/>
      <c r="CE106" s="139"/>
      <c r="CF106" s="139"/>
      <c r="CG106" s="139"/>
      <c r="CH106" s="139"/>
      <c r="CI106" s="139"/>
      <c r="CJ106" s="139"/>
      <c r="CK106" s="139"/>
      <c r="CL106" s="139"/>
      <c r="CM106" s="139"/>
      <c r="CN106" s="139"/>
      <c r="CO106" s="139"/>
      <c r="CP106" s="139"/>
      <c r="CQ106" s="139"/>
      <c r="CR106" s="139"/>
      <c r="CS106" s="139"/>
      <c r="CT106" s="139"/>
      <c r="CU106" s="139"/>
      <c r="CV106" s="139"/>
      <c r="CW106" s="139"/>
      <c r="CX106" s="139"/>
      <c r="CY106" s="139"/>
      <c r="CZ106" s="139"/>
      <c r="DA106" s="139"/>
      <c r="DB106" s="139"/>
      <c r="DC106" s="139"/>
      <c r="DD106" s="139"/>
      <c r="DE106" s="139"/>
      <c r="DF106" s="139"/>
      <c r="DG106" s="139"/>
      <c r="DH106" s="139"/>
      <c r="DI106" s="139"/>
      <c r="DJ106" s="139"/>
      <c r="DK106" s="139"/>
      <c r="DL106" s="139"/>
      <c r="DM106" s="139"/>
      <c r="DN106" s="139"/>
      <c r="DO106" s="139"/>
      <c r="DP106" s="139"/>
      <c r="DQ106" s="139"/>
      <c r="DR106" s="139"/>
      <c r="DS106" s="139"/>
      <c r="DT106" s="139"/>
      <c r="DU106" s="139"/>
      <c r="DV106" s="139"/>
      <c r="DW106" s="139"/>
      <c r="DX106" s="139"/>
      <c r="DY106" s="139"/>
      <c r="DZ106" s="139"/>
      <c r="EA106" s="139"/>
      <c r="EB106" s="139"/>
      <c r="EC106" s="139"/>
      <c r="ED106" s="139"/>
      <c r="EE106" s="139"/>
      <c r="EF106" s="139"/>
      <c r="EG106" s="139"/>
      <c r="EH106" s="139"/>
      <c r="EI106" s="139"/>
      <c r="EJ106" s="139"/>
      <c r="EK106" s="139"/>
      <c r="EL106" s="139"/>
      <c r="EM106" s="139"/>
      <c r="EN106" s="139"/>
      <c r="EO106" s="139"/>
      <c r="EP106" s="139"/>
      <c r="EQ106" s="139"/>
      <c r="ER106" s="139"/>
      <c r="ES106" s="139"/>
      <c r="ET106" s="139"/>
      <c r="EU106" s="139"/>
      <c r="EV106" s="139"/>
      <c r="EW106" s="139"/>
      <c r="EX106" s="139"/>
      <c r="EY106" s="139"/>
      <c r="EZ106" s="139"/>
      <c r="FA106" s="139"/>
      <c r="FB106" s="139"/>
      <c r="FC106" s="139"/>
      <c r="FD106" s="139"/>
      <c r="FE106" s="139"/>
      <c r="FF106" s="139"/>
      <c r="FG106" s="139"/>
      <c r="FH106" s="139"/>
      <c r="FI106" s="139"/>
      <c r="FJ106" s="139"/>
      <c r="FK106" s="139"/>
      <c r="FL106" s="139"/>
      <c r="FM106" s="139"/>
      <c r="FN106" s="139"/>
      <c r="FO106" s="139"/>
      <c r="FP106" s="139"/>
      <c r="FQ106" s="139"/>
      <c r="FR106" s="139"/>
      <c r="FS106" s="139"/>
      <c r="FT106" s="139"/>
      <c r="FU106" s="139"/>
      <c r="FV106" s="139"/>
      <c r="FW106" s="139"/>
      <c r="FX106" s="139"/>
      <c r="FY106" s="139"/>
      <c r="FZ106" s="139"/>
      <c r="GA106" s="139"/>
      <c r="GB106" s="139"/>
      <c r="GC106" s="139"/>
      <c r="GD106" s="139"/>
      <c r="GE106" s="139"/>
      <c r="GF106" s="139"/>
      <c r="GG106" s="139"/>
      <c r="GH106" s="139"/>
      <c r="GI106" s="139"/>
      <c r="GJ106" s="139"/>
      <c r="GK106" s="139"/>
      <c r="GL106" s="139"/>
      <c r="GM106" s="139"/>
      <c r="GN106" s="139"/>
      <c r="GO106" s="139"/>
      <c r="GP106" s="139"/>
      <c r="GQ106" s="139"/>
      <c r="GR106" s="139"/>
      <c r="GS106" s="139"/>
      <c r="GT106" s="139"/>
      <c r="GU106" s="139"/>
      <c r="GV106" s="139"/>
      <c r="GW106" s="139"/>
      <c r="GX106" s="139"/>
      <c r="GY106" s="139"/>
      <c r="GZ106" s="139"/>
      <c r="HA106" s="139"/>
      <c r="HB106" s="139"/>
      <c r="HC106" s="139"/>
      <c r="HD106" s="139"/>
      <c r="HE106" s="139"/>
      <c r="HF106" s="139"/>
      <c r="HG106" s="139"/>
      <c r="HH106" s="139"/>
      <c r="HI106" s="139"/>
      <c r="HJ106" s="139"/>
      <c r="HK106" s="139"/>
      <c r="HL106" s="139"/>
      <c r="HM106" s="139"/>
      <c r="HN106" s="139"/>
      <c r="HO106" s="139"/>
      <c r="HP106" s="139"/>
      <c r="HQ106" s="139"/>
      <c r="HR106" s="139"/>
      <c r="HS106" s="139"/>
      <c r="HT106" s="139"/>
      <c r="HU106" s="139"/>
      <c r="HV106" s="139"/>
      <c r="HW106" s="139"/>
      <c r="HX106" s="139"/>
      <c r="HY106" s="139"/>
      <c r="HZ106" s="139"/>
      <c r="IA106" s="139"/>
      <c r="IB106" s="139"/>
      <c r="IC106" s="139"/>
      <c r="ID106" s="139"/>
      <c r="IE106" s="139"/>
      <c r="IF106" s="139"/>
      <c r="IG106" s="139"/>
      <c r="IH106" s="139"/>
      <c r="II106" s="139"/>
      <c r="IJ106" s="139"/>
    </row>
    <row r="107" spans="2:244" x14ac:dyDescent="0.3">
      <c r="B107" s="5" t="s">
        <v>115</v>
      </c>
      <c r="C107" s="953" t="s">
        <v>218</v>
      </c>
      <c r="D107" s="672">
        <v>0</v>
      </c>
      <c r="E107" s="954">
        <v>7866.4076267423743</v>
      </c>
      <c r="F107" s="954">
        <v>0</v>
      </c>
      <c r="G107" s="954">
        <v>0</v>
      </c>
      <c r="H107" s="671">
        <v>0</v>
      </c>
      <c r="I107" s="672">
        <v>0</v>
      </c>
      <c r="J107" s="954">
        <v>0</v>
      </c>
      <c r="K107" s="954">
        <v>0</v>
      </c>
      <c r="L107" s="954">
        <v>0</v>
      </c>
      <c r="M107" s="671">
        <v>0</v>
      </c>
      <c r="N107" s="672">
        <v>0</v>
      </c>
      <c r="O107" s="671">
        <v>0</v>
      </c>
      <c r="P107" s="672">
        <v>0</v>
      </c>
      <c r="Q107" s="671">
        <v>0</v>
      </c>
      <c r="R107" s="672">
        <v>0</v>
      </c>
      <c r="S107" s="671">
        <v>0</v>
      </c>
      <c r="T107" s="672">
        <v>0</v>
      </c>
      <c r="U107" s="671">
        <v>0</v>
      </c>
      <c r="V107" s="672">
        <v>0</v>
      </c>
      <c r="W107" s="671">
        <v>0</v>
      </c>
      <c r="X107" s="672">
        <v>0</v>
      </c>
      <c r="Y107" s="671">
        <v>0</v>
      </c>
      <c r="Z107" s="672">
        <v>0</v>
      </c>
      <c r="AA107" s="954">
        <v>7866.4076267423743</v>
      </c>
      <c r="AB107" s="954">
        <v>0</v>
      </c>
      <c r="AC107" s="954">
        <v>0</v>
      </c>
      <c r="AD107" s="703">
        <f t="shared" si="16"/>
        <v>7866.4076267423743</v>
      </c>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c r="BJ107" s="139"/>
      <c r="BK107" s="139"/>
      <c r="BL107" s="139"/>
      <c r="BM107" s="139"/>
      <c r="BN107" s="139"/>
      <c r="BO107" s="139"/>
      <c r="BP107" s="139"/>
      <c r="BQ107" s="139"/>
      <c r="BR107" s="139"/>
      <c r="BS107" s="139"/>
      <c r="BT107" s="139"/>
      <c r="BU107" s="139"/>
      <c r="BV107" s="139"/>
      <c r="BW107" s="139"/>
      <c r="BX107" s="139"/>
      <c r="BY107" s="139"/>
      <c r="BZ107" s="139"/>
      <c r="CA107" s="139"/>
      <c r="CB107" s="139"/>
      <c r="CC107" s="139"/>
      <c r="CD107" s="139"/>
      <c r="CE107" s="139"/>
      <c r="CF107" s="139"/>
      <c r="CG107" s="139"/>
      <c r="CH107" s="139"/>
      <c r="CI107" s="139"/>
      <c r="CJ107" s="139"/>
      <c r="CK107" s="139"/>
      <c r="CL107" s="139"/>
      <c r="CM107" s="139"/>
      <c r="CN107" s="139"/>
      <c r="CO107" s="139"/>
      <c r="CP107" s="139"/>
      <c r="CQ107" s="139"/>
      <c r="CR107" s="139"/>
      <c r="CS107" s="139"/>
      <c r="CT107" s="139"/>
      <c r="CU107" s="139"/>
      <c r="CV107" s="139"/>
      <c r="CW107" s="139"/>
      <c r="CX107" s="139"/>
      <c r="CY107" s="139"/>
      <c r="CZ107" s="139"/>
      <c r="DA107" s="139"/>
      <c r="DB107" s="139"/>
      <c r="DC107" s="139"/>
      <c r="DD107" s="139"/>
      <c r="DE107" s="139"/>
      <c r="DF107" s="139"/>
      <c r="DG107" s="139"/>
      <c r="DH107" s="139"/>
      <c r="DI107" s="139"/>
      <c r="DJ107" s="139"/>
      <c r="DK107" s="139"/>
      <c r="DL107" s="139"/>
      <c r="DM107" s="139"/>
      <c r="DN107" s="139"/>
      <c r="DO107" s="139"/>
      <c r="DP107" s="139"/>
      <c r="DQ107" s="139"/>
      <c r="DR107" s="139"/>
      <c r="DS107" s="139"/>
      <c r="DT107" s="139"/>
      <c r="DU107" s="139"/>
      <c r="DV107" s="139"/>
      <c r="DW107" s="139"/>
      <c r="DX107" s="139"/>
      <c r="DY107" s="139"/>
      <c r="DZ107" s="139"/>
      <c r="EA107" s="139"/>
      <c r="EB107" s="139"/>
      <c r="EC107" s="139"/>
      <c r="ED107" s="139"/>
      <c r="EE107" s="139"/>
      <c r="EF107" s="139"/>
      <c r="EG107" s="139"/>
      <c r="EH107" s="139"/>
      <c r="EI107" s="139"/>
      <c r="EJ107" s="139"/>
      <c r="EK107" s="139"/>
      <c r="EL107" s="139"/>
      <c r="EM107" s="139"/>
      <c r="EN107" s="139"/>
      <c r="EO107" s="139"/>
      <c r="EP107" s="139"/>
      <c r="EQ107" s="139"/>
      <c r="ER107" s="139"/>
      <c r="ES107" s="139"/>
      <c r="ET107" s="139"/>
      <c r="EU107" s="139"/>
      <c r="EV107" s="139"/>
      <c r="EW107" s="139"/>
      <c r="EX107" s="139"/>
      <c r="EY107" s="139"/>
      <c r="EZ107" s="139"/>
      <c r="FA107" s="139"/>
      <c r="FB107" s="139"/>
      <c r="FC107" s="139"/>
      <c r="FD107" s="139"/>
      <c r="FE107" s="139"/>
      <c r="FF107" s="139"/>
      <c r="FG107" s="139"/>
      <c r="FH107" s="139"/>
      <c r="FI107" s="139"/>
      <c r="FJ107" s="139"/>
      <c r="FK107" s="139"/>
      <c r="FL107" s="139"/>
      <c r="FM107" s="139"/>
      <c r="FN107" s="139"/>
      <c r="FO107" s="139"/>
      <c r="FP107" s="139"/>
      <c r="FQ107" s="139"/>
      <c r="FR107" s="139"/>
      <c r="FS107" s="139"/>
      <c r="FT107" s="139"/>
      <c r="FU107" s="139"/>
      <c r="FV107" s="139"/>
      <c r="FW107" s="139"/>
      <c r="FX107" s="139"/>
      <c r="FY107" s="139"/>
      <c r="FZ107" s="139"/>
      <c r="GA107" s="139"/>
      <c r="GB107" s="139"/>
      <c r="GC107" s="139"/>
      <c r="GD107" s="139"/>
      <c r="GE107" s="139"/>
      <c r="GF107" s="139"/>
      <c r="GG107" s="139"/>
      <c r="GH107" s="139"/>
      <c r="GI107" s="139"/>
      <c r="GJ107" s="139"/>
      <c r="GK107" s="139"/>
      <c r="GL107" s="139"/>
      <c r="GM107" s="139"/>
      <c r="GN107" s="139"/>
      <c r="GO107" s="139"/>
      <c r="GP107" s="139"/>
      <c r="GQ107" s="139"/>
      <c r="GR107" s="139"/>
      <c r="GS107" s="139"/>
      <c r="GT107" s="139"/>
      <c r="GU107" s="139"/>
      <c r="GV107" s="139"/>
      <c r="GW107" s="139"/>
      <c r="GX107" s="139"/>
      <c r="GY107" s="139"/>
      <c r="GZ107" s="139"/>
      <c r="HA107" s="139"/>
      <c r="HB107" s="139"/>
      <c r="HC107" s="139"/>
      <c r="HD107" s="139"/>
      <c r="HE107" s="139"/>
      <c r="HF107" s="139"/>
      <c r="HG107" s="139"/>
      <c r="HH107" s="139"/>
      <c r="HI107" s="139"/>
      <c r="HJ107" s="139"/>
      <c r="HK107" s="139"/>
      <c r="HL107" s="139"/>
      <c r="HM107" s="139"/>
      <c r="HN107" s="139"/>
      <c r="HO107" s="139"/>
      <c r="HP107" s="139"/>
      <c r="HQ107" s="139"/>
      <c r="HR107" s="139"/>
      <c r="HS107" s="139"/>
      <c r="HT107" s="139"/>
      <c r="HU107" s="139"/>
      <c r="HV107" s="139"/>
      <c r="HW107" s="139"/>
      <c r="HX107" s="139"/>
      <c r="HY107" s="139"/>
      <c r="HZ107" s="139"/>
      <c r="IA107" s="139"/>
      <c r="IB107" s="139"/>
      <c r="IC107" s="139"/>
      <c r="ID107" s="139"/>
      <c r="IE107" s="139"/>
      <c r="IF107" s="139"/>
      <c r="IG107" s="139"/>
      <c r="IH107" s="139"/>
      <c r="II107" s="139"/>
      <c r="IJ107" s="139"/>
    </row>
    <row r="108" spans="2:244" x14ac:dyDescent="0.3">
      <c r="B108" s="5" t="s">
        <v>116</v>
      </c>
      <c r="C108" s="953" t="s">
        <v>219</v>
      </c>
      <c r="D108" s="672">
        <v>0</v>
      </c>
      <c r="E108" s="954">
        <v>0</v>
      </c>
      <c r="F108" s="954">
        <v>0</v>
      </c>
      <c r="G108" s="954">
        <v>0</v>
      </c>
      <c r="H108" s="671">
        <v>0</v>
      </c>
      <c r="I108" s="672">
        <v>0</v>
      </c>
      <c r="J108" s="954">
        <v>0</v>
      </c>
      <c r="K108" s="954">
        <v>0</v>
      </c>
      <c r="L108" s="954">
        <v>0</v>
      </c>
      <c r="M108" s="671">
        <v>0</v>
      </c>
      <c r="N108" s="672">
        <v>0</v>
      </c>
      <c r="O108" s="671">
        <v>0</v>
      </c>
      <c r="P108" s="672">
        <v>0</v>
      </c>
      <c r="Q108" s="671">
        <v>0</v>
      </c>
      <c r="R108" s="672">
        <v>0</v>
      </c>
      <c r="S108" s="671">
        <v>0</v>
      </c>
      <c r="T108" s="672">
        <v>0</v>
      </c>
      <c r="U108" s="671">
        <v>0</v>
      </c>
      <c r="V108" s="672">
        <v>0</v>
      </c>
      <c r="W108" s="671">
        <v>0</v>
      </c>
      <c r="X108" s="672">
        <v>0</v>
      </c>
      <c r="Y108" s="671">
        <v>0</v>
      </c>
      <c r="Z108" s="672">
        <v>0</v>
      </c>
      <c r="AA108" s="954">
        <v>0</v>
      </c>
      <c r="AB108" s="954">
        <v>0</v>
      </c>
      <c r="AC108" s="954">
        <v>0</v>
      </c>
      <c r="AD108" s="703">
        <f t="shared" si="16"/>
        <v>0</v>
      </c>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c r="BA108" s="139"/>
      <c r="BB108" s="139"/>
      <c r="BC108" s="139"/>
      <c r="BD108" s="139"/>
      <c r="BE108" s="139"/>
      <c r="BF108" s="139"/>
      <c r="BG108" s="139"/>
      <c r="BH108" s="139"/>
      <c r="BI108" s="139"/>
      <c r="BJ108" s="139"/>
      <c r="BK108" s="139"/>
      <c r="BL108" s="139"/>
      <c r="BM108" s="139"/>
      <c r="BN108" s="139"/>
      <c r="BO108" s="139"/>
      <c r="BP108" s="139"/>
      <c r="BQ108" s="139"/>
      <c r="BR108" s="139"/>
      <c r="BS108" s="139"/>
      <c r="BT108" s="139"/>
      <c r="BU108" s="139"/>
      <c r="BV108" s="139"/>
      <c r="BW108" s="139"/>
      <c r="BX108" s="139"/>
      <c r="BY108" s="139"/>
      <c r="BZ108" s="139"/>
      <c r="CA108" s="139"/>
      <c r="CB108" s="139"/>
      <c r="CC108" s="139"/>
      <c r="CD108" s="139"/>
      <c r="CE108" s="139"/>
      <c r="CF108" s="139"/>
      <c r="CG108" s="139"/>
      <c r="CH108" s="139"/>
      <c r="CI108" s="139"/>
      <c r="CJ108" s="139"/>
      <c r="CK108" s="139"/>
      <c r="CL108" s="139"/>
      <c r="CM108" s="139"/>
      <c r="CN108" s="139"/>
      <c r="CO108" s="139"/>
      <c r="CP108" s="139"/>
      <c r="CQ108" s="139"/>
      <c r="CR108" s="139"/>
      <c r="CS108" s="139"/>
      <c r="CT108" s="139"/>
      <c r="CU108" s="139"/>
      <c r="CV108" s="139"/>
      <c r="CW108" s="139"/>
      <c r="CX108" s="139"/>
      <c r="CY108" s="139"/>
      <c r="CZ108" s="139"/>
      <c r="DA108" s="139"/>
      <c r="DB108" s="139"/>
      <c r="DC108" s="139"/>
      <c r="DD108" s="139"/>
      <c r="DE108" s="139"/>
      <c r="DF108" s="139"/>
      <c r="DG108" s="139"/>
      <c r="DH108" s="139"/>
      <c r="DI108" s="139"/>
      <c r="DJ108" s="139"/>
      <c r="DK108" s="139"/>
      <c r="DL108" s="139"/>
      <c r="DM108" s="139"/>
      <c r="DN108" s="139"/>
      <c r="DO108" s="139"/>
      <c r="DP108" s="139"/>
      <c r="DQ108" s="139"/>
      <c r="DR108" s="139"/>
      <c r="DS108" s="139"/>
      <c r="DT108" s="139"/>
      <c r="DU108" s="139"/>
      <c r="DV108" s="139"/>
      <c r="DW108" s="139"/>
      <c r="DX108" s="139"/>
      <c r="DY108" s="139"/>
      <c r="DZ108" s="139"/>
      <c r="EA108" s="139"/>
      <c r="EB108" s="139"/>
      <c r="EC108" s="139"/>
      <c r="ED108" s="139"/>
      <c r="EE108" s="139"/>
      <c r="EF108" s="139"/>
      <c r="EG108" s="139"/>
      <c r="EH108" s="139"/>
      <c r="EI108" s="139"/>
      <c r="EJ108" s="139"/>
      <c r="EK108" s="139"/>
      <c r="EL108" s="139"/>
      <c r="EM108" s="139"/>
      <c r="EN108" s="139"/>
      <c r="EO108" s="139"/>
      <c r="EP108" s="139"/>
      <c r="EQ108" s="139"/>
      <c r="ER108" s="139"/>
      <c r="ES108" s="139"/>
      <c r="ET108" s="139"/>
      <c r="EU108" s="139"/>
      <c r="EV108" s="139"/>
      <c r="EW108" s="139"/>
      <c r="EX108" s="139"/>
      <c r="EY108" s="139"/>
      <c r="EZ108" s="139"/>
      <c r="FA108" s="139"/>
      <c r="FB108" s="139"/>
      <c r="FC108" s="139"/>
      <c r="FD108" s="139"/>
      <c r="FE108" s="139"/>
      <c r="FF108" s="139"/>
      <c r="FG108" s="139"/>
      <c r="FH108" s="139"/>
      <c r="FI108" s="139"/>
      <c r="FJ108" s="139"/>
      <c r="FK108" s="139"/>
      <c r="FL108" s="139"/>
      <c r="FM108" s="139"/>
      <c r="FN108" s="139"/>
      <c r="FO108" s="139"/>
      <c r="FP108" s="139"/>
      <c r="FQ108" s="139"/>
      <c r="FR108" s="139"/>
      <c r="FS108" s="139"/>
      <c r="FT108" s="139"/>
      <c r="FU108" s="139"/>
      <c r="FV108" s="139"/>
      <c r="FW108" s="139"/>
      <c r="FX108" s="139"/>
      <c r="FY108" s="139"/>
      <c r="FZ108" s="139"/>
      <c r="GA108" s="139"/>
      <c r="GB108" s="139"/>
      <c r="GC108" s="139"/>
      <c r="GD108" s="139"/>
      <c r="GE108" s="139"/>
      <c r="GF108" s="139"/>
      <c r="GG108" s="139"/>
      <c r="GH108" s="139"/>
      <c r="GI108" s="139"/>
      <c r="GJ108" s="139"/>
      <c r="GK108" s="139"/>
      <c r="GL108" s="139"/>
      <c r="GM108" s="139"/>
      <c r="GN108" s="139"/>
      <c r="GO108" s="139"/>
      <c r="GP108" s="139"/>
      <c r="GQ108" s="139"/>
      <c r="GR108" s="139"/>
      <c r="GS108" s="139"/>
      <c r="GT108" s="139"/>
      <c r="GU108" s="139"/>
      <c r="GV108" s="139"/>
      <c r="GW108" s="139"/>
      <c r="GX108" s="139"/>
      <c r="GY108" s="139"/>
      <c r="GZ108" s="139"/>
      <c r="HA108" s="139"/>
      <c r="HB108" s="139"/>
      <c r="HC108" s="139"/>
      <c r="HD108" s="139"/>
      <c r="HE108" s="139"/>
      <c r="HF108" s="139"/>
      <c r="HG108" s="139"/>
      <c r="HH108" s="139"/>
      <c r="HI108" s="139"/>
      <c r="HJ108" s="139"/>
      <c r="HK108" s="139"/>
      <c r="HL108" s="139"/>
      <c r="HM108" s="139"/>
      <c r="HN108" s="139"/>
      <c r="HO108" s="139"/>
      <c r="HP108" s="139"/>
      <c r="HQ108" s="139"/>
      <c r="HR108" s="139"/>
      <c r="HS108" s="139"/>
      <c r="HT108" s="139"/>
      <c r="HU108" s="139"/>
      <c r="HV108" s="139"/>
      <c r="HW108" s="139"/>
      <c r="HX108" s="139"/>
      <c r="HY108" s="139"/>
      <c r="HZ108" s="139"/>
      <c r="IA108" s="139"/>
      <c r="IB108" s="139"/>
      <c r="IC108" s="139"/>
      <c r="ID108" s="139"/>
      <c r="IE108" s="139"/>
      <c r="IF108" s="139"/>
      <c r="IG108" s="139"/>
      <c r="IH108" s="139"/>
      <c r="II108" s="139"/>
      <c r="IJ108" s="139"/>
    </row>
    <row r="109" spans="2:244" x14ac:dyDescent="0.3">
      <c r="B109" s="5" t="s">
        <v>117</v>
      </c>
      <c r="C109" s="953" t="s">
        <v>220</v>
      </c>
      <c r="D109" s="672">
        <v>0</v>
      </c>
      <c r="E109" s="954">
        <v>0</v>
      </c>
      <c r="F109" s="954">
        <v>0</v>
      </c>
      <c r="G109" s="954">
        <v>0</v>
      </c>
      <c r="H109" s="671">
        <v>0</v>
      </c>
      <c r="I109" s="672">
        <v>0</v>
      </c>
      <c r="J109" s="954">
        <v>0</v>
      </c>
      <c r="K109" s="954">
        <v>0</v>
      </c>
      <c r="L109" s="954">
        <v>0</v>
      </c>
      <c r="M109" s="671">
        <v>0</v>
      </c>
      <c r="N109" s="672">
        <v>0</v>
      </c>
      <c r="O109" s="671">
        <v>0</v>
      </c>
      <c r="P109" s="672">
        <v>0</v>
      </c>
      <c r="Q109" s="671">
        <v>0</v>
      </c>
      <c r="R109" s="672">
        <v>0</v>
      </c>
      <c r="S109" s="671">
        <v>192.52970285018927</v>
      </c>
      <c r="T109" s="672">
        <v>0</v>
      </c>
      <c r="U109" s="671">
        <v>0</v>
      </c>
      <c r="V109" s="672">
        <v>0</v>
      </c>
      <c r="W109" s="671">
        <v>0</v>
      </c>
      <c r="X109" s="672">
        <v>0</v>
      </c>
      <c r="Y109" s="671">
        <v>0</v>
      </c>
      <c r="Z109" s="672">
        <v>0</v>
      </c>
      <c r="AA109" s="954">
        <v>192.52970285018927</v>
      </c>
      <c r="AB109" s="954">
        <v>0</v>
      </c>
      <c r="AC109" s="954">
        <v>0</v>
      </c>
      <c r="AD109" s="703">
        <f t="shared" si="16"/>
        <v>192.52970285018927</v>
      </c>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39"/>
      <c r="BC109" s="139"/>
      <c r="BD109" s="139"/>
      <c r="BE109" s="139"/>
      <c r="BF109" s="139"/>
      <c r="BG109" s="139"/>
      <c r="BH109" s="139"/>
      <c r="BI109" s="139"/>
      <c r="BJ109" s="139"/>
      <c r="BK109" s="139"/>
      <c r="BL109" s="139"/>
      <c r="BM109" s="139"/>
      <c r="BN109" s="139"/>
      <c r="BO109" s="139"/>
      <c r="BP109" s="139"/>
      <c r="BQ109" s="139"/>
      <c r="BR109" s="139"/>
      <c r="BS109" s="139"/>
      <c r="BT109" s="139"/>
      <c r="BU109" s="139"/>
      <c r="BV109" s="139"/>
      <c r="BW109" s="139"/>
      <c r="BX109" s="139"/>
      <c r="BY109" s="139"/>
      <c r="BZ109" s="139"/>
      <c r="CA109" s="139"/>
      <c r="CB109" s="139"/>
      <c r="CC109" s="139"/>
      <c r="CD109" s="139"/>
      <c r="CE109" s="139"/>
      <c r="CF109" s="139"/>
      <c r="CG109" s="139"/>
      <c r="CH109" s="139"/>
      <c r="CI109" s="139"/>
      <c r="CJ109" s="139"/>
      <c r="CK109" s="139"/>
      <c r="CL109" s="139"/>
      <c r="CM109" s="139"/>
      <c r="CN109" s="139"/>
      <c r="CO109" s="139"/>
      <c r="CP109" s="139"/>
      <c r="CQ109" s="139"/>
      <c r="CR109" s="139"/>
      <c r="CS109" s="139"/>
      <c r="CT109" s="139"/>
      <c r="CU109" s="139"/>
      <c r="CV109" s="139"/>
      <c r="CW109" s="139"/>
      <c r="CX109" s="139"/>
      <c r="CY109" s="139"/>
      <c r="CZ109" s="139"/>
      <c r="DA109" s="139"/>
      <c r="DB109" s="139"/>
      <c r="DC109" s="139"/>
      <c r="DD109" s="139"/>
      <c r="DE109" s="139"/>
      <c r="DF109" s="139"/>
      <c r="DG109" s="139"/>
      <c r="DH109" s="139"/>
      <c r="DI109" s="139"/>
      <c r="DJ109" s="139"/>
      <c r="DK109" s="139"/>
      <c r="DL109" s="139"/>
      <c r="DM109" s="139"/>
      <c r="DN109" s="139"/>
      <c r="DO109" s="139"/>
      <c r="DP109" s="139"/>
      <c r="DQ109" s="139"/>
      <c r="DR109" s="139"/>
      <c r="DS109" s="139"/>
      <c r="DT109" s="139"/>
      <c r="DU109" s="139"/>
      <c r="DV109" s="139"/>
      <c r="DW109" s="139"/>
      <c r="DX109" s="139"/>
      <c r="DY109" s="139"/>
      <c r="DZ109" s="139"/>
      <c r="EA109" s="139"/>
      <c r="EB109" s="139"/>
      <c r="EC109" s="139"/>
      <c r="ED109" s="139"/>
      <c r="EE109" s="139"/>
      <c r="EF109" s="139"/>
      <c r="EG109" s="139"/>
      <c r="EH109" s="139"/>
      <c r="EI109" s="139"/>
      <c r="EJ109" s="139"/>
      <c r="EK109" s="139"/>
      <c r="EL109" s="139"/>
      <c r="EM109" s="139"/>
      <c r="EN109" s="139"/>
      <c r="EO109" s="139"/>
      <c r="EP109" s="139"/>
      <c r="EQ109" s="139"/>
      <c r="ER109" s="139"/>
      <c r="ES109" s="139"/>
      <c r="ET109" s="139"/>
      <c r="EU109" s="139"/>
      <c r="EV109" s="139"/>
      <c r="EW109" s="139"/>
      <c r="EX109" s="139"/>
      <c r="EY109" s="139"/>
      <c r="EZ109" s="139"/>
      <c r="FA109" s="139"/>
      <c r="FB109" s="139"/>
      <c r="FC109" s="139"/>
      <c r="FD109" s="139"/>
      <c r="FE109" s="139"/>
      <c r="FF109" s="139"/>
      <c r="FG109" s="139"/>
      <c r="FH109" s="139"/>
      <c r="FI109" s="139"/>
      <c r="FJ109" s="139"/>
      <c r="FK109" s="139"/>
      <c r="FL109" s="139"/>
      <c r="FM109" s="139"/>
      <c r="FN109" s="139"/>
      <c r="FO109" s="139"/>
      <c r="FP109" s="139"/>
      <c r="FQ109" s="139"/>
      <c r="FR109" s="139"/>
      <c r="FS109" s="139"/>
      <c r="FT109" s="139"/>
      <c r="FU109" s="139"/>
      <c r="FV109" s="139"/>
      <c r="FW109" s="139"/>
      <c r="FX109" s="139"/>
      <c r="FY109" s="139"/>
      <c r="FZ109" s="139"/>
      <c r="GA109" s="139"/>
      <c r="GB109" s="139"/>
      <c r="GC109" s="139"/>
      <c r="GD109" s="139"/>
      <c r="GE109" s="139"/>
      <c r="GF109" s="139"/>
      <c r="GG109" s="139"/>
      <c r="GH109" s="139"/>
      <c r="GI109" s="139"/>
      <c r="GJ109" s="139"/>
      <c r="GK109" s="139"/>
      <c r="GL109" s="139"/>
      <c r="GM109" s="139"/>
      <c r="GN109" s="139"/>
      <c r="GO109" s="139"/>
      <c r="GP109" s="139"/>
      <c r="GQ109" s="139"/>
      <c r="GR109" s="139"/>
      <c r="GS109" s="139"/>
      <c r="GT109" s="139"/>
      <c r="GU109" s="139"/>
      <c r="GV109" s="139"/>
      <c r="GW109" s="139"/>
      <c r="GX109" s="139"/>
      <c r="GY109" s="139"/>
      <c r="GZ109" s="139"/>
      <c r="HA109" s="139"/>
      <c r="HB109" s="139"/>
      <c r="HC109" s="139"/>
      <c r="HD109" s="139"/>
      <c r="HE109" s="139"/>
      <c r="HF109" s="139"/>
      <c r="HG109" s="139"/>
      <c r="HH109" s="139"/>
      <c r="HI109" s="139"/>
      <c r="HJ109" s="139"/>
      <c r="HK109" s="139"/>
      <c r="HL109" s="139"/>
      <c r="HM109" s="139"/>
      <c r="HN109" s="139"/>
      <c r="HO109" s="139"/>
      <c r="HP109" s="139"/>
      <c r="HQ109" s="139"/>
      <c r="HR109" s="139"/>
      <c r="HS109" s="139"/>
      <c r="HT109" s="139"/>
      <c r="HU109" s="139"/>
      <c r="HV109" s="139"/>
      <c r="HW109" s="139"/>
      <c r="HX109" s="139"/>
      <c r="HY109" s="139"/>
      <c r="HZ109" s="139"/>
      <c r="IA109" s="139"/>
      <c r="IB109" s="139"/>
      <c r="IC109" s="139"/>
      <c r="ID109" s="139"/>
      <c r="IE109" s="139"/>
      <c r="IF109" s="139"/>
      <c r="IG109" s="139"/>
      <c r="IH109" s="139"/>
      <c r="II109" s="139"/>
      <c r="IJ109" s="139"/>
    </row>
    <row r="110" spans="2:244" x14ac:dyDescent="0.3">
      <c r="B110" s="5" t="s">
        <v>118</v>
      </c>
      <c r="C110" s="953" t="s">
        <v>221</v>
      </c>
      <c r="D110" s="672">
        <v>0</v>
      </c>
      <c r="E110" s="954">
        <v>0</v>
      </c>
      <c r="F110" s="954">
        <v>0</v>
      </c>
      <c r="G110" s="954">
        <v>0</v>
      </c>
      <c r="H110" s="671">
        <v>0</v>
      </c>
      <c r="I110" s="672">
        <v>0</v>
      </c>
      <c r="J110" s="954">
        <v>794.6021346058925</v>
      </c>
      <c r="K110" s="954">
        <v>0</v>
      </c>
      <c r="L110" s="954">
        <v>0</v>
      </c>
      <c r="M110" s="671">
        <v>0</v>
      </c>
      <c r="N110" s="672">
        <v>0</v>
      </c>
      <c r="O110" s="671">
        <v>0</v>
      </c>
      <c r="P110" s="672">
        <v>0</v>
      </c>
      <c r="Q110" s="671">
        <v>0</v>
      </c>
      <c r="R110" s="672">
        <v>0</v>
      </c>
      <c r="S110" s="671">
        <v>0</v>
      </c>
      <c r="T110" s="672">
        <v>0</v>
      </c>
      <c r="U110" s="671">
        <v>0</v>
      </c>
      <c r="V110" s="672">
        <v>0</v>
      </c>
      <c r="W110" s="671">
        <v>0</v>
      </c>
      <c r="X110" s="672">
        <v>0</v>
      </c>
      <c r="Y110" s="671">
        <v>0</v>
      </c>
      <c r="Z110" s="672">
        <v>0</v>
      </c>
      <c r="AA110" s="954">
        <v>794.6021346058925</v>
      </c>
      <c r="AB110" s="954">
        <v>0</v>
      </c>
      <c r="AC110" s="954">
        <v>0</v>
      </c>
      <c r="AD110" s="703">
        <f t="shared" si="16"/>
        <v>794.6021346058925</v>
      </c>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39"/>
      <c r="BA110" s="139"/>
      <c r="BB110" s="139"/>
      <c r="BC110" s="139"/>
      <c r="BD110" s="139"/>
      <c r="BE110" s="139"/>
      <c r="BF110" s="139"/>
      <c r="BG110" s="139"/>
      <c r="BH110" s="139"/>
      <c r="BI110" s="139"/>
      <c r="BJ110" s="139"/>
      <c r="BK110" s="139"/>
      <c r="BL110" s="139"/>
      <c r="BM110" s="139"/>
      <c r="BN110" s="139"/>
      <c r="BO110" s="139"/>
      <c r="BP110" s="139"/>
      <c r="BQ110" s="139"/>
      <c r="BR110" s="139"/>
      <c r="BS110" s="139"/>
      <c r="BT110" s="139"/>
      <c r="BU110" s="139"/>
      <c r="BV110" s="139"/>
      <c r="BW110" s="139"/>
      <c r="BX110" s="139"/>
      <c r="BY110" s="139"/>
      <c r="BZ110" s="139"/>
      <c r="CA110" s="139"/>
      <c r="CB110" s="139"/>
      <c r="CC110" s="139"/>
      <c r="CD110" s="139"/>
      <c r="CE110" s="139"/>
      <c r="CF110" s="139"/>
      <c r="CG110" s="139"/>
      <c r="CH110" s="139"/>
      <c r="CI110" s="139"/>
      <c r="CJ110" s="139"/>
      <c r="CK110" s="139"/>
      <c r="CL110" s="139"/>
      <c r="CM110" s="139"/>
      <c r="CN110" s="139"/>
      <c r="CO110" s="139"/>
      <c r="CP110" s="139"/>
      <c r="CQ110" s="139"/>
      <c r="CR110" s="139"/>
      <c r="CS110" s="139"/>
      <c r="CT110" s="139"/>
      <c r="CU110" s="139"/>
      <c r="CV110" s="139"/>
      <c r="CW110" s="139"/>
      <c r="CX110" s="139"/>
      <c r="CY110" s="139"/>
      <c r="CZ110" s="139"/>
      <c r="DA110" s="139"/>
      <c r="DB110" s="139"/>
      <c r="DC110" s="139"/>
      <c r="DD110" s="139"/>
      <c r="DE110" s="139"/>
      <c r="DF110" s="139"/>
      <c r="DG110" s="139"/>
      <c r="DH110" s="139"/>
      <c r="DI110" s="139"/>
      <c r="DJ110" s="139"/>
      <c r="DK110" s="139"/>
      <c r="DL110" s="139"/>
      <c r="DM110" s="139"/>
      <c r="DN110" s="139"/>
      <c r="DO110" s="139"/>
      <c r="DP110" s="139"/>
      <c r="DQ110" s="139"/>
      <c r="DR110" s="139"/>
      <c r="DS110" s="139"/>
      <c r="DT110" s="139"/>
      <c r="DU110" s="139"/>
      <c r="DV110" s="139"/>
      <c r="DW110" s="139"/>
      <c r="DX110" s="139"/>
      <c r="DY110" s="139"/>
      <c r="DZ110" s="139"/>
      <c r="EA110" s="139"/>
      <c r="EB110" s="139"/>
      <c r="EC110" s="139"/>
      <c r="ED110" s="139"/>
      <c r="EE110" s="139"/>
      <c r="EF110" s="139"/>
      <c r="EG110" s="139"/>
      <c r="EH110" s="139"/>
      <c r="EI110" s="139"/>
      <c r="EJ110" s="139"/>
      <c r="EK110" s="139"/>
      <c r="EL110" s="139"/>
      <c r="EM110" s="139"/>
      <c r="EN110" s="139"/>
      <c r="EO110" s="139"/>
      <c r="EP110" s="139"/>
      <c r="EQ110" s="139"/>
      <c r="ER110" s="139"/>
      <c r="ES110" s="139"/>
      <c r="ET110" s="139"/>
      <c r="EU110" s="139"/>
      <c r="EV110" s="139"/>
      <c r="EW110" s="139"/>
      <c r="EX110" s="139"/>
      <c r="EY110" s="139"/>
      <c r="EZ110" s="139"/>
      <c r="FA110" s="139"/>
      <c r="FB110" s="139"/>
      <c r="FC110" s="139"/>
      <c r="FD110" s="139"/>
      <c r="FE110" s="139"/>
      <c r="FF110" s="139"/>
      <c r="FG110" s="139"/>
      <c r="FH110" s="139"/>
      <c r="FI110" s="139"/>
      <c r="FJ110" s="139"/>
      <c r="FK110" s="139"/>
      <c r="FL110" s="139"/>
      <c r="FM110" s="139"/>
      <c r="FN110" s="139"/>
      <c r="FO110" s="139"/>
      <c r="FP110" s="139"/>
      <c r="FQ110" s="139"/>
      <c r="FR110" s="139"/>
      <c r="FS110" s="139"/>
      <c r="FT110" s="139"/>
      <c r="FU110" s="139"/>
      <c r="FV110" s="139"/>
      <c r="FW110" s="139"/>
      <c r="FX110" s="139"/>
      <c r="FY110" s="139"/>
      <c r="FZ110" s="139"/>
      <c r="GA110" s="139"/>
      <c r="GB110" s="139"/>
      <c r="GC110" s="139"/>
      <c r="GD110" s="139"/>
      <c r="GE110" s="139"/>
      <c r="GF110" s="139"/>
      <c r="GG110" s="139"/>
      <c r="GH110" s="139"/>
      <c r="GI110" s="139"/>
      <c r="GJ110" s="139"/>
      <c r="GK110" s="139"/>
      <c r="GL110" s="139"/>
      <c r="GM110" s="139"/>
      <c r="GN110" s="139"/>
      <c r="GO110" s="139"/>
      <c r="GP110" s="139"/>
      <c r="GQ110" s="139"/>
      <c r="GR110" s="139"/>
      <c r="GS110" s="139"/>
      <c r="GT110" s="139"/>
      <c r="GU110" s="139"/>
      <c r="GV110" s="139"/>
      <c r="GW110" s="139"/>
      <c r="GX110" s="139"/>
      <c r="GY110" s="139"/>
      <c r="GZ110" s="139"/>
      <c r="HA110" s="139"/>
      <c r="HB110" s="139"/>
      <c r="HC110" s="139"/>
      <c r="HD110" s="139"/>
      <c r="HE110" s="139"/>
      <c r="HF110" s="139"/>
      <c r="HG110" s="139"/>
      <c r="HH110" s="139"/>
      <c r="HI110" s="139"/>
      <c r="HJ110" s="139"/>
      <c r="HK110" s="139"/>
      <c r="HL110" s="139"/>
      <c r="HM110" s="139"/>
      <c r="HN110" s="139"/>
      <c r="HO110" s="139"/>
      <c r="HP110" s="139"/>
      <c r="HQ110" s="139"/>
      <c r="HR110" s="139"/>
      <c r="HS110" s="139"/>
      <c r="HT110" s="139"/>
      <c r="HU110" s="139"/>
      <c r="HV110" s="139"/>
      <c r="HW110" s="139"/>
      <c r="HX110" s="139"/>
      <c r="HY110" s="139"/>
      <c r="HZ110" s="139"/>
      <c r="IA110" s="139"/>
      <c r="IB110" s="139"/>
      <c r="IC110" s="139"/>
      <c r="ID110" s="139"/>
      <c r="IE110" s="139"/>
      <c r="IF110" s="139"/>
      <c r="IG110" s="139"/>
      <c r="IH110" s="139"/>
      <c r="II110" s="139"/>
      <c r="IJ110" s="139"/>
    </row>
    <row r="111" spans="2:244" x14ac:dyDescent="0.3">
      <c r="B111" s="5" t="s">
        <v>119</v>
      </c>
      <c r="C111" s="953" t="s">
        <v>222</v>
      </c>
      <c r="D111" s="672">
        <v>574932.88886014605</v>
      </c>
      <c r="E111" s="954">
        <v>41281.840160098647</v>
      </c>
      <c r="F111" s="954">
        <v>25548.449090528218</v>
      </c>
      <c r="G111" s="954">
        <v>5749.0396696887619</v>
      </c>
      <c r="H111" s="671">
        <v>111106.74195785294</v>
      </c>
      <c r="I111" s="672">
        <v>0</v>
      </c>
      <c r="J111" s="954">
        <v>0</v>
      </c>
      <c r="K111" s="954">
        <v>0</v>
      </c>
      <c r="L111" s="954">
        <v>0</v>
      </c>
      <c r="M111" s="671">
        <v>0</v>
      </c>
      <c r="N111" s="672">
        <v>0</v>
      </c>
      <c r="O111" s="671">
        <v>0</v>
      </c>
      <c r="P111" s="672">
        <v>0</v>
      </c>
      <c r="Q111" s="671">
        <v>0</v>
      </c>
      <c r="R111" s="672">
        <v>1174.5298860283172</v>
      </c>
      <c r="S111" s="671">
        <v>416.88529485542767</v>
      </c>
      <c r="T111" s="672">
        <v>49.992079416348133</v>
      </c>
      <c r="U111" s="671">
        <v>0</v>
      </c>
      <c r="V111" s="672">
        <v>0</v>
      </c>
      <c r="W111" s="671">
        <v>0</v>
      </c>
      <c r="X111" s="672">
        <v>0</v>
      </c>
      <c r="Y111" s="671">
        <v>0</v>
      </c>
      <c r="Z111" s="672">
        <v>576157.4108255906</v>
      </c>
      <c r="AA111" s="954">
        <v>41698.725454954074</v>
      </c>
      <c r="AB111" s="954">
        <v>25548.449090528218</v>
      </c>
      <c r="AC111" s="954">
        <v>5749.0396696887619</v>
      </c>
      <c r="AD111" s="703">
        <f t="shared" si="16"/>
        <v>649153.62504076166</v>
      </c>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c r="BD111" s="139"/>
      <c r="BE111" s="139"/>
      <c r="BF111" s="139"/>
      <c r="BG111" s="139"/>
      <c r="BH111" s="139"/>
      <c r="BI111" s="139"/>
      <c r="BJ111" s="139"/>
      <c r="BK111" s="139"/>
      <c r="BL111" s="139"/>
      <c r="BM111" s="139"/>
      <c r="BN111" s="139"/>
      <c r="BO111" s="139"/>
      <c r="BP111" s="139"/>
      <c r="BQ111" s="139"/>
      <c r="BR111" s="139"/>
      <c r="BS111" s="139"/>
      <c r="BT111" s="139"/>
      <c r="BU111" s="139"/>
      <c r="BV111" s="139"/>
      <c r="BW111" s="139"/>
      <c r="BX111" s="139"/>
      <c r="BY111" s="139"/>
      <c r="BZ111" s="139"/>
      <c r="CA111" s="139"/>
      <c r="CB111" s="139"/>
      <c r="CC111" s="139"/>
      <c r="CD111" s="139"/>
      <c r="CE111" s="139"/>
      <c r="CF111" s="139"/>
      <c r="CG111" s="139"/>
      <c r="CH111" s="139"/>
      <c r="CI111" s="139"/>
      <c r="CJ111" s="139"/>
      <c r="CK111" s="139"/>
      <c r="CL111" s="139"/>
      <c r="CM111" s="139"/>
      <c r="CN111" s="139"/>
      <c r="CO111" s="139"/>
      <c r="CP111" s="139"/>
      <c r="CQ111" s="139"/>
      <c r="CR111" s="139"/>
      <c r="CS111" s="139"/>
      <c r="CT111" s="139"/>
      <c r="CU111" s="139"/>
      <c r="CV111" s="139"/>
      <c r="CW111" s="139"/>
      <c r="CX111" s="139"/>
      <c r="CY111" s="139"/>
      <c r="CZ111" s="139"/>
      <c r="DA111" s="139"/>
      <c r="DB111" s="139"/>
      <c r="DC111" s="139"/>
      <c r="DD111" s="139"/>
      <c r="DE111" s="139"/>
      <c r="DF111" s="139"/>
      <c r="DG111" s="139"/>
      <c r="DH111" s="139"/>
      <c r="DI111" s="139"/>
      <c r="DJ111" s="139"/>
      <c r="DK111" s="139"/>
      <c r="DL111" s="139"/>
      <c r="DM111" s="139"/>
      <c r="DN111" s="139"/>
      <c r="DO111" s="139"/>
      <c r="DP111" s="139"/>
      <c r="DQ111" s="139"/>
      <c r="DR111" s="139"/>
      <c r="DS111" s="139"/>
      <c r="DT111" s="139"/>
      <c r="DU111" s="139"/>
      <c r="DV111" s="139"/>
      <c r="DW111" s="139"/>
      <c r="DX111" s="139"/>
      <c r="DY111" s="139"/>
      <c r="DZ111" s="139"/>
      <c r="EA111" s="139"/>
      <c r="EB111" s="139"/>
      <c r="EC111" s="139"/>
      <c r="ED111" s="139"/>
      <c r="EE111" s="139"/>
      <c r="EF111" s="139"/>
      <c r="EG111" s="139"/>
      <c r="EH111" s="139"/>
      <c r="EI111" s="139"/>
      <c r="EJ111" s="139"/>
      <c r="EK111" s="139"/>
      <c r="EL111" s="139"/>
      <c r="EM111" s="139"/>
      <c r="EN111" s="139"/>
      <c r="EO111" s="139"/>
      <c r="EP111" s="139"/>
      <c r="EQ111" s="139"/>
      <c r="ER111" s="139"/>
      <c r="ES111" s="139"/>
      <c r="ET111" s="139"/>
      <c r="EU111" s="139"/>
      <c r="EV111" s="139"/>
      <c r="EW111" s="139"/>
      <c r="EX111" s="139"/>
      <c r="EY111" s="139"/>
      <c r="EZ111" s="139"/>
      <c r="FA111" s="139"/>
      <c r="FB111" s="139"/>
      <c r="FC111" s="139"/>
      <c r="FD111" s="139"/>
      <c r="FE111" s="139"/>
      <c r="FF111" s="139"/>
      <c r="FG111" s="139"/>
      <c r="FH111" s="139"/>
      <c r="FI111" s="139"/>
      <c r="FJ111" s="139"/>
      <c r="FK111" s="139"/>
      <c r="FL111" s="139"/>
      <c r="FM111" s="139"/>
      <c r="FN111" s="139"/>
      <c r="FO111" s="139"/>
      <c r="FP111" s="139"/>
      <c r="FQ111" s="139"/>
      <c r="FR111" s="139"/>
      <c r="FS111" s="139"/>
      <c r="FT111" s="139"/>
      <c r="FU111" s="139"/>
      <c r="FV111" s="139"/>
      <c r="FW111" s="139"/>
      <c r="FX111" s="139"/>
      <c r="FY111" s="139"/>
      <c r="FZ111" s="139"/>
      <c r="GA111" s="139"/>
      <c r="GB111" s="139"/>
      <c r="GC111" s="139"/>
      <c r="GD111" s="139"/>
      <c r="GE111" s="139"/>
      <c r="GF111" s="139"/>
      <c r="GG111" s="139"/>
      <c r="GH111" s="139"/>
      <c r="GI111" s="139"/>
      <c r="GJ111" s="139"/>
      <c r="GK111" s="139"/>
      <c r="GL111" s="139"/>
      <c r="GM111" s="139"/>
      <c r="GN111" s="139"/>
      <c r="GO111" s="139"/>
      <c r="GP111" s="139"/>
      <c r="GQ111" s="139"/>
      <c r="GR111" s="139"/>
      <c r="GS111" s="139"/>
      <c r="GT111" s="139"/>
      <c r="GU111" s="139"/>
      <c r="GV111" s="139"/>
      <c r="GW111" s="139"/>
      <c r="GX111" s="139"/>
      <c r="GY111" s="139"/>
      <c r="GZ111" s="139"/>
      <c r="HA111" s="139"/>
      <c r="HB111" s="139"/>
      <c r="HC111" s="139"/>
      <c r="HD111" s="139"/>
      <c r="HE111" s="139"/>
      <c r="HF111" s="139"/>
      <c r="HG111" s="139"/>
      <c r="HH111" s="139"/>
      <c r="HI111" s="139"/>
      <c r="HJ111" s="139"/>
      <c r="HK111" s="139"/>
      <c r="HL111" s="139"/>
      <c r="HM111" s="139"/>
      <c r="HN111" s="139"/>
      <c r="HO111" s="139"/>
      <c r="HP111" s="139"/>
      <c r="HQ111" s="139"/>
      <c r="HR111" s="139"/>
      <c r="HS111" s="139"/>
      <c r="HT111" s="139"/>
      <c r="HU111" s="139"/>
      <c r="HV111" s="139"/>
      <c r="HW111" s="139"/>
      <c r="HX111" s="139"/>
      <c r="HY111" s="139"/>
      <c r="HZ111" s="139"/>
      <c r="IA111" s="139"/>
      <c r="IB111" s="139"/>
      <c r="IC111" s="139"/>
      <c r="ID111" s="139"/>
      <c r="IE111" s="139"/>
      <c r="IF111" s="139"/>
      <c r="IG111" s="139"/>
      <c r="IH111" s="139"/>
      <c r="II111" s="139"/>
      <c r="IJ111" s="139"/>
    </row>
    <row r="112" spans="2:244" x14ac:dyDescent="0.3">
      <c r="B112" s="5" t="s">
        <v>120</v>
      </c>
      <c r="C112" s="953" t="s">
        <v>223</v>
      </c>
      <c r="D112" s="672">
        <v>0</v>
      </c>
      <c r="E112" s="954">
        <v>102215.86564566894</v>
      </c>
      <c r="F112" s="954">
        <v>0</v>
      </c>
      <c r="G112" s="954">
        <v>8.7025046837897867E-3</v>
      </c>
      <c r="H112" s="671">
        <v>1.6425708355015414E-2</v>
      </c>
      <c r="I112" s="672">
        <v>0</v>
      </c>
      <c r="J112" s="954">
        <v>0</v>
      </c>
      <c r="K112" s="954">
        <v>0</v>
      </c>
      <c r="L112" s="954">
        <v>0</v>
      </c>
      <c r="M112" s="671">
        <v>0</v>
      </c>
      <c r="N112" s="672">
        <v>0</v>
      </c>
      <c r="O112" s="671">
        <v>0</v>
      </c>
      <c r="P112" s="672">
        <v>0</v>
      </c>
      <c r="Q112" s="671">
        <v>0</v>
      </c>
      <c r="R112" s="672">
        <v>0</v>
      </c>
      <c r="S112" s="671">
        <v>0</v>
      </c>
      <c r="T112" s="672">
        <v>0</v>
      </c>
      <c r="U112" s="671">
        <v>0</v>
      </c>
      <c r="V112" s="672">
        <v>0</v>
      </c>
      <c r="W112" s="671">
        <v>0</v>
      </c>
      <c r="X112" s="672">
        <v>0</v>
      </c>
      <c r="Y112" s="671">
        <v>0</v>
      </c>
      <c r="Z112" s="672">
        <v>0</v>
      </c>
      <c r="AA112" s="954">
        <v>102215.86564566894</v>
      </c>
      <c r="AB112" s="954">
        <v>0</v>
      </c>
      <c r="AC112" s="954">
        <v>8.7025046837897867E-3</v>
      </c>
      <c r="AD112" s="703">
        <f t="shared" si="16"/>
        <v>102215.87434817362</v>
      </c>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9"/>
      <c r="AZ112" s="139"/>
      <c r="BA112" s="139"/>
      <c r="BB112" s="139"/>
      <c r="BC112" s="139"/>
      <c r="BD112" s="139"/>
      <c r="BE112" s="139"/>
      <c r="BF112" s="139"/>
      <c r="BG112" s="139"/>
      <c r="BH112" s="139"/>
      <c r="BI112" s="139"/>
      <c r="BJ112" s="139"/>
      <c r="BK112" s="139"/>
      <c r="BL112" s="139"/>
      <c r="BM112" s="139"/>
      <c r="BN112" s="139"/>
      <c r="BO112" s="139"/>
      <c r="BP112" s="139"/>
      <c r="BQ112" s="139"/>
      <c r="BR112" s="139"/>
      <c r="BS112" s="139"/>
      <c r="BT112" s="139"/>
      <c r="BU112" s="139"/>
      <c r="BV112" s="139"/>
      <c r="BW112" s="139"/>
      <c r="BX112" s="139"/>
      <c r="BY112" s="139"/>
      <c r="BZ112" s="139"/>
      <c r="CA112" s="139"/>
      <c r="CB112" s="139"/>
      <c r="CC112" s="139"/>
      <c r="CD112" s="139"/>
      <c r="CE112" s="139"/>
      <c r="CF112" s="139"/>
      <c r="CG112" s="139"/>
      <c r="CH112" s="139"/>
      <c r="CI112" s="139"/>
      <c r="CJ112" s="139"/>
      <c r="CK112" s="139"/>
      <c r="CL112" s="139"/>
      <c r="CM112" s="139"/>
      <c r="CN112" s="139"/>
      <c r="CO112" s="139"/>
      <c r="CP112" s="139"/>
      <c r="CQ112" s="139"/>
      <c r="CR112" s="139"/>
      <c r="CS112" s="139"/>
      <c r="CT112" s="139"/>
      <c r="CU112" s="139"/>
      <c r="CV112" s="139"/>
      <c r="CW112" s="139"/>
      <c r="CX112" s="139"/>
      <c r="CY112" s="139"/>
      <c r="CZ112" s="139"/>
      <c r="DA112" s="139"/>
      <c r="DB112" s="139"/>
      <c r="DC112" s="139"/>
      <c r="DD112" s="139"/>
      <c r="DE112" s="139"/>
      <c r="DF112" s="139"/>
      <c r="DG112" s="139"/>
      <c r="DH112" s="139"/>
      <c r="DI112" s="139"/>
      <c r="DJ112" s="139"/>
      <c r="DK112" s="139"/>
      <c r="DL112" s="139"/>
      <c r="DM112" s="139"/>
      <c r="DN112" s="139"/>
      <c r="DO112" s="139"/>
      <c r="DP112" s="139"/>
      <c r="DQ112" s="139"/>
      <c r="DR112" s="139"/>
      <c r="DS112" s="139"/>
      <c r="DT112" s="139"/>
      <c r="DU112" s="139"/>
      <c r="DV112" s="139"/>
      <c r="DW112" s="139"/>
      <c r="DX112" s="139"/>
      <c r="DY112" s="139"/>
      <c r="DZ112" s="139"/>
      <c r="EA112" s="139"/>
      <c r="EB112" s="139"/>
      <c r="EC112" s="139"/>
      <c r="ED112" s="139"/>
      <c r="EE112" s="139"/>
      <c r="EF112" s="139"/>
      <c r="EG112" s="139"/>
      <c r="EH112" s="139"/>
      <c r="EI112" s="139"/>
      <c r="EJ112" s="139"/>
      <c r="EK112" s="139"/>
      <c r="EL112" s="139"/>
      <c r="EM112" s="139"/>
      <c r="EN112" s="139"/>
      <c r="EO112" s="139"/>
      <c r="EP112" s="139"/>
      <c r="EQ112" s="139"/>
      <c r="ER112" s="139"/>
      <c r="ES112" s="139"/>
      <c r="ET112" s="139"/>
      <c r="EU112" s="139"/>
      <c r="EV112" s="139"/>
      <c r="EW112" s="139"/>
      <c r="EX112" s="139"/>
      <c r="EY112" s="139"/>
      <c r="EZ112" s="139"/>
      <c r="FA112" s="139"/>
      <c r="FB112" s="139"/>
      <c r="FC112" s="139"/>
      <c r="FD112" s="139"/>
      <c r="FE112" s="139"/>
      <c r="FF112" s="139"/>
      <c r="FG112" s="139"/>
      <c r="FH112" s="139"/>
      <c r="FI112" s="139"/>
      <c r="FJ112" s="139"/>
      <c r="FK112" s="139"/>
      <c r="FL112" s="139"/>
      <c r="FM112" s="139"/>
      <c r="FN112" s="139"/>
      <c r="FO112" s="139"/>
      <c r="FP112" s="139"/>
      <c r="FQ112" s="139"/>
      <c r="FR112" s="139"/>
      <c r="FS112" s="139"/>
      <c r="FT112" s="139"/>
      <c r="FU112" s="139"/>
      <c r="FV112" s="139"/>
      <c r="FW112" s="139"/>
      <c r="FX112" s="139"/>
      <c r="FY112" s="139"/>
      <c r="FZ112" s="139"/>
      <c r="GA112" s="139"/>
      <c r="GB112" s="139"/>
      <c r="GC112" s="139"/>
      <c r="GD112" s="139"/>
      <c r="GE112" s="139"/>
      <c r="GF112" s="139"/>
      <c r="GG112" s="139"/>
      <c r="GH112" s="139"/>
      <c r="GI112" s="139"/>
      <c r="GJ112" s="139"/>
      <c r="GK112" s="139"/>
      <c r="GL112" s="139"/>
      <c r="GM112" s="139"/>
      <c r="GN112" s="139"/>
      <c r="GO112" s="139"/>
      <c r="GP112" s="139"/>
      <c r="GQ112" s="139"/>
      <c r="GR112" s="139"/>
      <c r="GS112" s="139"/>
      <c r="GT112" s="139"/>
      <c r="GU112" s="139"/>
      <c r="GV112" s="139"/>
      <c r="GW112" s="139"/>
      <c r="GX112" s="139"/>
      <c r="GY112" s="139"/>
      <c r="GZ112" s="139"/>
      <c r="HA112" s="139"/>
      <c r="HB112" s="139"/>
      <c r="HC112" s="139"/>
      <c r="HD112" s="139"/>
      <c r="HE112" s="139"/>
      <c r="HF112" s="139"/>
      <c r="HG112" s="139"/>
      <c r="HH112" s="139"/>
      <c r="HI112" s="139"/>
      <c r="HJ112" s="139"/>
      <c r="HK112" s="139"/>
      <c r="HL112" s="139"/>
      <c r="HM112" s="139"/>
      <c r="HN112" s="139"/>
      <c r="HO112" s="139"/>
      <c r="HP112" s="139"/>
      <c r="HQ112" s="139"/>
      <c r="HR112" s="139"/>
      <c r="HS112" s="139"/>
      <c r="HT112" s="139"/>
      <c r="HU112" s="139"/>
      <c r="HV112" s="139"/>
      <c r="HW112" s="139"/>
      <c r="HX112" s="139"/>
      <c r="HY112" s="139"/>
      <c r="HZ112" s="139"/>
      <c r="IA112" s="139"/>
      <c r="IB112" s="139"/>
      <c r="IC112" s="139"/>
      <c r="ID112" s="139"/>
      <c r="IE112" s="139"/>
      <c r="IF112" s="139"/>
      <c r="IG112" s="139"/>
      <c r="IH112" s="139"/>
      <c r="II112" s="139"/>
      <c r="IJ112" s="139"/>
    </row>
    <row r="113" spans="2:244" x14ac:dyDescent="0.3">
      <c r="B113" s="5" t="s">
        <v>121</v>
      </c>
      <c r="C113" s="953" t="s">
        <v>224</v>
      </c>
      <c r="D113" s="672">
        <v>0</v>
      </c>
      <c r="E113" s="954">
        <v>0</v>
      </c>
      <c r="F113" s="954">
        <v>0</v>
      </c>
      <c r="G113" s="954">
        <v>0</v>
      </c>
      <c r="H113" s="671">
        <v>0</v>
      </c>
      <c r="I113" s="672">
        <v>0</v>
      </c>
      <c r="J113" s="954">
        <v>0</v>
      </c>
      <c r="K113" s="954">
        <v>0</v>
      </c>
      <c r="L113" s="954">
        <v>0</v>
      </c>
      <c r="M113" s="671">
        <v>0</v>
      </c>
      <c r="N113" s="672">
        <v>0</v>
      </c>
      <c r="O113" s="671">
        <v>0</v>
      </c>
      <c r="P113" s="672">
        <v>0</v>
      </c>
      <c r="Q113" s="671">
        <v>0</v>
      </c>
      <c r="R113" s="672">
        <v>0</v>
      </c>
      <c r="S113" s="671">
        <v>0</v>
      </c>
      <c r="T113" s="672">
        <v>0</v>
      </c>
      <c r="U113" s="671">
        <v>0</v>
      </c>
      <c r="V113" s="672">
        <v>0</v>
      </c>
      <c r="W113" s="671">
        <v>0</v>
      </c>
      <c r="X113" s="672">
        <v>0</v>
      </c>
      <c r="Y113" s="671">
        <v>0</v>
      </c>
      <c r="Z113" s="672">
        <v>0</v>
      </c>
      <c r="AA113" s="954">
        <v>0</v>
      </c>
      <c r="AB113" s="954">
        <v>0</v>
      </c>
      <c r="AC113" s="954">
        <v>0</v>
      </c>
      <c r="AD113" s="703">
        <f t="shared" si="16"/>
        <v>0</v>
      </c>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c r="BD113" s="139"/>
      <c r="BE113" s="139"/>
      <c r="BF113" s="139"/>
      <c r="BG113" s="139"/>
      <c r="BH113" s="139"/>
      <c r="BI113" s="139"/>
      <c r="BJ113" s="139"/>
      <c r="BK113" s="139"/>
      <c r="BL113" s="139"/>
      <c r="BM113" s="139"/>
      <c r="BN113" s="139"/>
      <c r="BO113" s="139"/>
      <c r="BP113" s="139"/>
      <c r="BQ113" s="139"/>
      <c r="BR113" s="139"/>
      <c r="BS113" s="139"/>
      <c r="BT113" s="139"/>
      <c r="BU113" s="139"/>
      <c r="BV113" s="139"/>
      <c r="BW113" s="139"/>
      <c r="BX113" s="139"/>
      <c r="BY113" s="139"/>
      <c r="BZ113" s="139"/>
      <c r="CA113" s="139"/>
      <c r="CB113" s="139"/>
      <c r="CC113" s="139"/>
      <c r="CD113" s="139"/>
      <c r="CE113" s="139"/>
      <c r="CF113" s="139"/>
      <c r="CG113" s="139"/>
      <c r="CH113" s="139"/>
      <c r="CI113" s="139"/>
      <c r="CJ113" s="139"/>
      <c r="CK113" s="139"/>
      <c r="CL113" s="139"/>
      <c r="CM113" s="139"/>
      <c r="CN113" s="139"/>
      <c r="CO113" s="139"/>
      <c r="CP113" s="139"/>
      <c r="CQ113" s="139"/>
      <c r="CR113" s="139"/>
      <c r="CS113" s="139"/>
      <c r="CT113" s="139"/>
      <c r="CU113" s="139"/>
      <c r="CV113" s="139"/>
      <c r="CW113" s="139"/>
      <c r="CX113" s="139"/>
      <c r="CY113" s="139"/>
      <c r="CZ113" s="139"/>
      <c r="DA113" s="139"/>
      <c r="DB113" s="139"/>
      <c r="DC113" s="139"/>
      <c r="DD113" s="139"/>
      <c r="DE113" s="139"/>
      <c r="DF113" s="139"/>
      <c r="DG113" s="139"/>
      <c r="DH113" s="139"/>
      <c r="DI113" s="139"/>
      <c r="DJ113" s="139"/>
      <c r="DK113" s="139"/>
      <c r="DL113" s="139"/>
      <c r="DM113" s="139"/>
      <c r="DN113" s="139"/>
      <c r="DO113" s="139"/>
      <c r="DP113" s="139"/>
      <c r="DQ113" s="139"/>
      <c r="DR113" s="139"/>
      <c r="DS113" s="139"/>
      <c r="DT113" s="139"/>
      <c r="DU113" s="139"/>
      <c r="DV113" s="139"/>
      <c r="DW113" s="139"/>
      <c r="DX113" s="139"/>
      <c r="DY113" s="139"/>
      <c r="DZ113" s="139"/>
      <c r="EA113" s="139"/>
      <c r="EB113" s="139"/>
      <c r="EC113" s="139"/>
      <c r="ED113" s="139"/>
      <c r="EE113" s="139"/>
      <c r="EF113" s="139"/>
      <c r="EG113" s="139"/>
      <c r="EH113" s="139"/>
      <c r="EI113" s="139"/>
      <c r="EJ113" s="139"/>
      <c r="EK113" s="139"/>
      <c r="EL113" s="139"/>
      <c r="EM113" s="139"/>
      <c r="EN113" s="139"/>
      <c r="EO113" s="139"/>
      <c r="EP113" s="139"/>
      <c r="EQ113" s="139"/>
      <c r="ER113" s="139"/>
      <c r="ES113" s="139"/>
      <c r="ET113" s="139"/>
      <c r="EU113" s="139"/>
      <c r="EV113" s="139"/>
      <c r="EW113" s="139"/>
      <c r="EX113" s="139"/>
      <c r="EY113" s="139"/>
      <c r="EZ113" s="139"/>
      <c r="FA113" s="139"/>
      <c r="FB113" s="139"/>
      <c r="FC113" s="139"/>
      <c r="FD113" s="139"/>
      <c r="FE113" s="139"/>
      <c r="FF113" s="139"/>
      <c r="FG113" s="139"/>
      <c r="FH113" s="139"/>
      <c r="FI113" s="139"/>
      <c r="FJ113" s="139"/>
      <c r="FK113" s="139"/>
      <c r="FL113" s="139"/>
      <c r="FM113" s="139"/>
      <c r="FN113" s="139"/>
      <c r="FO113" s="139"/>
      <c r="FP113" s="139"/>
      <c r="FQ113" s="139"/>
      <c r="FR113" s="139"/>
      <c r="FS113" s="139"/>
      <c r="FT113" s="139"/>
      <c r="FU113" s="139"/>
      <c r="FV113" s="139"/>
      <c r="FW113" s="139"/>
      <c r="FX113" s="139"/>
      <c r="FY113" s="139"/>
      <c r="FZ113" s="139"/>
      <c r="GA113" s="139"/>
      <c r="GB113" s="139"/>
      <c r="GC113" s="139"/>
      <c r="GD113" s="139"/>
      <c r="GE113" s="139"/>
      <c r="GF113" s="139"/>
      <c r="GG113" s="139"/>
      <c r="GH113" s="139"/>
      <c r="GI113" s="139"/>
      <c r="GJ113" s="139"/>
      <c r="GK113" s="139"/>
      <c r="GL113" s="139"/>
      <c r="GM113" s="139"/>
      <c r="GN113" s="139"/>
      <c r="GO113" s="139"/>
      <c r="GP113" s="139"/>
      <c r="GQ113" s="139"/>
      <c r="GR113" s="139"/>
      <c r="GS113" s="139"/>
      <c r="GT113" s="139"/>
      <c r="GU113" s="139"/>
      <c r="GV113" s="139"/>
      <c r="GW113" s="139"/>
      <c r="GX113" s="139"/>
      <c r="GY113" s="139"/>
      <c r="GZ113" s="139"/>
      <c r="HA113" s="139"/>
      <c r="HB113" s="139"/>
      <c r="HC113" s="139"/>
      <c r="HD113" s="139"/>
      <c r="HE113" s="139"/>
      <c r="HF113" s="139"/>
      <c r="HG113" s="139"/>
      <c r="HH113" s="139"/>
      <c r="HI113" s="139"/>
      <c r="HJ113" s="139"/>
      <c r="HK113" s="139"/>
      <c r="HL113" s="139"/>
      <c r="HM113" s="139"/>
      <c r="HN113" s="139"/>
      <c r="HO113" s="139"/>
      <c r="HP113" s="139"/>
      <c r="HQ113" s="139"/>
      <c r="HR113" s="139"/>
      <c r="HS113" s="139"/>
      <c r="HT113" s="139"/>
      <c r="HU113" s="139"/>
      <c r="HV113" s="139"/>
      <c r="HW113" s="139"/>
      <c r="HX113" s="139"/>
      <c r="HY113" s="139"/>
      <c r="HZ113" s="139"/>
      <c r="IA113" s="139"/>
      <c r="IB113" s="139"/>
      <c r="IC113" s="139"/>
      <c r="ID113" s="139"/>
      <c r="IE113" s="139"/>
      <c r="IF113" s="139"/>
      <c r="IG113" s="139"/>
      <c r="IH113" s="139"/>
      <c r="II113" s="139"/>
      <c r="IJ113" s="139"/>
    </row>
    <row r="114" spans="2:244" x14ac:dyDescent="0.3">
      <c r="B114" s="5" t="s">
        <v>122</v>
      </c>
      <c r="C114" s="953" t="s">
        <v>225</v>
      </c>
      <c r="D114" s="672">
        <v>0</v>
      </c>
      <c r="E114" s="954">
        <v>0</v>
      </c>
      <c r="F114" s="954">
        <v>0</v>
      </c>
      <c r="G114" s="954">
        <v>0</v>
      </c>
      <c r="H114" s="671">
        <v>0</v>
      </c>
      <c r="I114" s="672">
        <v>0</v>
      </c>
      <c r="J114" s="954">
        <v>0</v>
      </c>
      <c r="K114" s="954">
        <v>0</v>
      </c>
      <c r="L114" s="954">
        <v>0</v>
      </c>
      <c r="M114" s="671">
        <v>0</v>
      </c>
      <c r="N114" s="672">
        <v>0</v>
      </c>
      <c r="O114" s="671">
        <v>0</v>
      </c>
      <c r="P114" s="672">
        <v>0</v>
      </c>
      <c r="Q114" s="671">
        <v>0</v>
      </c>
      <c r="R114" s="672">
        <v>0</v>
      </c>
      <c r="S114" s="671">
        <v>0</v>
      </c>
      <c r="T114" s="672">
        <v>0</v>
      </c>
      <c r="U114" s="671">
        <v>0</v>
      </c>
      <c r="V114" s="672">
        <v>0</v>
      </c>
      <c r="W114" s="671">
        <v>0</v>
      </c>
      <c r="X114" s="672">
        <v>0</v>
      </c>
      <c r="Y114" s="671">
        <v>0</v>
      </c>
      <c r="Z114" s="672">
        <v>0</v>
      </c>
      <c r="AA114" s="954">
        <v>0</v>
      </c>
      <c r="AB114" s="954">
        <v>0</v>
      </c>
      <c r="AC114" s="954">
        <v>0</v>
      </c>
      <c r="AD114" s="703">
        <f t="shared" si="16"/>
        <v>0</v>
      </c>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39"/>
      <c r="BC114" s="139"/>
      <c r="BD114" s="139"/>
      <c r="BE114" s="139"/>
      <c r="BF114" s="139"/>
      <c r="BG114" s="139"/>
      <c r="BH114" s="139"/>
      <c r="BI114" s="139"/>
      <c r="BJ114" s="139"/>
      <c r="BK114" s="139"/>
      <c r="BL114" s="139"/>
      <c r="BM114" s="139"/>
      <c r="BN114" s="139"/>
      <c r="BO114" s="139"/>
      <c r="BP114" s="139"/>
      <c r="BQ114" s="139"/>
      <c r="BR114" s="139"/>
      <c r="BS114" s="139"/>
      <c r="BT114" s="139"/>
      <c r="BU114" s="139"/>
      <c r="BV114" s="139"/>
      <c r="BW114" s="139"/>
      <c r="BX114" s="139"/>
      <c r="BY114" s="139"/>
      <c r="BZ114" s="139"/>
      <c r="CA114" s="139"/>
      <c r="CB114" s="139"/>
      <c r="CC114" s="139"/>
      <c r="CD114" s="139"/>
      <c r="CE114" s="139"/>
      <c r="CF114" s="139"/>
      <c r="CG114" s="139"/>
      <c r="CH114" s="139"/>
      <c r="CI114" s="139"/>
      <c r="CJ114" s="139"/>
      <c r="CK114" s="139"/>
      <c r="CL114" s="139"/>
      <c r="CM114" s="139"/>
      <c r="CN114" s="139"/>
      <c r="CO114" s="139"/>
      <c r="CP114" s="139"/>
      <c r="CQ114" s="139"/>
      <c r="CR114" s="139"/>
      <c r="CS114" s="139"/>
      <c r="CT114" s="139"/>
      <c r="CU114" s="139"/>
      <c r="CV114" s="139"/>
      <c r="CW114" s="139"/>
      <c r="CX114" s="139"/>
      <c r="CY114" s="139"/>
      <c r="CZ114" s="139"/>
      <c r="DA114" s="139"/>
      <c r="DB114" s="139"/>
      <c r="DC114" s="139"/>
      <c r="DD114" s="139"/>
      <c r="DE114" s="139"/>
      <c r="DF114" s="139"/>
      <c r="DG114" s="139"/>
      <c r="DH114" s="139"/>
      <c r="DI114" s="139"/>
      <c r="DJ114" s="139"/>
      <c r="DK114" s="139"/>
      <c r="DL114" s="139"/>
      <c r="DM114" s="139"/>
      <c r="DN114" s="139"/>
      <c r="DO114" s="139"/>
      <c r="DP114" s="139"/>
      <c r="DQ114" s="139"/>
      <c r="DR114" s="139"/>
      <c r="DS114" s="139"/>
      <c r="DT114" s="139"/>
      <c r="DU114" s="139"/>
      <c r="DV114" s="139"/>
      <c r="DW114" s="139"/>
      <c r="DX114" s="139"/>
      <c r="DY114" s="139"/>
      <c r="DZ114" s="139"/>
      <c r="EA114" s="139"/>
      <c r="EB114" s="139"/>
      <c r="EC114" s="139"/>
      <c r="ED114" s="139"/>
      <c r="EE114" s="139"/>
      <c r="EF114" s="139"/>
      <c r="EG114" s="139"/>
      <c r="EH114" s="139"/>
      <c r="EI114" s="139"/>
      <c r="EJ114" s="139"/>
      <c r="EK114" s="139"/>
      <c r="EL114" s="139"/>
      <c r="EM114" s="139"/>
      <c r="EN114" s="139"/>
      <c r="EO114" s="139"/>
      <c r="EP114" s="139"/>
      <c r="EQ114" s="139"/>
      <c r="ER114" s="139"/>
      <c r="ES114" s="139"/>
      <c r="ET114" s="139"/>
      <c r="EU114" s="139"/>
      <c r="EV114" s="139"/>
      <c r="EW114" s="139"/>
      <c r="EX114" s="139"/>
      <c r="EY114" s="139"/>
      <c r="EZ114" s="139"/>
      <c r="FA114" s="139"/>
      <c r="FB114" s="139"/>
      <c r="FC114" s="139"/>
      <c r="FD114" s="139"/>
      <c r="FE114" s="139"/>
      <c r="FF114" s="139"/>
      <c r="FG114" s="139"/>
      <c r="FH114" s="139"/>
      <c r="FI114" s="139"/>
      <c r="FJ114" s="139"/>
      <c r="FK114" s="139"/>
      <c r="FL114" s="139"/>
      <c r="FM114" s="139"/>
      <c r="FN114" s="139"/>
      <c r="FO114" s="139"/>
      <c r="FP114" s="139"/>
      <c r="FQ114" s="139"/>
      <c r="FR114" s="139"/>
      <c r="FS114" s="139"/>
      <c r="FT114" s="139"/>
      <c r="FU114" s="139"/>
      <c r="FV114" s="139"/>
      <c r="FW114" s="139"/>
      <c r="FX114" s="139"/>
      <c r="FY114" s="139"/>
      <c r="FZ114" s="139"/>
      <c r="GA114" s="139"/>
      <c r="GB114" s="139"/>
      <c r="GC114" s="139"/>
      <c r="GD114" s="139"/>
      <c r="GE114" s="139"/>
      <c r="GF114" s="139"/>
      <c r="GG114" s="139"/>
      <c r="GH114" s="139"/>
      <c r="GI114" s="139"/>
      <c r="GJ114" s="139"/>
      <c r="GK114" s="139"/>
      <c r="GL114" s="139"/>
      <c r="GM114" s="139"/>
      <c r="GN114" s="139"/>
      <c r="GO114" s="139"/>
      <c r="GP114" s="139"/>
      <c r="GQ114" s="139"/>
      <c r="GR114" s="139"/>
      <c r="GS114" s="139"/>
      <c r="GT114" s="139"/>
      <c r="GU114" s="139"/>
      <c r="GV114" s="139"/>
      <c r="GW114" s="139"/>
      <c r="GX114" s="139"/>
      <c r="GY114" s="139"/>
      <c r="GZ114" s="139"/>
      <c r="HA114" s="139"/>
      <c r="HB114" s="139"/>
      <c r="HC114" s="139"/>
      <c r="HD114" s="139"/>
      <c r="HE114" s="139"/>
      <c r="HF114" s="139"/>
      <c r="HG114" s="139"/>
      <c r="HH114" s="139"/>
      <c r="HI114" s="139"/>
      <c r="HJ114" s="139"/>
      <c r="HK114" s="139"/>
      <c r="HL114" s="139"/>
      <c r="HM114" s="139"/>
      <c r="HN114" s="139"/>
      <c r="HO114" s="139"/>
      <c r="HP114" s="139"/>
      <c r="HQ114" s="139"/>
      <c r="HR114" s="139"/>
      <c r="HS114" s="139"/>
      <c r="HT114" s="139"/>
      <c r="HU114" s="139"/>
      <c r="HV114" s="139"/>
      <c r="HW114" s="139"/>
      <c r="HX114" s="139"/>
      <c r="HY114" s="139"/>
      <c r="HZ114" s="139"/>
      <c r="IA114" s="139"/>
      <c r="IB114" s="139"/>
      <c r="IC114" s="139"/>
      <c r="ID114" s="139"/>
      <c r="IE114" s="139"/>
      <c r="IF114" s="139"/>
      <c r="IG114" s="139"/>
      <c r="IH114" s="139"/>
      <c r="II114" s="139"/>
      <c r="IJ114" s="139"/>
    </row>
    <row r="115" spans="2:244" x14ac:dyDescent="0.3">
      <c r="B115" s="5" t="s">
        <v>226</v>
      </c>
      <c r="C115" s="953" t="s">
        <v>227</v>
      </c>
      <c r="D115" s="672">
        <v>0</v>
      </c>
      <c r="E115" s="954">
        <v>0</v>
      </c>
      <c r="F115" s="954">
        <v>0</v>
      </c>
      <c r="G115" s="954">
        <v>0</v>
      </c>
      <c r="H115" s="671">
        <v>0</v>
      </c>
      <c r="I115" s="672">
        <v>0</v>
      </c>
      <c r="J115" s="954">
        <v>0</v>
      </c>
      <c r="K115" s="954">
        <v>0</v>
      </c>
      <c r="L115" s="954">
        <v>0</v>
      </c>
      <c r="M115" s="671">
        <v>0</v>
      </c>
      <c r="N115" s="672">
        <v>0</v>
      </c>
      <c r="O115" s="671">
        <v>0</v>
      </c>
      <c r="P115" s="672">
        <v>0</v>
      </c>
      <c r="Q115" s="671">
        <v>0</v>
      </c>
      <c r="R115" s="672">
        <v>0</v>
      </c>
      <c r="S115" s="671">
        <v>0</v>
      </c>
      <c r="T115" s="672">
        <v>0</v>
      </c>
      <c r="U115" s="671">
        <v>0</v>
      </c>
      <c r="V115" s="672">
        <v>0</v>
      </c>
      <c r="W115" s="671">
        <v>0</v>
      </c>
      <c r="X115" s="672">
        <v>0</v>
      </c>
      <c r="Y115" s="671">
        <v>0</v>
      </c>
      <c r="Z115" s="672">
        <v>0</v>
      </c>
      <c r="AA115" s="954">
        <v>0</v>
      </c>
      <c r="AB115" s="954">
        <v>0</v>
      </c>
      <c r="AC115" s="954">
        <v>0</v>
      </c>
      <c r="AD115" s="703">
        <f t="shared" si="16"/>
        <v>0</v>
      </c>
      <c r="AE115" s="139"/>
      <c r="AF115" s="139"/>
      <c r="AG115" s="139"/>
      <c r="AH115" s="139"/>
      <c r="AI115" s="139"/>
      <c r="AJ115" s="139"/>
      <c r="AK115" s="139"/>
      <c r="AL115" s="139"/>
      <c r="AM115" s="139"/>
      <c r="AN115" s="139"/>
      <c r="AO115" s="139"/>
      <c r="AP115" s="139"/>
      <c r="AQ115" s="139"/>
      <c r="AR115" s="139"/>
      <c r="AS115" s="139"/>
      <c r="AT115" s="139"/>
      <c r="AU115" s="139"/>
      <c r="AV115" s="139"/>
      <c r="AW115" s="139"/>
      <c r="AX115" s="139"/>
      <c r="AY115" s="139"/>
      <c r="AZ115" s="139"/>
      <c r="BA115" s="139"/>
      <c r="BB115" s="139"/>
      <c r="BC115" s="139"/>
      <c r="BD115" s="139"/>
      <c r="BE115" s="139"/>
      <c r="BF115" s="139"/>
      <c r="BG115" s="139"/>
      <c r="BH115" s="139"/>
      <c r="BI115" s="139"/>
      <c r="BJ115" s="139"/>
      <c r="BK115" s="139"/>
      <c r="BL115" s="139"/>
      <c r="BM115" s="139"/>
      <c r="BN115" s="139"/>
      <c r="BO115" s="139"/>
      <c r="BP115" s="139"/>
      <c r="BQ115" s="139"/>
      <c r="BR115" s="139"/>
      <c r="BS115" s="139"/>
      <c r="BT115" s="139"/>
      <c r="BU115" s="139"/>
      <c r="BV115" s="139"/>
      <c r="BW115" s="139"/>
      <c r="BX115" s="139"/>
      <c r="BY115" s="139"/>
      <c r="BZ115" s="139"/>
      <c r="CA115" s="139"/>
      <c r="CB115" s="139"/>
      <c r="CC115" s="139"/>
      <c r="CD115" s="139"/>
      <c r="CE115" s="139"/>
      <c r="CF115" s="139"/>
      <c r="CG115" s="139"/>
      <c r="CH115" s="139"/>
      <c r="CI115" s="139"/>
      <c r="CJ115" s="139"/>
      <c r="CK115" s="139"/>
      <c r="CL115" s="139"/>
      <c r="CM115" s="139"/>
      <c r="CN115" s="139"/>
      <c r="CO115" s="139"/>
      <c r="CP115" s="139"/>
      <c r="CQ115" s="139"/>
      <c r="CR115" s="139"/>
      <c r="CS115" s="139"/>
      <c r="CT115" s="139"/>
      <c r="CU115" s="139"/>
      <c r="CV115" s="139"/>
      <c r="CW115" s="139"/>
      <c r="CX115" s="139"/>
      <c r="CY115" s="139"/>
      <c r="CZ115" s="139"/>
      <c r="DA115" s="139"/>
      <c r="DB115" s="139"/>
      <c r="DC115" s="139"/>
      <c r="DD115" s="139"/>
      <c r="DE115" s="139"/>
      <c r="DF115" s="139"/>
      <c r="DG115" s="139"/>
      <c r="DH115" s="139"/>
      <c r="DI115" s="139"/>
      <c r="DJ115" s="139"/>
      <c r="DK115" s="139"/>
      <c r="DL115" s="139"/>
      <c r="DM115" s="139"/>
      <c r="DN115" s="139"/>
      <c r="DO115" s="139"/>
      <c r="DP115" s="139"/>
      <c r="DQ115" s="139"/>
      <c r="DR115" s="139"/>
      <c r="DS115" s="139"/>
      <c r="DT115" s="139"/>
      <c r="DU115" s="139"/>
      <c r="DV115" s="139"/>
      <c r="DW115" s="139"/>
      <c r="DX115" s="139"/>
      <c r="DY115" s="139"/>
      <c r="DZ115" s="139"/>
      <c r="EA115" s="139"/>
      <c r="EB115" s="139"/>
      <c r="EC115" s="139"/>
      <c r="ED115" s="139"/>
      <c r="EE115" s="139"/>
      <c r="EF115" s="139"/>
      <c r="EG115" s="139"/>
      <c r="EH115" s="139"/>
      <c r="EI115" s="139"/>
      <c r="EJ115" s="139"/>
      <c r="EK115" s="139"/>
      <c r="EL115" s="139"/>
      <c r="EM115" s="139"/>
      <c r="EN115" s="139"/>
      <c r="EO115" s="139"/>
      <c r="EP115" s="139"/>
      <c r="EQ115" s="139"/>
      <c r="ER115" s="139"/>
      <c r="ES115" s="139"/>
      <c r="ET115" s="139"/>
      <c r="EU115" s="139"/>
      <c r="EV115" s="139"/>
      <c r="EW115" s="139"/>
      <c r="EX115" s="139"/>
      <c r="EY115" s="139"/>
      <c r="EZ115" s="139"/>
      <c r="FA115" s="139"/>
      <c r="FB115" s="139"/>
      <c r="FC115" s="139"/>
      <c r="FD115" s="139"/>
      <c r="FE115" s="139"/>
      <c r="FF115" s="139"/>
      <c r="FG115" s="139"/>
      <c r="FH115" s="139"/>
      <c r="FI115" s="139"/>
      <c r="FJ115" s="139"/>
      <c r="FK115" s="139"/>
      <c r="FL115" s="139"/>
      <c r="FM115" s="139"/>
      <c r="FN115" s="139"/>
      <c r="FO115" s="139"/>
      <c r="FP115" s="139"/>
      <c r="FQ115" s="139"/>
      <c r="FR115" s="139"/>
      <c r="FS115" s="139"/>
      <c r="FT115" s="139"/>
      <c r="FU115" s="139"/>
      <c r="FV115" s="139"/>
      <c r="FW115" s="139"/>
      <c r="FX115" s="139"/>
      <c r="FY115" s="139"/>
      <c r="FZ115" s="139"/>
      <c r="GA115" s="139"/>
      <c r="GB115" s="139"/>
      <c r="GC115" s="139"/>
      <c r="GD115" s="139"/>
      <c r="GE115" s="139"/>
      <c r="GF115" s="139"/>
      <c r="GG115" s="139"/>
      <c r="GH115" s="139"/>
      <c r="GI115" s="139"/>
      <c r="GJ115" s="139"/>
      <c r="GK115" s="139"/>
      <c r="GL115" s="139"/>
      <c r="GM115" s="139"/>
      <c r="GN115" s="139"/>
      <c r="GO115" s="139"/>
      <c r="GP115" s="139"/>
      <c r="GQ115" s="139"/>
      <c r="GR115" s="139"/>
      <c r="GS115" s="139"/>
      <c r="GT115" s="139"/>
      <c r="GU115" s="139"/>
      <c r="GV115" s="139"/>
      <c r="GW115" s="139"/>
      <c r="GX115" s="139"/>
      <c r="GY115" s="139"/>
      <c r="GZ115" s="139"/>
      <c r="HA115" s="139"/>
      <c r="HB115" s="139"/>
      <c r="HC115" s="139"/>
      <c r="HD115" s="139"/>
      <c r="HE115" s="139"/>
      <c r="HF115" s="139"/>
      <c r="HG115" s="139"/>
      <c r="HH115" s="139"/>
      <c r="HI115" s="139"/>
      <c r="HJ115" s="139"/>
      <c r="HK115" s="139"/>
      <c r="HL115" s="139"/>
      <c r="HM115" s="139"/>
      <c r="HN115" s="139"/>
      <c r="HO115" s="139"/>
      <c r="HP115" s="139"/>
      <c r="HQ115" s="139"/>
      <c r="HR115" s="139"/>
      <c r="HS115" s="139"/>
      <c r="HT115" s="139"/>
      <c r="HU115" s="139"/>
      <c r="HV115" s="139"/>
      <c r="HW115" s="139"/>
      <c r="HX115" s="139"/>
      <c r="HY115" s="139"/>
      <c r="HZ115" s="139"/>
      <c r="IA115" s="139"/>
      <c r="IB115" s="139"/>
      <c r="IC115" s="139"/>
      <c r="ID115" s="139"/>
      <c r="IE115" s="139"/>
      <c r="IF115" s="139"/>
      <c r="IG115" s="139"/>
      <c r="IH115" s="139"/>
      <c r="II115" s="139"/>
      <c r="IJ115" s="139"/>
    </row>
    <row r="116" spans="2:244" x14ac:dyDescent="0.3">
      <c r="B116" s="5" t="s">
        <v>124</v>
      </c>
      <c r="C116" s="953" t="s">
        <v>228</v>
      </c>
      <c r="D116" s="672">
        <v>0</v>
      </c>
      <c r="E116" s="954">
        <v>0</v>
      </c>
      <c r="F116" s="954">
        <v>0</v>
      </c>
      <c r="G116" s="954">
        <v>0</v>
      </c>
      <c r="H116" s="671">
        <v>0</v>
      </c>
      <c r="I116" s="672">
        <v>0</v>
      </c>
      <c r="J116" s="954">
        <v>0</v>
      </c>
      <c r="K116" s="954">
        <v>0</v>
      </c>
      <c r="L116" s="954">
        <v>0</v>
      </c>
      <c r="M116" s="671">
        <v>0</v>
      </c>
      <c r="N116" s="672">
        <v>0</v>
      </c>
      <c r="O116" s="671">
        <v>0</v>
      </c>
      <c r="P116" s="672">
        <v>0</v>
      </c>
      <c r="Q116" s="671">
        <v>0</v>
      </c>
      <c r="R116" s="672">
        <v>0</v>
      </c>
      <c r="S116" s="671">
        <v>0</v>
      </c>
      <c r="T116" s="672">
        <v>0</v>
      </c>
      <c r="U116" s="671">
        <v>0</v>
      </c>
      <c r="V116" s="672">
        <v>0</v>
      </c>
      <c r="W116" s="671">
        <v>0</v>
      </c>
      <c r="X116" s="672">
        <v>0</v>
      </c>
      <c r="Y116" s="671">
        <v>0</v>
      </c>
      <c r="Z116" s="672">
        <v>0</v>
      </c>
      <c r="AA116" s="954">
        <v>0</v>
      </c>
      <c r="AB116" s="954">
        <v>0</v>
      </c>
      <c r="AC116" s="954">
        <v>0</v>
      </c>
      <c r="AD116" s="703">
        <f t="shared" si="16"/>
        <v>0</v>
      </c>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139"/>
      <c r="BA116" s="139"/>
      <c r="BB116" s="139"/>
      <c r="BC116" s="139"/>
      <c r="BD116" s="139"/>
      <c r="BE116" s="139"/>
      <c r="BF116" s="139"/>
      <c r="BG116" s="139"/>
      <c r="BH116" s="139"/>
      <c r="BI116" s="139"/>
      <c r="BJ116" s="139"/>
      <c r="BK116" s="139"/>
      <c r="BL116" s="139"/>
      <c r="BM116" s="139"/>
      <c r="BN116" s="139"/>
      <c r="BO116" s="139"/>
      <c r="BP116" s="139"/>
      <c r="BQ116" s="139"/>
      <c r="BR116" s="139"/>
      <c r="BS116" s="139"/>
      <c r="BT116" s="139"/>
      <c r="BU116" s="139"/>
      <c r="BV116" s="139"/>
      <c r="BW116" s="139"/>
      <c r="BX116" s="139"/>
      <c r="BY116" s="139"/>
      <c r="BZ116" s="139"/>
      <c r="CA116" s="139"/>
      <c r="CB116" s="139"/>
      <c r="CC116" s="139"/>
      <c r="CD116" s="139"/>
      <c r="CE116" s="139"/>
      <c r="CF116" s="139"/>
      <c r="CG116" s="139"/>
      <c r="CH116" s="139"/>
      <c r="CI116" s="139"/>
      <c r="CJ116" s="139"/>
      <c r="CK116" s="139"/>
      <c r="CL116" s="139"/>
      <c r="CM116" s="139"/>
      <c r="CN116" s="139"/>
      <c r="CO116" s="139"/>
      <c r="CP116" s="139"/>
      <c r="CQ116" s="139"/>
      <c r="CR116" s="139"/>
      <c r="CS116" s="139"/>
      <c r="CT116" s="139"/>
      <c r="CU116" s="139"/>
      <c r="CV116" s="139"/>
      <c r="CW116" s="139"/>
      <c r="CX116" s="139"/>
      <c r="CY116" s="139"/>
      <c r="CZ116" s="139"/>
      <c r="DA116" s="139"/>
      <c r="DB116" s="139"/>
      <c r="DC116" s="139"/>
      <c r="DD116" s="139"/>
      <c r="DE116" s="139"/>
      <c r="DF116" s="139"/>
      <c r="DG116" s="139"/>
      <c r="DH116" s="139"/>
      <c r="DI116" s="139"/>
      <c r="DJ116" s="139"/>
      <c r="DK116" s="139"/>
      <c r="DL116" s="139"/>
      <c r="DM116" s="139"/>
      <c r="DN116" s="139"/>
      <c r="DO116" s="139"/>
      <c r="DP116" s="139"/>
      <c r="DQ116" s="139"/>
      <c r="DR116" s="139"/>
      <c r="DS116" s="139"/>
      <c r="DT116" s="139"/>
      <c r="DU116" s="139"/>
      <c r="DV116" s="139"/>
      <c r="DW116" s="139"/>
      <c r="DX116" s="139"/>
      <c r="DY116" s="139"/>
      <c r="DZ116" s="139"/>
      <c r="EA116" s="139"/>
      <c r="EB116" s="139"/>
      <c r="EC116" s="139"/>
      <c r="ED116" s="139"/>
      <c r="EE116" s="139"/>
      <c r="EF116" s="139"/>
      <c r="EG116" s="139"/>
      <c r="EH116" s="139"/>
      <c r="EI116" s="139"/>
      <c r="EJ116" s="139"/>
      <c r="EK116" s="139"/>
      <c r="EL116" s="139"/>
      <c r="EM116" s="139"/>
      <c r="EN116" s="139"/>
      <c r="EO116" s="139"/>
      <c r="EP116" s="139"/>
      <c r="EQ116" s="139"/>
      <c r="ER116" s="139"/>
      <c r="ES116" s="139"/>
      <c r="ET116" s="139"/>
      <c r="EU116" s="139"/>
      <c r="EV116" s="139"/>
      <c r="EW116" s="139"/>
      <c r="EX116" s="139"/>
      <c r="EY116" s="139"/>
      <c r="EZ116" s="139"/>
      <c r="FA116" s="139"/>
      <c r="FB116" s="139"/>
      <c r="FC116" s="139"/>
      <c r="FD116" s="139"/>
      <c r="FE116" s="139"/>
      <c r="FF116" s="139"/>
      <c r="FG116" s="139"/>
      <c r="FH116" s="139"/>
      <c r="FI116" s="139"/>
      <c r="FJ116" s="139"/>
      <c r="FK116" s="139"/>
      <c r="FL116" s="139"/>
      <c r="FM116" s="139"/>
      <c r="FN116" s="139"/>
      <c r="FO116" s="139"/>
      <c r="FP116" s="139"/>
      <c r="FQ116" s="139"/>
      <c r="FR116" s="139"/>
      <c r="FS116" s="139"/>
      <c r="FT116" s="139"/>
      <c r="FU116" s="139"/>
      <c r="FV116" s="139"/>
      <c r="FW116" s="139"/>
      <c r="FX116" s="139"/>
      <c r="FY116" s="139"/>
      <c r="FZ116" s="139"/>
      <c r="GA116" s="139"/>
      <c r="GB116" s="139"/>
      <c r="GC116" s="139"/>
      <c r="GD116" s="139"/>
      <c r="GE116" s="139"/>
      <c r="GF116" s="139"/>
      <c r="GG116" s="139"/>
      <c r="GH116" s="139"/>
      <c r="GI116" s="139"/>
      <c r="GJ116" s="139"/>
      <c r="GK116" s="139"/>
      <c r="GL116" s="139"/>
      <c r="GM116" s="139"/>
      <c r="GN116" s="139"/>
      <c r="GO116" s="139"/>
      <c r="GP116" s="139"/>
      <c r="GQ116" s="139"/>
      <c r="GR116" s="139"/>
      <c r="GS116" s="139"/>
      <c r="GT116" s="139"/>
      <c r="GU116" s="139"/>
      <c r="GV116" s="139"/>
      <c r="GW116" s="139"/>
      <c r="GX116" s="139"/>
      <c r="GY116" s="139"/>
      <c r="GZ116" s="139"/>
      <c r="HA116" s="139"/>
      <c r="HB116" s="139"/>
      <c r="HC116" s="139"/>
      <c r="HD116" s="139"/>
      <c r="HE116" s="139"/>
      <c r="HF116" s="139"/>
      <c r="HG116" s="139"/>
      <c r="HH116" s="139"/>
      <c r="HI116" s="139"/>
      <c r="HJ116" s="139"/>
      <c r="HK116" s="139"/>
      <c r="HL116" s="139"/>
      <c r="HM116" s="139"/>
      <c r="HN116" s="139"/>
      <c r="HO116" s="139"/>
      <c r="HP116" s="139"/>
      <c r="HQ116" s="139"/>
      <c r="HR116" s="139"/>
      <c r="HS116" s="139"/>
      <c r="HT116" s="139"/>
      <c r="HU116" s="139"/>
      <c r="HV116" s="139"/>
      <c r="HW116" s="139"/>
      <c r="HX116" s="139"/>
      <c r="HY116" s="139"/>
      <c r="HZ116" s="139"/>
      <c r="IA116" s="139"/>
      <c r="IB116" s="139"/>
      <c r="IC116" s="139"/>
      <c r="ID116" s="139"/>
      <c r="IE116" s="139"/>
      <c r="IF116" s="139"/>
      <c r="IG116" s="139"/>
      <c r="IH116" s="139"/>
      <c r="II116" s="139"/>
      <c r="IJ116" s="139"/>
    </row>
    <row r="117" spans="2:244" x14ac:dyDescent="0.3">
      <c r="B117" s="5" t="s">
        <v>125</v>
      </c>
      <c r="C117" s="953" t="s">
        <v>229</v>
      </c>
      <c r="D117" s="672">
        <v>0</v>
      </c>
      <c r="E117" s="954">
        <v>0</v>
      </c>
      <c r="F117" s="954">
        <v>0</v>
      </c>
      <c r="G117" s="954">
        <v>0</v>
      </c>
      <c r="H117" s="671">
        <v>0</v>
      </c>
      <c r="I117" s="672">
        <v>0</v>
      </c>
      <c r="J117" s="954">
        <v>0</v>
      </c>
      <c r="K117" s="954">
        <v>0</v>
      </c>
      <c r="L117" s="954">
        <v>0</v>
      </c>
      <c r="M117" s="671">
        <v>0</v>
      </c>
      <c r="N117" s="672">
        <v>0</v>
      </c>
      <c r="O117" s="671">
        <v>0</v>
      </c>
      <c r="P117" s="672">
        <v>0</v>
      </c>
      <c r="Q117" s="671">
        <v>0</v>
      </c>
      <c r="R117" s="672">
        <v>0</v>
      </c>
      <c r="S117" s="671">
        <v>0</v>
      </c>
      <c r="T117" s="672">
        <v>0</v>
      </c>
      <c r="U117" s="671">
        <v>0</v>
      </c>
      <c r="V117" s="672">
        <v>0</v>
      </c>
      <c r="W117" s="671">
        <v>0</v>
      </c>
      <c r="X117" s="672">
        <v>0</v>
      </c>
      <c r="Y117" s="671">
        <v>0</v>
      </c>
      <c r="Z117" s="672">
        <v>0</v>
      </c>
      <c r="AA117" s="954">
        <v>0</v>
      </c>
      <c r="AB117" s="954">
        <v>0</v>
      </c>
      <c r="AC117" s="954">
        <v>0</v>
      </c>
      <c r="AD117" s="703">
        <f t="shared" si="16"/>
        <v>0</v>
      </c>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c r="BD117" s="139"/>
      <c r="BE117" s="139"/>
      <c r="BF117" s="139"/>
      <c r="BG117" s="139"/>
      <c r="BH117" s="139"/>
      <c r="BI117" s="139"/>
      <c r="BJ117" s="139"/>
      <c r="BK117" s="139"/>
      <c r="BL117" s="139"/>
      <c r="BM117" s="139"/>
      <c r="BN117" s="139"/>
      <c r="BO117" s="139"/>
      <c r="BP117" s="139"/>
      <c r="BQ117" s="139"/>
      <c r="BR117" s="139"/>
      <c r="BS117" s="139"/>
      <c r="BT117" s="139"/>
      <c r="BU117" s="139"/>
      <c r="BV117" s="139"/>
      <c r="BW117" s="139"/>
      <c r="BX117" s="139"/>
      <c r="BY117" s="139"/>
      <c r="BZ117" s="139"/>
      <c r="CA117" s="139"/>
      <c r="CB117" s="139"/>
      <c r="CC117" s="139"/>
      <c r="CD117" s="139"/>
      <c r="CE117" s="139"/>
      <c r="CF117" s="139"/>
      <c r="CG117" s="139"/>
      <c r="CH117" s="139"/>
      <c r="CI117" s="139"/>
      <c r="CJ117" s="139"/>
      <c r="CK117" s="139"/>
      <c r="CL117" s="139"/>
      <c r="CM117" s="139"/>
      <c r="CN117" s="139"/>
      <c r="CO117" s="139"/>
      <c r="CP117" s="139"/>
      <c r="CQ117" s="139"/>
      <c r="CR117" s="139"/>
      <c r="CS117" s="139"/>
      <c r="CT117" s="139"/>
      <c r="CU117" s="139"/>
      <c r="CV117" s="139"/>
      <c r="CW117" s="139"/>
      <c r="CX117" s="139"/>
      <c r="CY117" s="139"/>
      <c r="CZ117" s="139"/>
      <c r="DA117" s="139"/>
      <c r="DB117" s="139"/>
      <c r="DC117" s="139"/>
      <c r="DD117" s="139"/>
      <c r="DE117" s="139"/>
      <c r="DF117" s="139"/>
      <c r="DG117" s="139"/>
      <c r="DH117" s="139"/>
      <c r="DI117" s="139"/>
      <c r="DJ117" s="139"/>
      <c r="DK117" s="139"/>
      <c r="DL117" s="139"/>
      <c r="DM117" s="139"/>
      <c r="DN117" s="139"/>
      <c r="DO117" s="139"/>
      <c r="DP117" s="139"/>
      <c r="DQ117" s="139"/>
      <c r="DR117" s="139"/>
      <c r="DS117" s="139"/>
      <c r="DT117" s="139"/>
      <c r="DU117" s="139"/>
      <c r="DV117" s="139"/>
      <c r="DW117" s="139"/>
      <c r="DX117" s="139"/>
      <c r="DY117" s="139"/>
      <c r="DZ117" s="139"/>
      <c r="EA117" s="139"/>
      <c r="EB117" s="139"/>
      <c r="EC117" s="139"/>
      <c r="ED117" s="139"/>
      <c r="EE117" s="139"/>
      <c r="EF117" s="139"/>
      <c r="EG117" s="139"/>
      <c r="EH117" s="139"/>
      <c r="EI117" s="139"/>
      <c r="EJ117" s="139"/>
      <c r="EK117" s="139"/>
      <c r="EL117" s="139"/>
      <c r="EM117" s="139"/>
      <c r="EN117" s="139"/>
      <c r="EO117" s="139"/>
      <c r="EP117" s="139"/>
      <c r="EQ117" s="139"/>
      <c r="ER117" s="139"/>
      <c r="ES117" s="139"/>
      <c r="ET117" s="139"/>
      <c r="EU117" s="139"/>
      <c r="EV117" s="139"/>
      <c r="EW117" s="139"/>
      <c r="EX117" s="139"/>
      <c r="EY117" s="139"/>
      <c r="EZ117" s="139"/>
      <c r="FA117" s="139"/>
      <c r="FB117" s="139"/>
      <c r="FC117" s="139"/>
      <c r="FD117" s="139"/>
      <c r="FE117" s="139"/>
      <c r="FF117" s="139"/>
      <c r="FG117" s="139"/>
      <c r="FH117" s="139"/>
      <c r="FI117" s="139"/>
      <c r="FJ117" s="139"/>
      <c r="FK117" s="139"/>
      <c r="FL117" s="139"/>
      <c r="FM117" s="139"/>
      <c r="FN117" s="139"/>
      <c r="FO117" s="139"/>
      <c r="FP117" s="139"/>
      <c r="FQ117" s="139"/>
      <c r="FR117" s="139"/>
      <c r="FS117" s="139"/>
      <c r="FT117" s="139"/>
      <c r="FU117" s="139"/>
      <c r="FV117" s="139"/>
      <c r="FW117" s="139"/>
      <c r="FX117" s="139"/>
      <c r="FY117" s="139"/>
      <c r="FZ117" s="139"/>
      <c r="GA117" s="139"/>
      <c r="GB117" s="139"/>
      <c r="GC117" s="139"/>
      <c r="GD117" s="139"/>
      <c r="GE117" s="139"/>
      <c r="GF117" s="139"/>
      <c r="GG117" s="139"/>
      <c r="GH117" s="139"/>
      <c r="GI117" s="139"/>
      <c r="GJ117" s="139"/>
      <c r="GK117" s="139"/>
      <c r="GL117" s="139"/>
      <c r="GM117" s="139"/>
      <c r="GN117" s="139"/>
      <c r="GO117" s="139"/>
      <c r="GP117" s="139"/>
      <c r="GQ117" s="139"/>
      <c r="GR117" s="139"/>
      <c r="GS117" s="139"/>
      <c r="GT117" s="139"/>
      <c r="GU117" s="139"/>
      <c r="GV117" s="139"/>
      <c r="GW117" s="139"/>
      <c r="GX117" s="139"/>
      <c r="GY117" s="139"/>
      <c r="GZ117" s="139"/>
      <c r="HA117" s="139"/>
      <c r="HB117" s="139"/>
      <c r="HC117" s="139"/>
      <c r="HD117" s="139"/>
      <c r="HE117" s="139"/>
      <c r="HF117" s="139"/>
      <c r="HG117" s="139"/>
      <c r="HH117" s="139"/>
      <c r="HI117" s="139"/>
      <c r="HJ117" s="139"/>
      <c r="HK117" s="139"/>
      <c r="HL117" s="139"/>
      <c r="HM117" s="139"/>
      <c r="HN117" s="139"/>
      <c r="HO117" s="139"/>
      <c r="HP117" s="139"/>
      <c r="HQ117" s="139"/>
      <c r="HR117" s="139"/>
      <c r="HS117" s="139"/>
      <c r="HT117" s="139"/>
      <c r="HU117" s="139"/>
      <c r="HV117" s="139"/>
      <c r="HW117" s="139"/>
      <c r="HX117" s="139"/>
      <c r="HY117" s="139"/>
      <c r="HZ117" s="139"/>
      <c r="IA117" s="139"/>
      <c r="IB117" s="139"/>
      <c r="IC117" s="139"/>
      <c r="ID117" s="139"/>
      <c r="IE117" s="139"/>
      <c r="IF117" s="139"/>
      <c r="IG117" s="139"/>
      <c r="IH117" s="139"/>
      <c r="II117" s="139"/>
      <c r="IJ117" s="139"/>
    </row>
    <row r="118" spans="2:244" x14ac:dyDescent="0.3">
      <c r="B118" s="5" t="s">
        <v>126</v>
      </c>
      <c r="C118" s="953" t="s">
        <v>230</v>
      </c>
      <c r="D118" s="672">
        <v>0</v>
      </c>
      <c r="E118" s="954">
        <v>0</v>
      </c>
      <c r="F118" s="954">
        <v>0</v>
      </c>
      <c r="G118" s="954">
        <v>0</v>
      </c>
      <c r="H118" s="671">
        <v>0</v>
      </c>
      <c r="I118" s="672">
        <v>0</v>
      </c>
      <c r="J118" s="954">
        <v>0</v>
      </c>
      <c r="K118" s="954">
        <v>0</v>
      </c>
      <c r="L118" s="954">
        <v>0</v>
      </c>
      <c r="M118" s="671">
        <v>0</v>
      </c>
      <c r="N118" s="672">
        <v>0</v>
      </c>
      <c r="O118" s="671">
        <v>0</v>
      </c>
      <c r="P118" s="672">
        <v>0</v>
      </c>
      <c r="Q118" s="671">
        <v>0</v>
      </c>
      <c r="R118" s="672">
        <v>0</v>
      </c>
      <c r="S118" s="671">
        <v>0</v>
      </c>
      <c r="T118" s="672">
        <v>0</v>
      </c>
      <c r="U118" s="671">
        <v>0</v>
      </c>
      <c r="V118" s="672">
        <v>0</v>
      </c>
      <c r="W118" s="671">
        <v>0</v>
      </c>
      <c r="X118" s="672">
        <v>0</v>
      </c>
      <c r="Y118" s="671">
        <v>0</v>
      </c>
      <c r="Z118" s="672">
        <v>0</v>
      </c>
      <c r="AA118" s="954">
        <v>0</v>
      </c>
      <c r="AB118" s="954">
        <v>0</v>
      </c>
      <c r="AC118" s="954">
        <v>0</v>
      </c>
      <c r="AD118" s="703">
        <f t="shared" si="16"/>
        <v>0</v>
      </c>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c r="BF118" s="139"/>
      <c r="BG118" s="139"/>
      <c r="BH118" s="139"/>
      <c r="BI118" s="139"/>
      <c r="BJ118" s="139"/>
      <c r="BK118" s="139"/>
      <c r="BL118" s="139"/>
      <c r="BM118" s="139"/>
      <c r="BN118" s="139"/>
      <c r="BO118" s="139"/>
      <c r="BP118" s="139"/>
      <c r="BQ118" s="139"/>
      <c r="BR118" s="139"/>
      <c r="BS118" s="139"/>
      <c r="BT118" s="139"/>
      <c r="BU118" s="139"/>
      <c r="BV118" s="139"/>
      <c r="BW118" s="139"/>
      <c r="BX118" s="139"/>
      <c r="BY118" s="139"/>
      <c r="BZ118" s="139"/>
      <c r="CA118" s="139"/>
      <c r="CB118" s="139"/>
      <c r="CC118" s="139"/>
      <c r="CD118" s="139"/>
      <c r="CE118" s="139"/>
      <c r="CF118" s="139"/>
      <c r="CG118" s="139"/>
      <c r="CH118" s="139"/>
      <c r="CI118" s="139"/>
      <c r="CJ118" s="139"/>
      <c r="CK118" s="139"/>
      <c r="CL118" s="139"/>
      <c r="CM118" s="139"/>
      <c r="CN118" s="139"/>
      <c r="CO118" s="139"/>
      <c r="CP118" s="139"/>
      <c r="CQ118" s="139"/>
      <c r="CR118" s="139"/>
      <c r="CS118" s="139"/>
      <c r="CT118" s="139"/>
      <c r="CU118" s="139"/>
      <c r="CV118" s="139"/>
      <c r="CW118" s="139"/>
      <c r="CX118" s="139"/>
      <c r="CY118" s="139"/>
      <c r="CZ118" s="139"/>
      <c r="DA118" s="139"/>
      <c r="DB118" s="139"/>
      <c r="DC118" s="139"/>
      <c r="DD118" s="139"/>
      <c r="DE118" s="139"/>
      <c r="DF118" s="139"/>
      <c r="DG118" s="139"/>
      <c r="DH118" s="139"/>
      <c r="DI118" s="139"/>
      <c r="DJ118" s="139"/>
      <c r="DK118" s="139"/>
      <c r="DL118" s="139"/>
      <c r="DM118" s="139"/>
      <c r="DN118" s="139"/>
      <c r="DO118" s="139"/>
      <c r="DP118" s="139"/>
      <c r="DQ118" s="139"/>
      <c r="DR118" s="139"/>
      <c r="DS118" s="139"/>
      <c r="DT118" s="139"/>
      <c r="DU118" s="139"/>
      <c r="DV118" s="139"/>
      <c r="DW118" s="139"/>
      <c r="DX118" s="139"/>
      <c r="DY118" s="139"/>
      <c r="DZ118" s="139"/>
      <c r="EA118" s="139"/>
      <c r="EB118" s="139"/>
      <c r="EC118" s="139"/>
      <c r="ED118" s="139"/>
      <c r="EE118" s="139"/>
      <c r="EF118" s="139"/>
      <c r="EG118" s="139"/>
      <c r="EH118" s="139"/>
      <c r="EI118" s="139"/>
      <c r="EJ118" s="139"/>
      <c r="EK118" s="139"/>
      <c r="EL118" s="139"/>
      <c r="EM118" s="139"/>
      <c r="EN118" s="139"/>
      <c r="EO118" s="139"/>
      <c r="EP118" s="139"/>
      <c r="EQ118" s="139"/>
      <c r="ER118" s="139"/>
      <c r="ES118" s="139"/>
      <c r="ET118" s="139"/>
      <c r="EU118" s="139"/>
      <c r="EV118" s="139"/>
      <c r="EW118" s="139"/>
      <c r="EX118" s="139"/>
      <c r="EY118" s="139"/>
      <c r="EZ118" s="139"/>
      <c r="FA118" s="139"/>
      <c r="FB118" s="139"/>
      <c r="FC118" s="139"/>
      <c r="FD118" s="139"/>
      <c r="FE118" s="139"/>
      <c r="FF118" s="139"/>
      <c r="FG118" s="139"/>
      <c r="FH118" s="139"/>
      <c r="FI118" s="139"/>
      <c r="FJ118" s="139"/>
      <c r="FK118" s="139"/>
      <c r="FL118" s="139"/>
      <c r="FM118" s="139"/>
      <c r="FN118" s="139"/>
      <c r="FO118" s="139"/>
      <c r="FP118" s="139"/>
      <c r="FQ118" s="139"/>
      <c r="FR118" s="139"/>
      <c r="FS118" s="139"/>
      <c r="FT118" s="139"/>
      <c r="FU118" s="139"/>
      <c r="FV118" s="139"/>
      <c r="FW118" s="139"/>
      <c r="FX118" s="139"/>
      <c r="FY118" s="139"/>
      <c r="FZ118" s="139"/>
      <c r="GA118" s="139"/>
      <c r="GB118" s="139"/>
      <c r="GC118" s="139"/>
      <c r="GD118" s="139"/>
      <c r="GE118" s="139"/>
      <c r="GF118" s="139"/>
      <c r="GG118" s="139"/>
      <c r="GH118" s="139"/>
      <c r="GI118" s="139"/>
      <c r="GJ118" s="139"/>
      <c r="GK118" s="139"/>
      <c r="GL118" s="139"/>
      <c r="GM118" s="139"/>
      <c r="GN118" s="139"/>
      <c r="GO118" s="139"/>
      <c r="GP118" s="139"/>
      <c r="GQ118" s="139"/>
      <c r="GR118" s="139"/>
      <c r="GS118" s="139"/>
      <c r="GT118" s="139"/>
      <c r="GU118" s="139"/>
      <c r="GV118" s="139"/>
      <c r="GW118" s="139"/>
      <c r="GX118" s="139"/>
      <c r="GY118" s="139"/>
      <c r="GZ118" s="139"/>
      <c r="HA118" s="139"/>
      <c r="HB118" s="139"/>
      <c r="HC118" s="139"/>
      <c r="HD118" s="139"/>
      <c r="HE118" s="139"/>
      <c r="HF118" s="139"/>
      <c r="HG118" s="139"/>
      <c r="HH118" s="139"/>
      <c r="HI118" s="139"/>
      <c r="HJ118" s="139"/>
      <c r="HK118" s="139"/>
      <c r="HL118" s="139"/>
      <c r="HM118" s="139"/>
      <c r="HN118" s="139"/>
      <c r="HO118" s="139"/>
      <c r="HP118" s="139"/>
      <c r="HQ118" s="139"/>
      <c r="HR118" s="139"/>
      <c r="HS118" s="139"/>
      <c r="HT118" s="139"/>
      <c r="HU118" s="139"/>
      <c r="HV118" s="139"/>
      <c r="HW118" s="139"/>
      <c r="HX118" s="139"/>
      <c r="HY118" s="139"/>
      <c r="HZ118" s="139"/>
      <c r="IA118" s="139"/>
      <c r="IB118" s="139"/>
      <c r="IC118" s="139"/>
      <c r="ID118" s="139"/>
      <c r="IE118" s="139"/>
      <c r="IF118" s="139"/>
      <c r="IG118" s="139"/>
      <c r="IH118" s="139"/>
      <c r="II118" s="139"/>
      <c r="IJ118" s="139"/>
    </row>
    <row r="119" spans="2:244" x14ac:dyDescent="0.3">
      <c r="B119" s="5" t="s">
        <v>127</v>
      </c>
      <c r="C119" s="953" t="s">
        <v>231</v>
      </c>
      <c r="D119" s="672">
        <v>0</v>
      </c>
      <c r="E119" s="954">
        <v>0</v>
      </c>
      <c r="F119" s="954">
        <v>0</v>
      </c>
      <c r="G119" s="954">
        <v>0</v>
      </c>
      <c r="H119" s="671">
        <v>0</v>
      </c>
      <c r="I119" s="672">
        <v>13305.561068827774</v>
      </c>
      <c r="J119" s="954">
        <v>1590.2788692723971</v>
      </c>
      <c r="K119" s="954">
        <v>1.1683033340158198</v>
      </c>
      <c r="L119" s="954">
        <v>162.2193557994614</v>
      </c>
      <c r="M119" s="671">
        <v>1512.9192157457612</v>
      </c>
      <c r="N119" s="672">
        <v>0</v>
      </c>
      <c r="O119" s="671">
        <v>0</v>
      </c>
      <c r="P119" s="672">
        <v>0</v>
      </c>
      <c r="Q119" s="671">
        <v>0</v>
      </c>
      <c r="R119" s="672">
        <v>0</v>
      </c>
      <c r="S119" s="671">
        <v>0</v>
      </c>
      <c r="T119" s="672">
        <v>0</v>
      </c>
      <c r="U119" s="671">
        <v>0</v>
      </c>
      <c r="V119" s="672">
        <v>0</v>
      </c>
      <c r="W119" s="671">
        <v>0</v>
      </c>
      <c r="X119" s="672">
        <v>1.4289099702631007</v>
      </c>
      <c r="Y119" s="671">
        <v>0</v>
      </c>
      <c r="Z119" s="672">
        <v>13306.989978798038</v>
      </c>
      <c r="AA119" s="954">
        <v>1590.2788692723971</v>
      </c>
      <c r="AB119" s="954">
        <v>1.1683033340158198</v>
      </c>
      <c r="AC119" s="954">
        <v>162.2193557994614</v>
      </c>
      <c r="AD119" s="703">
        <f t="shared" si="16"/>
        <v>15060.656507203912</v>
      </c>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c r="BD119" s="139"/>
      <c r="BE119" s="139"/>
      <c r="BF119" s="139"/>
      <c r="BG119" s="139"/>
      <c r="BH119" s="139"/>
      <c r="BI119" s="139"/>
      <c r="BJ119" s="139"/>
      <c r="BK119" s="139"/>
      <c r="BL119" s="139"/>
      <c r="BM119" s="139"/>
      <c r="BN119" s="139"/>
      <c r="BO119" s="139"/>
      <c r="BP119" s="139"/>
      <c r="BQ119" s="139"/>
      <c r="BR119" s="139"/>
      <c r="BS119" s="139"/>
      <c r="BT119" s="139"/>
      <c r="BU119" s="139"/>
      <c r="BV119" s="139"/>
      <c r="BW119" s="139"/>
      <c r="BX119" s="139"/>
      <c r="BY119" s="139"/>
      <c r="BZ119" s="139"/>
      <c r="CA119" s="139"/>
      <c r="CB119" s="139"/>
      <c r="CC119" s="139"/>
      <c r="CD119" s="139"/>
      <c r="CE119" s="139"/>
      <c r="CF119" s="139"/>
      <c r="CG119" s="139"/>
      <c r="CH119" s="139"/>
      <c r="CI119" s="139"/>
      <c r="CJ119" s="139"/>
      <c r="CK119" s="139"/>
      <c r="CL119" s="139"/>
      <c r="CM119" s="139"/>
      <c r="CN119" s="139"/>
      <c r="CO119" s="139"/>
      <c r="CP119" s="139"/>
      <c r="CQ119" s="139"/>
      <c r="CR119" s="139"/>
      <c r="CS119" s="139"/>
      <c r="CT119" s="139"/>
      <c r="CU119" s="139"/>
      <c r="CV119" s="139"/>
      <c r="CW119" s="139"/>
      <c r="CX119" s="139"/>
      <c r="CY119" s="139"/>
      <c r="CZ119" s="139"/>
      <c r="DA119" s="139"/>
      <c r="DB119" s="139"/>
      <c r="DC119" s="139"/>
      <c r="DD119" s="139"/>
      <c r="DE119" s="139"/>
      <c r="DF119" s="139"/>
      <c r="DG119" s="139"/>
      <c r="DH119" s="139"/>
      <c r="DI119" s="139"/>
      <c r="DJ119" s="139"/>
      <c r="DK119" s="139"/>
      <c r="DL119" s="139"/>
      <c r="DM119" s="139"/>
      <c r="DN119" s="139"/>
      <c r="DO119" s="139"/>
      <c r="DP119" s="139"/>
      <c r="DQ119" s="139"/>
      <c r="DR119" s="139"/>
      <c r="DS119" s="139"/>
      <c r="DT119" s="139"/>
      <c r="DU119" s="139"/>
      <c r="DV119" s="139"/>
      <c r="DW119" s="139"/>
      <c r="DX119" s="139"/>
      <c r="DY119" s="139"/>
      <c r="DZ119" s="139"/>
      <c r="EA119" s="139"/>
      <c r="EB119" s="139"/>
      <c r="EC119" s="139"/>
      <c r="ED119" s="139"/>
      <c r="EE119" s="139"/>
      <c r="EF119" s="139"/>
      <c r="EG119" s="139"/>
      <c r="EH119" s="139"/>
      <c r="EI119" s="139"/>
      <c r="EJ119" s="139"/>
      <c r="EK119" s="139"/>
      <c r="EL119" s="139"/>
      <c r="EM119" s="139"/>
      <c r="EN119" s="139"/>
      <c r="EO119" s="139"/>
      <c r="EP119" s="139"/>
      <c r="EQ119" s="139"/>
      <c r="ER119" s="139"/>
      <c r="ES119" s="139"/>
      <c r="ET119" s="139"/>
      <c r="EU119" s="139"/>
      <c r="EV119" s="139"/>
      <c r="EW119" s="139"/>
      <c r="EX119" s="139"/>
      <c r="EY119" s="139"/>
      <c r="EZ119" s="139"/>
      <c r="FA119" s="139"/>
      <c r="FB119" s="139"/>
      <c r="FC119" s="139"/>
      <c r="FD119" s="139"/>
      <c r="FE119" s="139"/>
      <c r="FF119" s="139"/>
      <c r="FG119" s="139"/>
      <c r="FH119" s="139"/>
      <c r="FI119" s="139"/>
      <c r="FJ119" s="139"/>
      <c r="FK119" s="139"/>
      <c r="FL119" s="139"/>
      <c r="FM119" s="139"/>
      <c r="FN119" s="139"/>
      <c r="FO119" s="139"/>
      <c r="FP119" s="139"/>
      <c r="FQ119" s="139"/>
      <c r="FR119" s="139"/>
      <c r="FS119" s="139"/>
      <c r="FT119" s="139"/>
      <c r="FU119" s="139"/>
      <c r="FV119" s="139"/>
      <c r="FW119" s="139"/>
      <c r="FX119" s="139"/>
      <c r="FY119" s="139"/>
      <c r="FZ119" s="139"/>
      <c r="GA119" s="139"/>
      <c r="GB119" s="139"/>
      <c r="GC119" s="139"/>
      <c r="GD119" s="139"/>
      <c r="GE119" s="139"/>
      <c r="GF119" s="139"/>
      <c r="GG119" s="139"/>
      <c r="GH119" s="139"/>
      <c r="GI119" s="139"/>
      <c r="GJ119" s="139"/>
      <c r="GK119" s="139"/>
      <c r="GL119" s="139"/>
      <c r="GM119" s="139"/>
      <c r="GN119" s="139"/>
      <c r="GO119" s="139"/>
      <c r="GP119" s="139"/>
      <c r="GQ119" s="139"/>
      <c r="GR119" s="139"/>
      <c r="GS119" s="139"/>
      <c r="GT119" s="139"/>
      <c r="GU119" s="139"/>
      <c r="GV119" s="139"/>
      <c r="GW119" s="139"/>
      <c r="GX119" s="139"/>
      <c r="GY119" s="139"/>
      <c r="GZ119" s="139"/>
      <c r="HA119" s="139"/>
      <c r="HB119" s="139"/>
      <c r="HC119" s="139"/>
      <c r="HD119" s="139"/>
      <c r="HE119" s="139"/>
      <c r="HF119" s="139"/>
      <c r="HG119" s="139"/>
      <c r="HH119" s="139"/>
      <c r="HI119" s="139"/>
      <c r="HJ119" s="139"/>
      <c r="HK119" s="139"/>
      <c r="HL119" s="139"/>
      <c r="HM119" s="139"/>
      <c r="HN119" s="139"/>
      <c r="HO119" s="139"/>
      <c r="HP119" s="139"/>
      <c r="HQ119" s="139"/>
      <c r="HR119" s="139"/>
      <c r="HS119" s="139"/>
      <c r="HT119" s="139"/>
      <c r="HU119" s="139"/>
      <c r="HV119" s="139"/>
      <c r="HW119" s="139"/>
      <c r="HX119" s="139"/>
      <c r="HY119" s="139"/>
      <c r="HZ119" s="139"/>
      <c r="IA119" s="139"/>
      <c r="IB119" s="139"/>
      <c r="IC119" s="139"/>
      <c r="ID119" s="139"/>
      <c r="IE119" s="139"/>
      <c r="IF119" s="139"/>
      <c r="IG119" s="139"/>
      <c r="IH119" s="139"/>
      <c r="II119" s="139"/>
      <c r="IJ119" s="139"/>
    </row>
    <row r="120" spans="2:244" x14ac:dyDescent="0.3">
      <c r="B120" s="5" t="s">
        <v>128</v>
      </c>
      <c r="C120" s="953" t="s">
        <v>232</v>
      </c>
      <c r="D120" s="672">
        <v>0</v>
      </c>
      <c r="E120" s="954">
        <v>0</v>
      </c>
      <c r="F120" s="954">
        <v>0</v>
      </c>
      <c r="G120" s="954">
        <v>0</v>
      </c>
      <c r="H120" s="671">
        <v>0</v>
      </c>
      <c r="I120" s="672">
        <v>0</v>
      </c>
      <c r="J120" s="954">
        <v>334.56264714503556</v>
      </c>
      <c r="K120" s="954">
        <v>0</v>
      </c>
      <c r="L120" s="954">
        <v>0</v>
      </c>
      <c r="M120" s="671">
        <v>0</v>
      </c>
      <c r="N120" s="672">
        <v>0</v>
      </c>
      <c r="O120" s="671">
        <v>0</v>
      </c>
      <c r="P120" s="672">
        <v>0</v>
      </c>
      <c r="Q120" s="671">
        <v>0</v>
      </c>
      <c r="R120" s="672">
        <v>0</v>
      </c>
      <c r="S120" s="671">
        <v>0</v>
      </c>
      <c r="T120" s="672">
        <v>0</v>
      </c>
      <c r="U120" s="671">
        <v>0</v>
      </c>
      <c r="V120" s="672">
        <v>0</v>
      </c>
      <c r="W120" s="671">
        <v>0</v>
      </c>
      <c r="X120" s="672">
        <v>9.0371279376344944</v>
      </c>
      <c r="Y120" s="671">
        <v>0</v>
      </c>
      <c r="Z120" s="672">
        <v>9.0371279376344944</v>
      </c>
      <c r="AA120" s="954">
        <v>334.56264714503556</v>
      </c>
      <c r="AB120" s="954">
        <v>0</v>
      </c>
      <c r="AC120" s="954">
        <v>0</v>
      </c>
      <c r="AD120" s="703">
        <f t="shared" si="16"/>
        <v>343.59977508267002</v>
      </c>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c r="BJ120" s="139"/>
      <c r="BK120" s="139"/>
      <c r="BL120" s="139"/>
      <c r="BM120" s="139"/>
      <c r="BN120" s="139"/>
      <c r="BO120" s="139"/>
      <c r="BP120" s="139"/>
      <c r="BQ120" s="139"/>
      <c r="BR120" s="139"/>
      <c r="BS120" s="139"/>
      <c r="BT120" s="139"/>
      <c r="BU120" s="139"/>
      <c r="BV120" s="139"/>
      <c r="BW120" s="139"/>
      <c r="BX120" s="139"/>
      <c r="BY120" s="139"/>
      <c r="BZ120" s="139"/>
      <c r="CA120" s="139"/>
      <c r="CB120" s="139"/>
      <c r="CC120" s="139"/>
      <c r="CD120" s="139"/>
      <c r="CE120" s="139"/>
      <c r="CF120" s="139"/>
      <c r="CG120" s="139"/>
      <c r="CH120" s="139"/>
      <c r="CI120" s="139"/>
      <c r="CJ120" s="139"/>
      <c r="CK120" s="139"/>
      <c r="CL120" s="139"/>
      <c r="CM120" s="139"/>
      <c r="CN120" s="139"/>
      <c r="CO120" s="139"/>
      <c r="CP120" s="139"/>
      <c r="CQ120" s="139"/>
      <c r="CR120" s="139"/>
      <c r="CS120" s="139"/>
      <c r="CT120" s="139"/>
      <c r="CU120" s="139"/>
      <c r="CV120" s="139"/>
      <c r="CW120" s="139"/>
      <c r="CX120" s="139"/>
      <c r="CY120" s="139"/>
      <c r="CZ120" s="139"/>
      <c r="DA120" s="139"/>
      <c r="DB120" s="139"/>
      <c r="DC120" s="139"/>
      <c r="DD120" s="139"/>
      <c r="DE120" s="139"/>
      <c r="DF120" s="139"/>
      <c r="DG120" s="139"/>
      <c r="DH120" s="139"/>
      <c r="DI120" s="139"/>
      <c r="DJ120" s="139"/>
      <c r="DK120" s="139"/>
      <c r="DL120" s="139"/>
      <c r="DM120" s="139"/>
      <c r="DN120" s="139"/>
      <c r="DO120" s="139"/>
      <c r="DP120" s="139"/>
      <c r="DQ120" s="139"/>
      <c r="DR120" s="139"/>
      <c r="DS120" s="139"/>
      <c r="DT120" s="139"/>
      <c r="DU120" s="139"/>
      <c r="DV120" s="139"/>
      <c r="DW120" s="139"/>
      <c r="DX120" s="139"/>
      <c r="DY120" s="139"/>
      <c r="DZ120" s="139"/>
      <c r="EA120" s="139"/>
      <c r="EB120" s="139"/>
      <c r="EC120" s="139"/>
      <c r="ED120" s="139"/>
      <c r="EE120" s="139"/>
      <c r="EF120" s="139"/>
      <c r="EG120" s="139"/>
      <c r="EH120" s="139"/>
      <c r="EI120" s="139"/>
      <c r="EJ120" s="139"/>
      <c r="EK120" s="139"/>
      <c r="EL120" s="139"/>
      <c r="EM120" s="139"/>
      <c r="EN120" s="139"/>
      <c r="EO120" s="139"/>
      <c r="EP120" s="139"/>
      <c r="EQ120" s="139"/>
      <c r="ER120" s="139"/>
      <c r="ES120" s="139"/>
      <c r="ET120" s="139"/>
      <c r="EU120" s="139"/>
      <c r="EV120" s="139"/>
      <c r="EW120" s="139"/>
      <c r="EX120" s="139"/>
      <c r="EY120" s="139"/>
      <c r="EZ120" s="139"/>
      <c r="FA120" s="139"/>
      <c r="FB120" s="139"/>
      <c r="FC120" s="139"/>
      <c r="FD120" s="139"/>
      <c r="FE120" s="139"/>
      <c r="FF120" s="139"/>
      <c r="FG120" s="139"/>
      <c r="FH120" s="139"/>
      <c r="FI120" s="139"/>
      <c r="FJ120" s="139"/>
      <c r="FK120" s="139"/>
      <c r="FL120" s="139"/>
      <c r="FM120" s="139"/>
      <c r="FN120" s="139"/>
      <c r="FO120" s="139"/>
      <c r="FP120" s="139"/>
      <c r="FQ120" s="139"/>
      <c r="FR120" s="139"/>
      <c r="FS120" s="139"/>
      <c r="FT120" s="139"/>
      <c r="FU120" s="139"/>
      <c r="FV120" s="139"/>
      <c r="FW120" s="139"/>
      <c r="FX120" s="139"/>
      <c r="FY120" s="139"/>
      <c r="FZ120" s="139"/>
      <c r="GA120" s="139"/>
      <c r="GB120" s="139"/>
      <c r="GC120" s="139"/>
      <c r="GD120" s="139"/>
      <c r="GE120" s="139"/>
      <c r="GF120" s="139"/>
      <c r="GG120" s="139"/>
      <c r="GH120" s="139"/>
      <c r="GI120" s="139"/>
      <c r="GJ120" s="139"/>
      <c r="GK120" s="139"/>
      <c r="GL120" s="139"/>
      <c r="GM120" s="139"/>
      <c r="GN120" s="139"/>
      <c r="GO120" s="139"/>
      <c r="GP120" s="139"/>
      <c r="GQ120" s="139"/>
      <c r="GR120" s="139"/>
      <c r="GS120" s="139"/>
      <c r="GT120" s="139"/>
      <c r="GU120" s="139"/>
      <c r="GV120" s="139"/>
      <c r="GW120" s="139"/>
      <c r="GX120" s="139"/>
      <c r="GY120" s="139"/>
      <c r="GZ120" s="139"/>
      <c r="HA120" s="139"/>
      <c r="HB120" s="139"/>
      <c r="HC120" s="139"/>
      <c r="HD120" s="139"/>
      <c r="HE120" s="139"/>
      <c r="HF120" s="139"/>
      <c r="HG120" s="139"/>
      <c r="HH120" s="139"/>
      <c r="HI120" s="139"/>
      <c r="HJ120" s="139"/>
      <c r="HK120" s="139"/>
      <c r="HL120" s="139"/>
      <c r="HM120" s="139"/>
      <c r="HN120" s="139"/>
      <c r="HO120" s="139"/>
      <c r="HP120" s="139"/>
      <c r="HQ120" s="139"/>
      <c r="HR120" s="139"/>
      <c r="HS120" s="139"/>
      <c r="HT120" s="139"/>
      <c r="HU120" s="139"/>
      <c r="HV120" s="139"/>
      <c r="HW120" s="139"/>
      <c r="HX120" s="139"/>
      <c r="HY120" s="139"/>
      <c r="HZ120" s="139"/>
      <c r="IA120" s="139"/>
      <c r="IB120" s="139"/>
      <c r="IC120" s="139"/>
      <c r="ID120" s="139"/>
      <c r="IE120" s="139"/>
      <c r="IF120" s="139"/>
      <c r="IG120" s="139"/>
      <c r="IH120" s="139"/>
      <c r="II120" s="139"/>
      <c r="IJ120" s="139"/>
    </row>
    <row r="121" spans="2:244" x14ac:dyDescent="0.3">
      <c r="B121" s="5" t="s">
        <v>129</v>
      </c>
      <c r="C121" s="953" t="s">
        <v>234</v>
      </c>
      <c r="D121" s="672">
        <v>0</v>
      </c>
      <c r="E121" s="954">
        <v>36551.532369948945</v>
      </c>
      <c r="F121" s="954">
        <v>0</v>
      </c>
      <c r="G121" s="954">
        <v>0</v>
      </c>
      <c r="H121" s="671">
        <v>0</v>
      </c>
      <c r="I121" s="672">
        <v>0</v>
      </c>
      <c r="J121" s="954">
        <v>0</v>
      </c>
      <c r="K121" s="954">
        <v>0</v>
      </c>
      <c r="L121" s="954">
        <v>0</v>
      </c>
      <c r="M121" s="671">
        <v>0</v>
      </c>
      <c r="N121" s="672">
        <v>0</v>
      </c>
      <c r="O121" s="671">
        <v>0</v>
      </c>
      <c r="P121" s="672">
        <v>0</v>
      </c>
      <c r="Q121" s="671">
        <v>0</v>
      </c>
      <c r="R121" s="672">
        <v>0</v>
      </c>
      <c r="S121" s="671">
        <v>0</v>
      </c>
      <c r="T121" s="672">
        <v>0</v>
      </c>
      <c r="U121" s="671">
        <v>0</v>
      </c>
      <c r="V121" s="672">
        <v>0</v>
      </c>
      <c r="W121" s="671">
        <v>0</v>
      </c>
      <c r="X121" s="672">
        <v>0</v>
      </c>
      <c r="Y121" s="671">
        <v>0</v>
      </c>
      <c r="Z121" s="672">
        <v>0</v>
      </c>
      <c r="AA121" s="954">
        <v>36551.532369948945</v>
      </c>
      <c r="AB121" s="954">
        <v>0</v>
      </c>
      <c r="AC121" s="954">
        <v>0</v>
      </c>
      <c r="AD121" s="703">
        <f t="shared" si="16"/>
        <v>36551.532369948945</v>
      </c>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39"/>
      <c r="BC121" s="139"/>
      <c r="BD121" s="139"/>
      <c r="BE121" s="139"/>
      <c r="BF121" s="139"/>
      <c r="BG121" s="139"/>
      <c r="BH121" s="139"/>
      <c r="BI121" s="139"/>
      <c r="BJ121" s="139"/>
      <c r="BK121" s="139"/>
      <c r="BL121" s="139"/>
      <c r="BM121" s="139"/>
      <c r="BN121" s="139"/>
      <c r="BO121" s="139"/>
      <c r="BP121" s="139"/>
      <c r="BQ121" s="139"/>
      <c r="BR121" s="139"/>
      <c r="BS121" s="139"/>
      <c r="BT121" s="139"/>
      <c r="BU121" s="139"/>
      <c r="BV121" s="139"/>
      <c r="BW121" s="139"/>
      <c r="BX121" s="139"/>
      <c r="BY121" s="139"/>
      <c r="BZ121" s="139"/>
      <c r="CA121" s="139"/>
      <c r="CB121" s="139"/>
      <c r="CC121" s="139"/>
      <c r="CD121" s="139"/>
      <c r="CE121" s="139"/>
      <c r="CF121" s="139"/>
      <c r="CG121" s="139"/>
      <c r="CH121" s="139"/>
      <c r="CI121" s="139"/>
      <c r="CJ121" s="139"/>
      <c r="CK121" s="139"/>
      <c r="CL121" s="139"/>
      <c r="CM121" s="139"/>
      <c r="CN121" s="139"/>
      <c r="CO121" s="139"/>
      <c r="CP121" s="139"/>
      <c r="CQ121" s="139"/>
      <c r="CR121" s="139"/>
      <c r="CS121" s="139"/>
      <c r="CT121" s="139"/>
      <c r="CU121" s="139"/>
      <c r="CV121" s="139"/>
      <c r="CW121" s="139"/>
      <c r="CX121" s="139"/>
      <c r="CY121" s="139"/>
      <c r="CZ121" s="139"/>
      <c r="DA121" s="139"/>
      <c r="DB121" s="139"/>
      <c r="DC121" s="139"/>
      <c r="DD121" s="139"/>
      <c r="DE121" s="139"/>
      <c r="DF121" s="139"/>
      <c r="DG121" s="139"/>
      <c r="DH121" s="139"/>
      <c r="DI121" s="139"/>
      <c r="DJ121" s="139"/>
      <c r="DK121" s="139"/>
      <c r="DL121" s="139"/>
      <c r="DM121" s="139"/>
      <c r="DN121" s="139"/>
      <c r="DO121" s="139"/>
      <c r="DP121" s="139"/>
      <c r="DQ121" s="139"/>
      <c r="DR121" s="139"/>
      <c r="DS121" s="139"/>
      <c r="DT121" s="139"/>
      <c r="DU121" s="139"/>
      <c r="DV121" s="139"/>
      <c r="DW121" s="139"/>
      <c r="DX121" s="139"/>
      <c r="DY121" s="139"/>
      <c r="DZ121" s="139"/>
      <c r="EA121" s="139"/>
      <c r="EB121" s="139"/>
      <c r="EC121" s="139"/>
      <c r="ED121" s="139"/>
      <c r="EE121" s="139"/>
      <c r="EF121" s="139"/>
      <c r="EG121" s="139"/>
      <c r="EH121" s="139"/>
      <c r="EI121" s="139"/>
      <c r="EJ121" s="139"/>
      <c r="EK121" s="139"/>
      <c r="EL121" s="139"/>
      <c r="EM121" s="139"/>
      <c r="EN121" s="139"/>
      <c r="EO121" s="139"/>
      <c r="EP121" s="139"/>
      <c r="EQ121" s="139"/>
      <c r="ER121" s="139"/>
      <c r="ES121" s="139"/>
      <c r="ET121" s="139"/>
      <c r="EU121" s="139"/>
      <c r="EV121" s="139"/>
      <c r="EW121" s="139"/>
      <c r="EX121" s="139"/>
      <c r="EY121" s="139"/>
      <c r="EZ121" s="139"/>
      <c r="FA121" s="139"/>
      <c r="FB121" s="139"/>
      <c r="FC121" s="139"/>
      <c r="FD121" s="139"/>
      <c r="FE121" s="139"/>
      <c r="FF121" s="139"/>
      <c r="FG121" s="139"/>
      <c r="FH121" s="139"/>
      <c r="FI121" s="139"/>
      <c r="FJ121" s="139"/>
      <c r="FK121" s="139"/>
      <c r="FL121" s="139"/>
      <c r="FM121" s="139"/>
      <c r="FN121" s="139"/>
      <c r="FO121" s="139"/>
      <c r="FP121" s="139"/>
      <c r="FQ121" s="139"/>
      <c r="FR121" s="139"/>
      <c r="FS121" s="139"/>
      <c r="FT121" s="139"/>
      <c r="FU121" s="139"/>
      <c r="FV121" s="139"/>
      <c r="FW121" s="139"/>
      <c r="FX121" s="139"/>
      <c r="FY121" s="139"/>
      <c r="FZ121" s="139"/>
      <c r="GA121" s="139"/>
      <c r="GB121" s="139"/>
      <c r="GC121" s="139"/>
      <c r="GD121" s="139"/>
      <c r="GE121" s="139"/>
      <c r="GF121" s="139"/>
      <c r="GG121" s="139"/>
      <c r="GH121" s="139"/>
      <c r="GI121" s="139"/>
      <c r="GJ121" s="139"/>
      <c r="GK121" s="139"/>
      <c r="GL121" s="139"/>
      <c r="GM121" s="139"/>
      <c r="GN121" s="139"/>
      <c r="GO121" s="139"/>
      <c r="GP121" s="139"/>
      <c r="GQ121" s="139"/>
      <c r="GR121" s="139"/>
      <c r="GS121" s="139"/>
      <c r="GT121" s="139"/>
      <c r="GU121" s="139"/>
      <c r="GV121" s="139"/>
      <c r="GW121" s="139"/>
      <c r="GX121" s="139"/>
      <c r="GY121" s="139"/>
      <c r="GZ121" s="139"/>
      <c r="HA121" s="139"/>
      <c r="HB121" s="139"/>
      <c r="HC121" s="139"/>
      <c r="HD121" s="139"/>
      <c r="HE121" s="139"/>
      <c r="HF121" s="139"/>
      <c r="HG121" s="139"/>
      <c r="HH121" s="139"/>
      <c r="HI121" s="139"/>
      <c r="HJ121" s="139"/>
      <c r="HK121" s="139"/>
      <c r="HL121" s="139"/>
      <c r="HM121" s="139"/>
      <c r="HN121" s="139"/>
      <c r="HO121" s="139"/>
      <c r="HP121" s="139"/>
      <c r="HQ121" s="139"/>
      <c r="HR121" s="139"/>
      <c r="HS121" s="139"/>
      <c r="HT121" s="139"/>
      <c r="HU121" s="139"/>
      <c r="HV121" s="139"/>
      <c r="HW121" s="139"/>
      <c r="HX121" s="139"/>
      <c r="HY121" s="139"/>
      <c r="HZ121" s="139"/>
      <c r="IA121" s="139"/>
      <c r="IB121" s="139"/>
      <c r="IC121" s="139"/>
      <c r="ID121" s="139"/>
      <c r="IE121" s="139"/>
      <c r="IF121" s="139"/>
      <c r="IG121" s="139"/>
      <c r="IH121" s="139"/>
      <c r="II121" s="139"/>
      <c r="IJ121" s="139"/>
    </row>
    <row r="122" spans="2:244" x14ac:dyDescent="0.3">
      <c r="B122" s="5" t="s">
        <v>130</v>
      </c>
      <c r="C122" s="953" t="s">
        <v>235</v>
      </c>
      <c r="D122" s="672">
        <v>0</v>
      </c>
      <c r="E122" s="954">
        <v>0</v>
      </c>
      <c r="F122" s="954">
        <v>0</v>
      </c>
      <c r="G122" s="954">
        <v>0</v>
      </c>
      <c r="H122" s="671">
        <v>0</v>
      </c>
      <c r="I122" s="672">
        <v>0</v>
      </c>
      <c r="J122" s="954">
        <v>1243.4328394838976</v>
      </c>
      <c r="K122" s="954">
        <v>0</v>
      </c>
      <c r="L122" s="954">
        <v>0</v>
      </c>
      <c r="M122" s="671">
        <v>0</v>
      </c>
      <c r="N122" s="672">
        <v>0</v>
      </c>
      <c r="O122" s="671">
        <v>0</v>
      </c>
      <c r="P122" s="672">
        <v>0</v>
      </c>
      <c r="Q122" s="671">
        <v>0</v>
      </c>
      <c r="R122" s="672">
        <v>0</v>
      </c>
      <c r="S122" s="671">
        <v>0</v>
      </c>
      <c r="T122" s="672">
        <v>0</v>
      </c>
      <c r="U122" s="671">
        <v>0</v>
      </c>
      <c r="V122" s="672">
        <v>0</v>
      </c>
      <c r="W122" s="671">
        <v>0</v>
      </c>
      <c r="X122" s="672">
        <v>0</v>
      </c>
      <c r="Y122" s="671">
        <v>0</v>
      </c>
      <c r="Z122" s="672">
        <v>0</v>
      </c>
      <c r="AA122" s="954">
        <v>1243.4328394838976</v>
      </c>
      <c r="AB122" s="954">
        <v>0</v>
      </c>
      <c r="AC122" s="954">
        <v>0</v>
      </c>
      <c r="AD122" s="703">
        <f t="shared" si="16"/>
        <v>1243.4328394838976</v>
      </c>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c r="BD122" s="139"/>
      <c r="BE122" s="139"/>
      <c r="BF122" s="139"/>
      <c r="BG122" s="139"/>
      <c r="BH122" s="139"/>
      <c r="BI122" s="139"/>
      <c r="BJ122" s="139"/>
      <c r="BK122" s="139"/>
      <c r="BL122" s="139"/>
      <c r="BM122" s="139"/>
      <c r="BN122" s="139"/>
      <c r="BO122" s="139"/>
      <c r="BP122" s="139"/>
      <c r="BQ122" s="139"/>
      <c r="BR122" s="139"/>
      <c r="BS122" s="139"/>
      <c r="BT122" s="139"/>
      <c r="BU122" s="139"/>
      <c r="BV122" s="139"/>
      <c r="BW122" s="139"/>
      <c r="BX122" s="139"/>
      <c r="BY122" s="139"/>
      <c r="BZ122" s="139"/>
      <c r="CA122" s="139"/>
      <c r="CB122" s="139"/>
      <c r="CC122" s="139"/>
      <c r="CD122" s="139"/>
      <c r="CE122" s="139"/>
      <c r="CF122" s="139"/>
      <c r="CG122" s="139"/>
      <c r="CH122" s="139"/>
      <c r="CI122" s="139"/>
      <c r="CJ122" s="139"/>
      <c r="CK122" s="139"/>
      <c r="CL122" s="139"/>
      <c r="CM122" s="139"/>
      <c r="CN122" s="139"/>
      <c r="CO122" s="139"/>
      <c r="CP122" s="139"/>
      <c r="CQ122" s="139"/>
      <c r="CR122" s="139"/>
      <c r="CS122" s="139"/>
      <c r="CT122" s="139"/>
      <c r="CU122" s="139"/>
      <c r="CV122" s="139"/>
      <c r="CW122" s="139"/>
      <c r="CX122" s="139"/>
      <c r="CY122" s="139"/>
      <c r="CZ122" s="139"/>
      <c r="DA122" s="139"/>
      <c r="DB122" s="139"/>
      <c r="DC122" s="139"/>
      <c r="DD122" s="139"/>
      <c r="DE122" s="139"/>
      <c r="DF122" s="139"/>
      <c r="DG122" s="139"/>
      <c r="DH122" s="139"/>
      <c r="DI122" s="139"/>
      <c r="DJ122" s="139"/>
      <c r="DK122" s="139"/>
      <c r="DL122" s="139"/>
      <c r="DM122" s="139"/>
      <c r="DN122" s="139"/>
      <c r="DO122" s="139"/>
      <c r="DP122" s="139"/>
      <c r="DQ122" s="139"/>
      <c r="DR122" s="139"/>
      <c r="DS122" s="139"/>
      <c r="DT122" s="139"/>
      <c r="DU122" s="139"/>
      <c r="DV122" s="139"/>
      <c r="DW122" s="139"/>
      <c r="DX122" s="139"/>
      <c r="DY122" s="139"/>
      <c r="DZ122" s="139"/>
      <c r="EA122" s="139"/>
      <c r="EB122" s="139"/>
      <c r="EC122" s="139"/>
      <c r="ED122" s="139"/>
      <c r="EE122" s="139"/>
      <c r="EF122" s="139"/>
      <c r="EG122" s="139"/>
      <c r="EH122" s="139"/>
      <c r="EI122" s="139"/>
      <c r="EJ122" s="139"/>
      <c r="EK122" s="139"/>
      <c r="EL122" s="139"/>
      <c r="EM122" s="139"/>
      <c r="EN122" s="139"/>
      <c r="EO122" s="139"/>
      <c r="EP122" s="139"/>
      <c r="EQ122" s="139"/>
      <c r="ER122" s="139"/>
      <c r="ES122" s="139"/>
      <c r="ET122" s="139"/>
      <c r="EU122" s="139"/>
      <c r="EV122" s="139"/>
      <c r="EW122" s="139"/>
      <c r="EX122" s="139"/>
      <c r="EY122" s="139"/>
      <c r="EZ122" s="139"/>
      <c r="FA122" s="139"/>
      <c r="FB122" s="139"/>
      <c r="FC122" s="139"/>
      <c r="FD122" s="139"/>
      <c r="FE122" s="139"/>
      <c r="FF122" s="139"/>
      <c r="FG122" s="139"/>
      <c r="FH122" s="139"/>
      <c r="FI122" s="139"/>
      <c r="FJ122" s="139"/>
      <c r="FK122" s="139"/>
      <c r="FL122" s="139"/>
      <c r="FM122" s="139"/>
      <c r="FN122" s="139"/>
      <c r="FO122" s="139"/>
      <c r="FP122" s="139"/>
      <c r="FQ122" s="139"/>
      <c r="FR122" s="139"/>
      <c r="FS122" s="139"/>
      <c r="FT122" s="139"/>
      <c r="FU122" s="139"/>
      <c r="FV122" s="139"/>
      <c r="FW122" s="139"/>
      <c r="FX122" s="139"/>
      <c r="FY122" s="139"/>
      <c r="FZ122" s="139"/>
      <c r="GA122" s="139"/>
      <c r="GB122" s="139"/>
      <c r="GC122" s="139"/>
      <c r="GD122" s="139"/>
      <c r="GE122" s="139"/>
      <c r="GF122" s="139"/>
      <c r="GG122" s="139"/>
      <c r="GH122" s="139"/>
      <c r="GI122" s="139"/>
      <c r="GJ122" s="139"/>
      <c r="GK122" s="139"/>
      <c r="GL122" s="139"/>
      <c r="GM122" s="139"/>
      <c r="GN122" s="139"/>
      <c r="GO122" s="139"/>
      <c r="GP122" s="139"/>
      <c r="GQ122" s="139"/>
      <c r="GR122" s="139"/>
      <c r="GS122" s="139"/>
      <c r="GT122" s="139"/>
      <c r="GU122" s="139"/>
      <c r="GV122" s="139"/>
      <c r="GW122" s="139"/>
      <c r="GX122" s="139"/>
      <c r="GY122" s="139"/>
      <c r="GZ122" s="139"/>
      <c r="HA122" s="139"/>
      <c r="HB122" s="139"/>
      <c r="HC122" s="139"/>
      <c r="HD122" s="139"/>
      <c r="HE122" s="139"/>
      <c r="HF122" s="139"/>
      <c r="HG122" s="139"/>
      <c r="HH122" s="139"/>
      <c r="HI122" s="139"/>
      <c r="HJ122" s="139"/>
      <c r="HK122" s="139"/>
      <c r="HL122" s="139"/>
      <c r="HM122" s="139"/>
      <c r="HN122" s="139"/>
      <c r="HO122" s="139"/>
      <c r="HP122" s="139"/>
      <c r="HQ122" s="139"/>
      <c r="HR122" s="139"/>
      <c r="HS122" s="139"/>
      <c r="HT122" s="139"/>
      <c r="HU122" s="139"/>
      <c r="HV122" s="139"/>
      <c r="HW122" s="139"/>
      <c r="HX122" s="139"/>
      <c r="HY122" s="139"/>
      <c r="HZ122" s="139"/>
      <c r="IA122" s="139"/>
      <c r="IB122" s="139"/>
      <c r="IC122" s="139"/>
      <c r="ID122" s="139"/>
      <c r="IE122" s="139"/>
      <c r="IF122" s="139"/>
      <c r="IG122" s="139"/>
      <c r="IH122" s="139"/>
      <c r="II122" s="139"/>
      <c r="IJ122" s="139"/>
    </row>
    <row r="123" spans="2:244" x14ac:dyDescent="0.3">
      <c r="B123" s="5" t="s">
        <v>131</v>
      </c>
      <c r="C123" s="953" t="s">
        <v>236</v>
      </c>
      <c r="D123" s="672">
        <v>0</v>
      </c>
      <c r="E123" s="954">
        <v>0</v>
      </c>
      <c r="F123" s="954">
        <v>0</v>
      </c>
      <c r="G123" s="954">
        <v>0</v>
      </c>
      <c r="H123" s="671">
        <v>0</v>
      </c>
      <c r="I123" s="672">
        <v>0</v>
      </c>
      <c r="J123" s="954">
        <v>0</v>
      </c>
      <c r="K123" s="954">
        <v>0</v>
      </c>
      <c r="L123" s="954">
        <v>0</v>
      </c>
      <c r="M123" s="671">
        <v>0</v>
      </c>
      <c r="N123" s="672">
        <v>0</v>
      </c>
      <c r="O123" s="671">
        <v>0</v>
      </c>
      <c r="P123" s="672">
        <v>0</v>
      </c>
      <c r="Q123" s="671">
        <v>60.942310057785562</v>
      </c>
      <c r="R123" s="672">
        <v>0</v>
      </c>
      <c r="S123" s="671">
        <v>0</v>
      </c>
      <c r="T123" s="672">
        <v>0</v>
      </c>
      <c r="U123" s="671">
        <v>0</v>
      </c>
      <c r="V123" s="672">
        <v>0</v>
      </c>
      <c r="W123" s="671">
        <v>0</v>
      </c>
      <c r="X123" s="672">
        <v>0</v>
      </c>
      <c r="Y123" s="671">
        <v>0</v>
      </c>
      <c r="Z123" s="672">
        <v>0</v>
      </c>
      <c r="AA123" s="954">
        <v>60.942310057785562</v>
      </c>
      <c r="AB123" s="954">
        <v>0</v>
      </c>
      <c r="AC123" s="954">
        <v>0</v>
      </c>
      <c r="AD123" s="703">
        <f t="shared" si="16"/>
        <v>60.942310057785562</v>
      </c>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39"/>
      <c r="BC123" s="139"/>
      <c r="BD123" s="139"/>
      <c r="BE123" s="139"/>
      <c r="BF123" s="139"/>
      <c r="BG123" s="139"/>
      <c r="BH123" s="139"/>
      <c r="BI123" s="139"/>
      <c r="BJ123" s="139"/>
      <c r="BK123" s="139"/>
      <c r="BL123" s="139"/>
      <c r="BM123" s="139"/>
      <c r="BN123" s="139"/>
      <c r="BO123" s="139"/>
      <c r="BP123" s="139"/>
      <c r="BQ123" s="139"/>
      <c r="BR123" s="139"/>
      <c r="BS123" s="139"/>
      <c r="BT123" s="139"/>
      <c r="BU123" s="139"/>
      <c r="BV123" s="139"/>
      <c r="BW123" s="139"/>
      <c r="BX123" s="139"/>
      <c r="BY123" s="139"/>
      <c r="BZ123" s="139"/>
      <c r="CA123" s="139"/>
      <c r="CB123" s="139"/>
      <c r="CC123" s="139"/>
      <c r="CD123" s="139"/>
      <c r="CE123" s="139"/>
      <c r="CF123" s="139"/>
      <c r="CG123" s="139"/>
      <c r="CH123" s="139"/>
      <c r="CI123" s="139"/>
      <c r="CJ123" s="139"/>
      <c r="CK123" s="139"/>
      <c r="CL123" s="139"/>
      <c r="CM123" s="139"/>
      <c r="CN123" s="139"/>
      <c r="CO123" s="139"/>
      <c r="CP123" s="139"/>
      <c r="CQ123" s="139"/>
      <c r="CR123" s="139"/>
      <c r="CS123" s="139"/>
      <c r="CT123" s="139"/>
      <c r="CU123" s="139"/>
      <c r="CV123" s="139"/>
      <c r="CW123" s="139"/>
      <c r="CX123" s="139"/>
      <c r="CY123" s="139"/>
      <c r="CZ123" s="139"/>
      <c r="DA123" s="139"/>
      <c r="DB123" s="139"/>
      <c r="DC123" s="139"/>
      <c r="DD123" s="139"/>
      <c r="DE123" s="139"/>
      <c r="DF123" s="139"/>
      <c r="DG123" s="139"/>
      <c r="DH123" s="139"/>
      <c r="DI123" s="139"/>
      <c r="DJ123" s="139"/>
      <c r="DK123" s="139"/>
      <c r="DL123" s="139"/>
      <c r="DM123" s="139"/>
      <c r="DN123" s="139"/>
      <c r="DO123" s="139"/>
      <c r="DP123" s="139"/>
      <c r="DQ123" s="139"/>
      <c r="DR123" s="139"/>
      <c r="DS123" s="139"/>
      <c r="DT123" s="139"/>
      <c r="DU123" s="139"/>
      <c r="DV123" s="139"/>
      <c r="DW123" s="139"/>
      <c r="DX123" s="139"/>
      <c r="DY123" s="139"/>
      <c r="DZ123" s="139"/>
      <c r="EA123" s="139"/>
      <c r="EB123" s="139"/>
      <c r="EC123" s="139"/>
      <c r="ED123" s="139"/>
      <c r="EE123" s="139"/>
      <c r="EF123" s="139"/>
      <c r="EG123" s="139"/>
      <c r="EH123" s="139"/>
      <c r="EI123" s="139"/>
      <c r="EJ123" s="139"/>
      <c r="EK123" s="139"/>
      <c r="EL123" s="139"/>
      <c r="EM123" s="139"/>
      <c r="EN123" s="139"/>
      <c r="EO123" s="139"/>
      <c r="EP123" s="139"/>
      <c r="EQ123" s="139"/>
      <c r="ER123" s="139"/>
      <c r="ES123" s="139"/>
      <c r="ET123" s="139"/>
      <c r="EU123" s="139"/>
      <c r="EV123" s="139"/>
      <c r="EW123" s="139"/>
      <c r="EX123" s="139"/>
      <c r="EY123" s="139"/>
      <c r="EZ123" s="139"/>
      <c r="FA123" s="139"/>
      <c r="FB123" s="139"/>
      <c r="FC123" s="139"/>
      <c r="FD123" s="139"/>
      <c r="FE123" s="139"/>
      <c r="FF123" s="139"/>
      <c r="FG123" s="139"/>
      <c r="FH123" s="139"/>
      <c r="FI123" s="139"/>
      <c r="FJ123" s="139"/>
      <c r="FK123" s="139"/>
      <c r="FL123" s="139"/>
      <c r="FM123" s="139"/>
      <c r="FN123" s="139"/>
      <c r="FO123" s="139"/>
      <c r="FP123" s="139"/>
      <c r="FQ123" s="139"/>
      <c r="FR123" s="139"/>
      <c r="FS123" s="139"/>
      <c r="FT123" s="139"/>
      <c r="FU123" s="139"/>
      <c r="FV123" s="139"/>
      <c r="FW123" s="139"/>
      <c r="FX123" s="139"/>
      <c r="FY123" s="139"/>
      <c r="FZ123" s="139"/>
      <c r="GA123" s="139"/>
      <c r="GB123" s="139"/>
      <c r="GC123" s="139"/>
      <c r="GD123" s="139"/>
      <c r="GE123" s="139"/>
      <c r="GF123" s="139"/>
      <c r="GG123" s="139"/>
      <c r="GH123" s="139"/>
      <c r="GI123" s="139"/>
      <c r="GJ123" s="139"/>
      <c r="GK123" s="139"/>
      <c r="GL123" s="139"/>
      <c r="GM123" s="139"/>
      <c r="GN123" s="139"/>
      <c r="GO123" s="139"/>
      <c r="GP123" s="139"/>
      <c r="GQ123" s="139"/>
      <c r="GR123" s="139"/>
      <c r="GS123" s="139"/>
      <c r="GT123" s="139"/>
      <c r="GU123" s="139"/>
      <c r="GV123" s="139"/>
      <c r="GW123" s="139"/>
      <c r="GX123" s="139"/>
      <c r="GY123" s="139"/>
      <c r="GZ123" s="139"/>
      <c r="HA123" s="139"/>
      <c r="HB123" s="139"/>
      <c r="HC123" s="139"/>
      <c r="HD123" s="139"/>
      <c r="HE123" s="139"/>
      <c r="HF123" s="139"/>
      <c r="HG123" s="139"/>
      <c r="HH123" s="139"/>
      <c r="HI123" s="139"/>
      <c r="HJ123" s="139"/>
      <c r="HK123" s="139"/>
      <c r="HL123" s="139"/>
      <c r="HM123" s="139"/>
      <c r="HN123" s="139"/>
      <c r="HO123" s="139"/>
      <c r="HP123" s="139"/>
      <c r="HQ123" s="139"/>
      <c r="HR123" s="139"/>
      <c r="HS123" s="139"/>
      <c r="HT123" s="139"/>
      <c r="HU123" s="139"/>
      <c r="HV123" s="139"/>
      <c r="HW123" s="139"/>
      <c r="HX123" s="139"/>
      <c r="HY123" s="139"/>
      <c r="HZ123" s="139"/>
      <c r="IA123" s="139"/>
      <c r="IB123" s="139"/>
      <c r="IC123" s="139"/>
      <c r="ID123" s="139"/>
      <c r="IE123" s="139"/>
      <c r="IF123" s="139"/>
      <c r="IG123" s="139"/>
      <c r="IH123" s="139"/>
      <c r="II123" s="139"/>
      <c r="IJ123" s="139"/>
    </row>
    <row r="124" spans="2:244" x14ac:dyDescent="0.3">
      <c r="B124" s="5" t="s">
        <v>132</v>
      </c>
      <c r="C124" s="953" t="s">
        <v>237</v>
      </c>
      <c r="D124" s="672">
        <v>0</v>
      </c>
      <c r="E124" s="954">
        <v>0</v>
      </c>
      <c r="F124" s="954">
        <v>0</v>
      </c>
      <c r="G124" s="954">
        <v>0</v>
      </c>
      <c r="H124" s="671">
        <v>0</v>
      </c>
      <c r="I124" s="672">
        <v>0</v>
      </c>
      <c r="J124" s="954">
        <v>9029.8052685785533</v>
      </c>
      <c r="K124" s="954">
        <v>0</v>
      </c>
      <c r="L124" s="954">
        <v>0</v>
      </c>
      <c r="M124" s="671">
        <v>0</v>
      </c>
      <c r="N124" s="672">
        <v>0</v>
      </c>
      <c r="O124" s="671">
        <v>0</v>
      </c>
      <c r="P124" s="672">
        <v>0</v>
      </c>
      <c r="Q124" s="671">
        <v>0</v>
      </c>
      <c r="R124" s="672">
        <v>0</v>
      </c>
      <c r="S124" s="671">
        <v>0</v>
      </c>
      <c r="T124" s="672">
        <v>0</v>
      </c>
      <c r="U124" s="671">
        <v>0</v>
      </c>
      <c r="V124" s="672">
        <v>0</v>
      </c>
      <c r="W124" s="671">
        <v>0</v>
      </c>
      <c r="X124" s="672">
        <v>0</v>
      </c>
      <c r="Y124" s="671">
        <v>0</v>
      </c>
      <c r="Z124" s="672">
        <v>0</v>
      </c>
      <c r="AA124" s="954">
        <v>9029.8052685785533</v>
      </c>
      <c r="AB124" s="954">
        <v>0</v>
      </c>
      <c r="AC124" s="954">
        <v>0</v>
      </c>
      <c r="AD124" s="703">
        <f t="shared" si="16"/>
        <v>9029.8052685785533</v>
      </c>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c r="AZ124" s="139"/>
      <c r="BA124" s="139"/>
      <c r="BB124" s="139"/>
      <c r="BC124" s="139"/>
      <c r="BD124" s="139"/>
      <c r="BE124" s="139"/>
      <c r="BF124" s="139"/>
      <c r="BG124" s="139"/>
      <c r="BH124" s="139"/>
      <c r="BI124" s="139"/>
      <c r="BJ124" s="139"/>
      <c r="BK124" s="139"/>
      <c r="BL124" s="139"/>
      <c r="BM124" s="139"/>
      <c r="BN124" s="139"/>
      <c r="BO124" s="139"/>
      <c r="BP124" s="139"/>
      <c r="BQ124" s="139"/>
      <c r="BR124" s="139"/>
      <c r="BS124" s="139"/>
      <c r="BT124" s="139"/>
      <c r="BU124" s="139"/>
      <c r="BV124" s="139"/>
      <c r="BW124" s="139"/>
      <c r="BX124" s="139"/>
      <c r="BY124" s="139"/>
      <c r="BZ124" s="139"/>
      <c r="CA124" s="139"/>
      <c r="CB124" s="139"/>
      <c r="CC124" s="139"/>
      <c r="CD124" s="139"/>
      <c r="CE124" s="139"/>
      <c r="CF124" s="139"/>
      <c r="CG124" s="139"/>
      <c r="CH124" s="139"/>
      <c r="CI124" s="139"/>
      <c r="CJ124" s="139"/>
      <c r="CK124" s="139"/>
      <c r="CL124" s="139"/>
      <c r="CM124" s="139"/>
      <c r="CN124" s="139"/>
      <c r="CO124" s="139"/>
      <c r="CP124" s="139"/>
      <c r="CQ124" s="139"/>
      <c r="CR124" s="139"/>
      <c r="CS124" s="139"/>
      <c r="CT124" s="139"/>
      <c r="CU124" s="139"/>
      <c r="CV124" s="139"/>
      <c r="CW124" s="139"/>
      <c r="CX124" s="139"/>
      <c r="CY124" s="139"/>
      <c r="CZ124" s="139"/>
      <c r="DA124" s="139"/>
      <c r="DB124" s="139"/>
      <c r="DC124" s="139"/>
      <c r="DD124" s="139"/>
      <c r="DE124" s="139"/>
      <c r="DF124" s="139"/>
      <c r="DG124" s="139"/>
      <c r="DH124" s="139"/>
      <c r="DI124" s="139"/>
      <c r="DJ124" s="139"/>
      <c r="DK124" s="139"/>
      <c r="DL124" s="139"/>
      <c r="DM124" s="139"/>
      <c r="DN124" s="139"/>
      <c r="DO124" s="139"/>
      <c r="DP124" s="139"/>
      <c r="DQ124" s="139"/>
      <c r="DR124" s="139"/>
      <c r="DS124" s="139"/>
      <c r="DT124" s="139"/>
      <c r="DU124" s="139"/>
      <c r="DV124" s="139"/>
      <c r="DW124" s="139"/>
      <c r="DX124" s="139"/>
      <c r="DY124" s="139"/>
      <c r="DZ124" s="139"/>
      <c r="EA124" s="139"/>
      <c r="EB124" s="139"/>
      <c r="EC124" s="139"/>
      <c r="ED124" s="139"/>
      <c r="EE124" s="139"/>
      <c r="EF124" s="139"/>
      <c r="EG124" s="139"/>
      <c r="EH124" s="139"/>
      <c r="EI124" s="139"/>
      <c r="EJ124" s="139"/>
      <c r="EK124" s="139"/>
      <c r="EL124" s="139"/>
      <c r="EM124" s="139"/>
      <c r="EN124" s="139"/>
      <c r="EO124" s="139"/>
      <c r="EP124" s="139"/>
      <c r="EQ124" s="139"/>
      <c r="ER124" s="139"/>
      <c r="ES124" s="139"/>
      <c r="ET124" s="139"/>
      <c r="EU124" s="139"/>
      <c r="EV124" s="139"/>
      <c r="EW124" s="139"/>
      <c r="EX124" s="139"/>
      <c r="EY124" s="139"/>
      <c r="EZ124" s="139"/>
      <c r="FA124" s="139"/>
      <c r="FB124" s="139"/>
      <c r="FC124" s="139"/>
      <c r="FD124" s="139"/>
      <c r="FE124" s="139"/>
      <c r="FF124" s="139"/>
      <c r="FG124" s="139"/>
      <c r="FH124" s="139"/>
      <c r="FI124" s="139"/>
      <c r="FJ124" s="139"/>
      <c r="FK124" s="139"/>
      <c r="FL124" s="139"/>
      <c r="FM124" s="139"/>
      <c r="FN124" s="139"/>
      <c r="FO124" s="139"/>
      <c r="FP124" s="139"/>
      <c r="FQ124" s="139"/>
      <c r="FR124" s="139"/>
      <c r="FS124" s="139"/>
      <c r="FT124" s="139"/>
      <c r="FU124" s="139"/>
      <c r="FV124" s="139"/>
      <c r="FW124" s="139"/>
      <c r="FX124" s="139"/>
      <c r="FY124" s="139"/>
      <c r="FZ124" s="139"/>
      <c r="GA124" s="139"/>
      <c r="GB124" s="139"/>
      <c r="GC124" s="139"/>
      <c r="GD124" s="139"/>
      <c r="GE124" s="139"/>
      <c r="GF124" s="139"/>
      <c r="GG124" s="139"/>
      <c r="GH124" s="139"/>
      <c r="GI124" s="139"/>
      <c r="GJ124" s="139"/>
      <c r="GK124" s="139"/>
      <c r="GL124" s="139"/>
      <c r="GM124" s="139"/>
      <c r="GN124" s="139"/>
      <c r="GO124" s="139"/>
      <c r="GP124" s="139"/>
      <c r="GQ124" s="139"/>
      <c r="GR124" s="139"/>
      <c r="GS124" s="139"/>
      <c r="GT124" s="139"/>
      <c r="GU124" s="139"/>
      <c r="GV124" s="139"/>
      <c r="GW124" s="139"/>
      <c r="GX124" s="139"/>
      <c r="GY124" s="139"/>
      <c r="GZ124" s="139"/>
      <c r="HA124" s="139"/>
      <c r="HB124" s="139"/>
      <c r="HC124" s="139"/>
      <c r="HD124" s="139"/>
      <c r="HE124" s="139"/>
      <c r="HF124" s="139"/>
      <c r="HG124" s="139"/>
      <c r="HH124" s="139"/>
      <c r="HI124" s="139"/>
      <c r="HJ124" s="139"/>
      <c r="HK124" s="139"/>
      <c r="HL124" s="139"/>
      <c r="HM124" s="139"/>
      <c r="HN124" s="139"/>
      <c r="HO124" s="139"/>
      <c r="HP124" s="139"/>
      <c r="HQ124" s="139"/>
      <c r="HR124" s="139"/>
      <c r="HS124" s="139"/>
      <c r="HT124" s="139"/>
      <c r="HU124" s="139"/>
      <c r="HV124" s="139"/>
      <c r="HW124" s="139"/>
      <c r="HX124" s="139"/>
      <c r="HY124" s="139"/>
      <c r="HZ124" s="139"/>
      <c r="IA124" s="139"/>
      <c r="IB124" s="139"/>
      <c r="IC124" s="139"/>
      <c r="ID124" s="139"/>
      <c r="IE124" s="139"/>
      <c r="IF124" s="139"/>
      <c r="IG124" s="139"/>
      <c r="IH124" s="139"/>
      <c r="II124" s="139"/>
      <c r="IJ124" s="139"/>
    </row>
    <row r="125" spans="2:244" x14ac:dyDescent="0.3">
      <c r="B125" s="5" t="s">
        <v>133</v>
      </c>
      <c r="C125" s="953" t="s">
        <v>238</v>
      </c>
      <c r="D125" s="672">
        <v>0</v>
      </c>
      <c r="E125" s="954">
        <v>0</v>
      </c>
      <c r="F125" s="954">
        <v>0</v>
      </c>
      <c r="G125" s="954">
        <v>0</v>
      </c>
      <c r="H125" s="671">
        <v>0</v>
      </c>
      <c r="I125" s="672">
        <v>0</v>
      </c>
      <c r="J125" s="954">
        <v>273.73307493684734</v>
      </c>
      <c r="K125" s="954">
        <v>0</v>
      </c>
      <c r="L125" s="954">
        <v>0</v>
      </c>
      <c r="M125" s="671">
        <v>0</v>
      </c>
      <c r="N125" s="672">
        <v>0</v>
      </c>
      <c r="O125" s="671">
        <v>0</v>
      </c>
      <c r="P125" s="672">
        <v>0</v>
      </c>
      <c r="Q125" s="671">
        <v>0</v>
      </c>
      <c r="R125" s="672">
        <v>0</v>
      </c>
      <c r="S125" s="671">
        <v>0</v>
      </c>
      <c r="T125" s="672">
        <v>0</v>
      </c>
      <c r="U125" s="671">
        <v>0</v>
      </c>
      <c r="V125" s="672">
        <v>0</v>
      </c>
      <c r="W125" s="671">
        <v>0</v>
      </c>
      <c r="X125" s="672">
        <v>0</v>
      </c>
      <c r="Y125" s="671">
        <v>0</v>
      </c>
      <c r="Z125" s="672">
        <v>0</v>
      </c>
      <c r="AA125" s="954">
        <v>273.73307493684734</v>
      </c>
      <c r="AB125" s="954">
        <v>0</v>
      </c>
      <c r="AC125" s="954">
        <v>0</v>
      </c>
      <c r="AD125" s="703">
        <f t="shared" si="16"/>
        <v>273.73307493684734</v>
      </c>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c r="BF125" s="139"/>
      <c r="BG125" s="139"/>
      <c r="BH125" s="139"/>
      <c r="BI125" s="139"/>
      <c r="BJ125" s="139"/>
      <c r="BK125" s="139"/>
      <c r="BL125" s="139"/>
      <c r="BM125" s="139"/>
      <c r="BN125" s="139"/>
      <c r="BO125" s="139"/>
      <c r="BP125" s="139"/>
      <c r="BQ125" s="139"/>
      <c r="BR125" s="139"/>
      <c r="BS125" s="139"/>
      <c r="BT125" s="139"/>
      <c r="BU125" s="139"/>
      <c r="BV125" s="139"/>
      <c r="BW125" s="139"/>
      <c r="BX125" s="139"/>
      <c r="BY125" s="139"/>
      <c r="BZ125" s="139"/>
      <c r="CA125" s="139"/>
      <c r="CB125" s="139"/>
      <c r="CC125" s="139"/>
      <c r="CD125" s="139"/>
      <c r="CE125" s="139"/>
      <c r="CF125" s="139"/>
      <c r="CG125" s="139"/>
      <c r="CH125" s="139"/>
      <c r="CI125" s="139"/>
      <c r="CJ125" s="139"/>
      <c r="CK125" s="139"/>
      <c r="CL125" s="139"/>
      <c r="CM125" s="139"/>
      <c r="CN125" s="139"/>
      <c r="CO125" s="139"/>
      <c r="CP125" s="139"/>
      <c r="CQ125" s="139"/>
      <c r="CR125" s="139"/>
      <c r="CS125" s="139"/>
      <c r="CT125" s="139"/>
      <c r="CU125" s="139"/>
      <c r="CV125" s="139"/>
      <c r="CW125" s="139"/>
      <c r="CX125" s="139"/>
      <c r="CY125" s="139"/>
      <c r="CZ125" s="139"/>
      <c r="DA125" s="139"/>
      <c r="DB125" s="139"/>
      <c r="DC125" s="139"/>
      <c r="DD125" s="139"/>
      <c r="DE125" s="139"/>
      <c r="DF125" s="139"/>
      <c r="DG125" s="139"/>
      <c r="DH125" s="139"/>
      <c r="DI125" s="139"/>
      <c r="DJ125" s="139"/>
      <c r="DK125" s="139"/>
      <c r="DL125" s="139"/>
      <c r="DM125" s="139"/>
      <c r="DN125" s="139"/>
      <c r="DO125" s="139"/>
      <c r="DP125" s="139"/>
      <c r="DQ125" s="139"/>
      <c r="DR125" s="139"/>
      <c r="DS125" s="139"/>
      <c r="DT125" s="139"/>
      <c r="DU125" s="139"/>
      <c r="DV125" s="139"/>
      <c r="DW125" s="139"/>
      <c r="DX125" s="139"/>
      <c r="DY125" s="139"/>
      <c r="DZ125" s="139"/>
      <c r="EA125" s="139"/>
      <c r="EB125" s="139"/>
      <c r="EC125" s="139"/>
      <c r="ED125" s="139"/>
      <c r="EE125" s="139"/>
      <c r="EF125" s="139"/>
      <c r="EG125" s="139"/>
      <c r="EH125" s="139"/>
      <c r="EI125" s="139"/>
      <c r="EJ125" s="139"/>
      <c r="EK125" s="139"/>
      <c r="EL125" s="139"/>
      <c r="EM125" s="139"/>
      <c r="EN125" s="139"/>
      <c r="EO125" s="139"/>
      <c r="EP125" s="139"/>
      <c r="EQ125" s="139"/>
      <c r="ER125" s="139"/>
      <c r="ES125" s="139"/>
      <c r="ET125" s="139"/>
      <c r="EU125" s="139"/>
      <c r="EV125" s="139"/>
      <c r="EW125" s="139"/>
      <c r="EX125" s="139"/>
      <c r="EY125" s="139"/>
      <c r="EZ125" s="139"/>
      <c r="FA125" s="139"/>
      <c r="FB125" s="139"/>
      <c r="FC125" s="139"/>
      <c r="FD125" s="139"/>
      <c r="FE125" s="139"/>
      <c r="FF125" s="139"/>
      <c r="FG125" s="139"/>
      <c r="FH125" s="139"/>
      <c r="FI125" s="139"/>
      <c r="FJ125" s="139"/>
      <c r="FK125" s="139"/>
      <c r="FL125" s="139"/>
      <c r="FM125" s="139"/>
      <c r="FN125" s="139"/>
      <c r="FO125" s="139"/>
      <c r="FP125" s="139"/>
      <c r="FQ125" s="139"/>
      <c r="FR125" s="139"/>
      <c r="FS125" s="139"/>
      <c r="FT125" s="139"/>
      <c r="FU125" s="139"/>
      <c r="FV125" s="139"/>
      <c r="FW125" s="139"/>
      <c r="FX125" s="139"/>
      <c r="FY125" s="139"/>
      <c r="FZ125" s="139"/>
      <c r="GA125" s="139"/>
      <c r="GB125" s="139"/>
      <c r="GC125" s="139"/>
      <c r="GD125" s="139"/>
      <c r="GE125" s="139"/>
      <c r="GF125" s="139"/>
      <c r="GG125" s="139"/>
      <c r="GH125" s="139"/>
      <c r="GI125" s="139"/>
      <c r="GJ125" s="139"/>
      <c r="GK125" s="139"/>
      <c r="GL125" s="139"/>
      <c r="GM125" s="139"/>
      <c r="GN125" s="139"/>
      <c r="GO125" s="139"/>
      <c r="GP125" s="139"/>
      <c r="GQ125" s="139"/>
      <c r="GR125" s="139"/>
      <c r="GS125" s="139"/>
      <c r="GT125" s="139"/>
      <c r="GU125" s="139"/>
      <c r="GV125" s="139"/>
      <c r="GW125" s="139"/>
      <c r="GX125" s="139"/>
      <c r="GY125" s="139"/>
      <c r="GZ125" s="139"/>
      <c r="HA125" s="139"/>
      <c r="HB125" s="139"/>
      <c r="HC125" s="139"/>
      <c r="HD125" s="139"/>
      <c r="HE125" s="139"/>
      <c r="HF125" s="139"/>
      <c r="HG125" s="139"/>
      <c r="HH125" s="139"/>
      <c r="HI125" s="139"/>
      <c r="HJ125" s="139"/>
      <c r="HK125" s="139"/>
      <c r="HL125" s="139"/>
      <c r="HM125" s="139"/>
      <c r="HN125" s="139"/>
      <c r="HO125" s="139"/>
      <c r="HP125" s="139"/>
      <c r="HQ125" s="139"/>
      <c r="HR125" s="139"/>
      <c r="HS125" s="139"/>
      <c r="HT125" s="139"/>
      <c r="HU125" s="139"/>
      <c r="HV125" s="139"/>
      <c r="HW125" s="139"/>
      <c r="HX125" s="139"/>
      <c r="HY125" s="139"/>
      <c r="HZ125" s="139"/>
      <c r="IA125" s="139"/>
      <c r="IB125" s="139"/>
      <c r="IC125" s="139"/>
      <c r="ID125" s="139"/>
      <c r="IE125" s="139"/>
      <c r="IF125" s="139"/>
      <c r="IG125" s="139"/>
      <c r="IH125" s="139"/>
      <c r="II125" s="139"/>
      <c r="IJ125" s="139"/>
    </row>
    <row r="126" spans="2:244" x14ac:dyDescent="0.3">
      <c r="B126" s="5" t="s">
        <v>134</v>
      </c>
      <c r="C126" s="953" t="s">
        <v>239</v>
      </c>
      <c r="D126" s="672">
        <v>0</v>
      </c>
      <c r="E126" s="954">
        <v>3581.6381432685625</v>
      </c>
      <c r="F126" s="954">
        <v>0</v>
      </c>
      <c r="G126" s="954">
        <v>0</v>
      </c>
      <c r="H126" s="671">
        <v>0</v>
      </c>
      <c r="I126" s="672">
        <v>0</v>
      </c>
      <c r="J126" s="954">
        <v>0</v>
      </c>
      <c r="K126" s="954">
        <v>0</v>
      </c>
      <c r="L126" s="954">
        <v>0</v>
      </c>
      <c r="M126" s="671">
        <v>0</v>
      </c>
      <c r="N126" s="672">
        <v>155.26955954796918</v>
      </c>
      <c r="O126" s="671">
        <v>671.72182700980704</v>
      </c>
      <c r="P126" s="672">
        <v>0</v>
      </c>
      <c r="Q126" s="671">
        <v>0</v>
      </c>
      <c r="R126" s="672">
        <v>0</v>
      </c>
      <c r="S126" s="671">
        <v>0</v>
      </c>
      <c r="T126" s="672">
        <v>0</v>
      </c>
      <c r="U126" s="671">
        <v>0</v>
      </c>
      <c r="V126" s="672">
        <v>0</v>
      </c>
      <c r="W126" s="671">
        <v>0</v>
      </c>
      <c r="X126" s="672">
        <v>0</v>
      </c>
      <c r="Y126" s="671">
        <v>0</v>
      </c>
      <c r="Z126" s="672">
        <v>155.26955954796918</v>
      </c>
      <c r="AA126" s="954">
        <v>4253.3599702783695</v>
      </c>
      <c r="AB126" s="954">
        <v>0</v>
      </c>
      <c r="AC126" s="954">
        <v>0</v>
      </c>
      <c r="AD126" s="703">
        <f t="shared" si="16"/>
        <v>4408.6295298263385</v>
      </c>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c r="BF126" s="139"/>
      <c r="BG126" s="139"/>
      <c r="BH126" s="139"/>
      <c r="BI126" s="139"/>
      <c r="BJ126" s="139"/>
      <c r="BK126" s="139"/>
      <c r="BL126" s="139"/>
      <c r="BM126" s="139"/>
      <c r="BN126" s="139"/>
      <c r="BO126" s="139"/>
      <c r="BP126" s="139"/>
      <c r="BQ126" s="139"/>
      <c r="BR126" s="139"/>
      <c r="BS126" s="139"/>
      <c r="BT126" s="139"/>
      <c r="BU126" s="139"/>
      <c r="BV126" s="139"/>
      <c r="BW126" s="139"/>
      <c r="BX126" s="139"/>
      <c r="BY126" s="139"/>
      <c r="BZ126" s="139"/>
      <c r="CA126" s="139"/>
      <c r="CB126" s="139"/>
      <c r="CC126" s="139"/>
      <c r="CD126" s="139"/>
      <c r="CE126" s="139"/>
      <c r="CF126" s="139"/>
      <c r="CG126" s="139"/>
      <c r="CH126" s="139"/>
      <c r="CI126" s="139"/>
      <c r="CJ126" s="139"/>
      <c r="CK126" s="139"/>
      <c r="CL126" s="139"/>
      <c r="CM126" s="139"/>
      <c r="CN126" s="139"/>
      <c r="CO126" s="139"/>
      <c r="CP126" s="139"/>
      <c r="CQ126" s="139"/>
      <c r="CR126" s="139"/>
      <c r="CS126" s="139"/>
      <c r="CT126" s="139"/>
      <c r="CU126" s="139"/>
      <c r="CV126" s="139"/>
      <c r="CW126" s="139"/>
      <c r="CX126" s="139"/>
      <c r="CY126" s="139"/>
      <c r="CZ126" s="139"/>
      <c r="DA126" s="139"/>
      <c r="DB126" s="139"/>
      <c r="DC126" s="139"/>
      <c r="DD126" s="139"/>
      <c r="DE126" s="139"/>
      <c r="DF126" s="139"/>
      <c r="DG126" s="139"/>
      <c r="DH126" s="139"/>
      <c r="DI126" s="139"/>
      <c r="DJ126" s="139"/>
      <c r="DK126" s="139"/>
      <c r="DL126" s="139"/>
      <c r="DM126" s="139"/>
      <c r="DN126" s="139"/>
      <c r="DO126" s="139"/>
      <c r="DP126" s="139"/>
      <c r="DQ126" s="139"/>
      <c r="DR126" s="139"/>
      <c r="DS126" s="139"/>
      <c r="DT126" s="139"/>
      <c r="DU126" s="139"/>
      <c r="DV126" s="139"/>
      <c r="DW126" s="139"/>
      <c r="DX126" s="139"/>
      <c r="DY126" s="139"/>
      <c r="DZ126" s="139"/>
      <c r="EA126" s="139"/>
      <c r="EB126" s="139"/>
      <c r="EC126" s="139"/>
      <c r="ED126" s="139"/>
      <c r="EE126" s="139"/>
      <c r="EF126" s="139"/>
      <c r="EG126" s="139"/>
      <c r="EH126" s="139"/>
      <c r="EI126" s="139"/>
      <c r="EJ126" s="139"/>
      <c r="EK126" s="139"/>
      <c r="EL126" s="139"/>
      <c r="EM126" s="139"/>
      <c r="EN126" s="139"/>
      <c r="EO126" s="139"/>
      <c r="EP126" s="139"/>
      <c r="EQ126" s="139"/>
      <c r="ER126" s="139"/>
      <c r="ES126" s="139"/>
      <c r="ET126" s="139"/>
      <c r="EU126" s="139"/>
      <c r="EV126" s="139"/>
      <c r="EW126" s="139"/>
      <c r="EX126" s="139"/>
      <c r="EY126" s="139"/>
      <c r="EZ126" s="139"/>
      <c r="FA126" s="139"/>
      <c r="FB126" s="139"/>
      <c r="FC126" s="139"/>
      <c r="FD126" s="139"/>
      <c r="FE126" s="139"/>
      <c r="FF126" s="139"/>
      <c r="FG126" s="139"/>
      <c r="FH126" s="139"/>
      <c r="FI126" s="139"/>
      <c r="FJ126" s="139"/>
      <c r="FK126" s="139"/>
      <c r="FL126" s="139"/>
      <c r="FM126" s="139"/>
      <c r="FN126" s="139"/>
      <c r="FO126" s="139"/>
      <c r="FP126" s="139"/>
      <c r="FQ126" s="139"/>
      <c r="FR126" s="139"/>
      <c r="FS126" s="139"/>
      <c r="FT126" s="139"/>
      <c r="FU126" s="139"/>
      <c r="FV126" s="139"/>
      <c r="FW126" s="139"/>
      <c r="FX126" s="139"/>
      <c r="FY126" s="139"/>
      <c r="FZ126" s="139"/>
      <c r="GA126" s="139"/>
      <c r="GB126" s="139"/>
      <c r="GC126" s="139"/>
      <c r="GD126" s="139"/>
      <c r="GE126" s="139"/>
      <c r="GF126" s="139"/>
      <c r="GG126" s="139"/>
      <c r="GH126" s="139"/>
      <c r="GI126" s="139"/>
      <c r="GJ126" s="139"/>
      <c r="GK126" s="139"/>
      <c r="GL126" s="139"/>
      <c r="GM126" s="139"/>
      <c r="GN126" s="139"/>
      <c r="GO126" s="139"/>
      <c r="GP126" s="139"/>
      <c r="GQ126" s="139"/>
      <c r="GR126" s="139"/>
      <c r="GS126" s="139"/>
      <c r="GT126" s="139"/>
      <c r="GU126" s="139"/>
      <c r="GV126" s="139"/>
      <c r="GW126" s="139"/>
      <c r="GX126" s="139"/>
      <c r="GY126" s="139"/>
      <c r="GZ126" s="139"/>
      <c r="HA126" s="139"/>
      <c r="HB126" s="139"/>
      <c r="HC126" s="139"/>
      <c r="HD126" s="139"/>
      <c r="HE126" s="139"/>
      <c r="HF126" s="139"/>
      <c r="HG126" s="139"/>
      <c r="HH126" s="139"/>
      <c r="HI126" s="139"/>
      <c r="HJ126" s="139"/>
      <c r="HK126" s="139"/>
      <c r="HL126" s="139"/>
      <c r="HM126" s="139"/>
      <c r="HN126" s="139"/>
      <c r="HO126" s="139"/>
      <c r="HP126" s="139"/>
      <c r="HQ126" s="139"/>
      <c r="HR126" s="139"/>
      <c r="HS126" s="139"/>
      <c r="HT126" s="139"/>
      <c r="HU126" s="139"/>
      <c r="HV126" s="139"/>
      <c r="HW126" s="139"/>
      <c r="HX126" s="139"/>
      <c r="HY126" s="139"/>
      <c r="HZ126" s="139"/>
      <c r="IA126" s="139"/>
      <c r="IB126" s="139"/>
      <c r="IC126" s="139"/>
      <c r="ID126" s="139"/>
      <c r="IE126" s="139"/>
      <c r="IF126" s="139"/>
      <c r="IG126" s="139"/>
      <c r="IH126" s="139"/>
      <c r="II126" s="139"/>
      <c r="IJ126" s="139"/>
    </row>
    <row r="127" spans="2:244" ht="15" thickBot="1" x14ac:dyDescent="0.35">
      <c r="B127" s="5" t="s">
        <v>135</v>
      </c>
      <c r="C127" s="953" t="s">
        <v>240</v>
      </c>
      <c r="D127" s="699">
        <v>0</v>
      </c>
      <c r="E127" s="955">
        <v>0</v>
      </c>
      <c r="F127" s="955">
        <v>0</v>
      </c>
      <c r="G127" s="955">
        <v>0</v>
      </c>
      <c r="H127" s="673">
        <v>0</v>
      </c>
      <c r="I127" s="699">
        <v>0</v>
      </c>
      <c r="J127" s="955">
        <v>0</v>
      </c>
      <c r="K127" s="955">
        <v>0</v>
      </c>
      <c r="L127" s="955">
        <v>0</v>
      </c>
      <c r="M127" s="673">
        <v>0</v>
      </c>
      <c r="N127" s="699">
        <v>0</v>
      </c>
      <c r="O127" s="673">
        <v>0</v>
      </c>
      <c r="P127" s="699">
        <v>0</v>
      </c>
      <c r="Q127" s="673">
        <v>0</v>
      </c>
      <c r="R127" s="699">
        <v>0</v>
      </c>
      <c r="S127" s="673">
        <v>0</v>
      </c>
      <c r="T127" s="699">
        <v>0</v>
      </c>
      <c r="U127" s="673">
        <v>0</v>
      </c>
      <c r="V127" s="699">
        <v>0</v>
      </c>
      <c r="W127" s="673">
        <v>0</v>
      </c>
      <c r="X127" s="699">
        <v>0</v>
      </c>
      <c r="Y127" s="673">
        <v>0</v>
      </c>
      <c r="Z127" s="699">
        <v>0</v>
      </c>
      <c r="AA127" s="955">
        <v>0</v>
      </c>
      <c r="AB127" s="955">
        <v>0</v>
      </c>
      <c r="AC127" s="955">
        <v>0</v>
      </c>
      <c r="AD127" s="704">
        <f t="shared" si="16"/>
        <v>0</v>
      </c>
      <c r="AE127" s="139"/>
      <c r="AF127" s="139"/>
      <c r="AG127" s="139"/>
      <c r="AH127" s="139"/>
      <c r="AI127" s="146"/>
      <c r="AJ127" s="146"/>
      <c r="AK127" s="146"/>
      <c r="AL127" s="146"/>
      <c r="AM127" s="146"/>
      <c r="AN127" s="146"/>
      <c r="AO127" s="146"/>
      <c r="AP127" s="146"/>
      <c r="AQ127" s="146"/>
      <c r="AR127" s="146"/>
      <c r="AS127" s="146"/>
      <c r="AT127" s="146"/>
      <c r="AU127" s="146"/>
      <c r="AV127" s="146"/>
      <c r="AW127" s="146"/>
      <c r="AX127" s="146"/>
      <c r="AY127" s="146"/>
      <c r="AZ127" s="146"/>
      <c r="BA127" s="146"/>
      <c r="BB127" s="146"/>
      <c r="BC127" s="146"/>
      <c r="BD127" s="146"/>
      <c r="BE127" s="146"/>
      <c r="BF127" s="146"/>
      <c r="BG127" s="146"/>
      <c r="BH127" s="146"/>
      <c r="BI127" s="146"/>
      <c r="BJ127" s="146"/>
      <c r="BK127" s="146"/>
      <c r="BL127" s="146"/>
      <c r="BM127" s="146"/>
      <c r="BN127" s="146"/>
      <c r="BO127" s="146"/>
      <c r="BP127" s="146"/>
      <c r="BQ127" s="146"/>
      <c r="BR127" s="146"/>
      <c r="BS127" s="146"/>
      <c r="BT127" s="146"/>
      <c r="BU127" s="146"/>
      <c r="BV127" s="146"/>
      <c r="BW127" s="146"/>
      <c r="BX127" s="146"/>
      <c r="BY127" s="146"/>
      <c r="BZ127" s="146"/>
      <c r="CA127" s="146"/>
      <c r="CB127" s="146"/>
      <c r="CC127" s="146"/>
      <c r="CD127" s="146"/>
      <c r="CE127" s="146"/>
      <c r="CF127" s="146"/>
      <c r="CG127" s="146"/>
      <c r="CH127" s="146"/>
      <c r="CI127" s="146"/>
      <c r="CJ127" s="146"/>
      <c r="CK127" s="146"/>
      <c r="CL127" s="146"/>
      <c r="CM127" s="146"/>
      <c r="CN127" s="146"/>
      <c r="CO127" s="146"/>
      <c r="CP127" s="146"/>
      <c r="CQ127" s="146"/>
      <c r="CR127" s="146"/>
      <c r="CS127" s="146"/>
      <c r="CT127" s="146"/>
      <c r="CU127" s="146"/>
      <c r="CV127" s="146"/>
      <c r="CW127" s="146"/>
      <c r="CX127" s="146"/>
      <c r="CY127" s="146"/>
      <c r="CZ127" s="146"/>
      <c r="DA127" s="146"/>
      <c r="DB127" s="146"/>
      <c r="DC127" s="146"/>
      <c r="DD127" s="146"/>
      <c r="DE127" s="146"/>
      <c r="DF127" s="146"/>
      <c r="DG127" s="146"/>
      <c r="DH127" s="146"/>
      <c r="DI127" s="146"/>
      <c r="DJ127" s="146"/>
      <c r="DK127" s="146"/>
      <c r="DL127" s="146"/>
      <c r="DM127" s="146"/>
      <c r="DN127" s="146"/>
      <c r="DO127" s="146"/>
      <c r="DP127" s="146"/>
      <c r="DQ127" s="146"/>
      <c r="DR127" s="146"/>
      <c r="DS127" s="146"/>
      <c r="DT127" s="146"/>
      <c r="DU127" s="146"/>
      <c r="DV127" s="146"/>
      <c r="DW127" s="146"/>
      <c r="DX127" s="146"/>
      <c r="DY127" s="146"/>
      <c r="DZ127" s="146"/>
      <c r="EA127" s="146"/>
      <c r="EB127" s="146"/>
      <c r="EC127" s="146"/>
      <c r="ED127" s="146"/>
      <c r="EE127" s="146"/>
      <c r="EF127" s="146"/>
      <c r="EG127" s="146"/>
      <c r="EH127" s="146"/>
      <c r="EI127" s="146"/>
      <c r="EJ127" s="146"/>
      <c r="EK127" s="146"/>
      <c r="EL127" s="146"/>
      <c r="EM127" s="146"/>
      <c r="EN127" s="146"/>
      <c r="EO127" s="146"/>
      <c r="EP127" s="146"/>
      <c r="EQ127" s="146"/>
      <c r="ER127" s="146"/>
      <c r="ES127" s="146"/>
      <c r="ET127" s="146"/>
      <c r="EU127" s="146"/>
      <c r="EV127" s="146"/>
      <c r="EW127" s="146"/>
      <c r="EX127" s="146"/>
      <c r="EY127" s="146"/>
      <c r="EZ127" s="146"/>
      <c r="FA127" s="146"/>
      <c r="FB127" s="146"/>
      <c r="FC127" s="146"/>
      <c r="FD127" s="146"/>
      <c r="FE127" s="146"/>
      <c r="FF127" s="146"/>
      <c r="FG127" s="146"/>
      <c r="FH127" s="146"/>
      <c r="FI127" s="146"/>
      <c r="FJ127" s="146"/>
      <c r="FK127" s="146"/>
      <c r="FL127" s="146"/>
      <c r="FM127" s="146"/>
      <c r="FN127" s="146"/>
      <c r="FO127" s="146"/>
      <c r="FP127" s="146"/>
      <c r="FQ127" s="146"/>
      <c r="FR127" s="146"/>
      <c r="FS127" s="146"/>
      <c r="FT127" s="146"/>
      <c r="FU127" s="146"/>
      <c r="FV127" s="146"/>
      <c r="FW127" s="146"/>
      <c r="FX127" s="146"/>
      <c r="FY127" s="146"/>
      <c r="FZ127" s="146"/>
      <c r="GA127" s="146"/>
      <c r="GB127" s="146"/>
      <c r="GC127" s="146"/>
      <c r="GD127" s="146"/>
      <c r="GE127" s="146"/>
      <c r="GF127" s="146"/>
      <c r="GG127" s="146"/>
      <c r="GH127" s="146"/>
      <c r="GI127" s="146"/>
      <c r="GJ127" s="146"/>
      <c r="GK127" s="146"/>
      <c r="GL127" s="146"/>
      <c r="GM127" s="146"/>
      <c r="GN127" s="146"/>
      <c r="GO127" s="146"/>
      <c r="GP127" s="146"/>
      <c r="GQ127" s="146"/>
      <c r="GR127" s="146"/>
      <c r="GS127" s="146"/>
      <c r="GT127" s="146"/>
      <c r="GU127" s="146"/>
      <c r="GV127" s="146"/>
      <c r="GW127" s="146"/>
      <c r="GX127" s="146"/>
      <c r="GY127" s="146"/>
      <c r="GZ127" s="146"/>
      <c r="HA127" s="146"/>
      <c r="HB127" s="146"/>
      <c r="HC127" s="146"/>
      <c r="HD127" s="146"/>
      <c r="HE127" s="146"/>
      <c r="HF127" s="146"/>
      <c r="HG127" s="146"/>
      <c r="HH127" s="146"/>
      <c r="HI127" s="146"/>
      <c r="HJ127" s="146"/>
      <c r="HK127" s="146"/>
      <c r="HL127" s="146"/>
      <c r="HM127" s="146"/>
      <c r="HN127" s="146"/>
      <c r="HO127" s="146"/>
      <c r="HP127" s="146"/>
      <c r="HQ127" s="146"/>
      <c r="HR127" s="146"/>
      <c r="HS127" s="146"/>
      <c r="HT127" s="146"/>
      <c r="HU127" s="146"/>
      <c r="HV127" s="146"/>
      <c r="HW127" s="146"/>
      <c r="HX127" s="146"/>
      <c r="HY127" s="146"/>
      <c r="HZ127" s="146"/>
      <c r="IA127" s="146"/>
      <c r="IB127" s="146"/>
      <c r="IC127" s="146"/>
      <c r="ID127" s="146"/>
      <c r="IE127" s="146"/>
      <c r="IF127" s="146"/>
      <c r="IG127" s="146"/>
      <c r="IH127" s="146"/>
      <c r="II127" s="146"/>
      <c r="IJ127" s="146"/>
    </row>
    <row r="128" spans="2:244" ht="15" thickBot="1" x14ac:dyDescent="0.35">
      <c r="B128" s="8" t="s">
        <v>66</v>
      </c>
      <c r="C128" s="254"/>
      <c r="D128" s="488">
        <f>SUM(D95:D127)</f>
        <v>574932.88886014605</v>
      </c>
      <c r="E128" s="488">
        <f t="shared" ref="E128:AC128" si="17">SUM(E95:E127)</f>
        <v>191497.28394572745</v>
      </c>
      <c r="F128" s="488">
        <f t="shared" si="17"/>
        <v>25548.449090528218</v>
      </c>
      <c r="G128" s="488">
        <f t="shared" si="17"/>
        <v>5749.0483721934461</v>
      </c>
      <c r="H128" s="488">
        <f t="shared" si="17"/>
        <v>111106.75838356129</v>
      </c>
      <c r="I128" s="488">
        <f t="shared" si="17"/>
        <v>13305.561068827774</v>
      </c>
      <c r="J128" s="488">
        <f t="shared" si="17"/>
        <v>22111.255304155264</v>
      </c>
      <c r="K128" s="488">
        <f t="shared" si="17"/>
        <v>1.1683033340158198</v>
      </c>
      <c r="L128" s="488">
        <f t="shared" si="17"/>
        <v>162.2193557994614</v>
      </c>
      <c r="M128" s="488">
        <f t="shared" si="17"/>
        <v>1512.9192157457612</v>
      </c>
      <c r="N128" s="488">
        <f t="shared" si="17"/>
        <v>155.26955954796918</v>
      </c>
      <c r="O128" s="488">
        <f t="shared" si="17"/>
        <v>671.72182700980704</v>
      </c>
      <c r="P128" s="488">
        <f t="shared" si="17"/>
        <v>3650.3114531856563</v>
      </c>
      <c r="Q128" s="488">
        <f t="shared" si="17"/>
        <v>2643.5224622099959</v>
      </c>
      <c r="R128" s="488">
        <f t="shared" si="17"/>
        <v>1174.5298860283172</v>
      </c>
      <c r="S128" s="488">
        <f t="shared" si="17"/>
        <v>920.95840127641077</v>
      </c>
      <c r="T128" s="488">
        <f t="shared" si="17"/>
        <v>49.992079416348133</v>
      </c>
      <c r="U128" s="488">
        <f t="shared" si="17"/>
        <v>0</v>
      </c>
      <c r="V128" s="488">
        <f t="shared" si="17"/>
        <v>48.382031724945115</v>
      </c>
      <c r="W128" s="488">
        <f t="shared" si="17"/>
        <v>0</v>
      </c>
      <c r="X128" s="488">
        <f t="shared" si="17"/>
        <v>10.466037907897595</v>
      </c>
      <c r="Y128" s="488">
        <f t="shared" si="17"/>
        <v>0</v>
      </c>
      <c r="Z128" s="488">
        <f t="shared" si="17"/>
        <v>593327.40097678499</v>
      </c>
      <c r="AA128" s="488">
        <f t="shared" si="17"/>
        <v>217844.74194037894</v>
      </c>
      <c r="AB128" s="488">
        <f>SUM(AB95:AB127)</f>
        <v>25549.617393862234</v>
      </c>
      <c r="AC128" s="488">
        <f t="shared" si="17"/>
        <v>5911.2677279929076</v>
      </c>
      <c r="AD128" s="700">
        <f>SUM(AD95:AD127)</f>
        <v>842633.02803901909</v>
      </c>
      <c r="AE128" s="146"/>
      <c r="AF128" s="146"/>
      <c r="AG128" s="146"/>
      <c r="AH128" s="146"/>
      <c r="AI128" s="146"/>
      <c r="AJ128" s="146"/>
      <c r="AK128" s="146"/>
      <c r="AL128" s="146"/>
      <c r="AM128" s="146"/>
      <c r="AN128" s="146"/>
      <c r="AO128" s="146"/>
      <c r="AP128" s="146"/>
      <c r="AQ128" s="146"/>
      <c r="AR128" s="146"/>
      <c r="AS128" s="146"/>
      <c r="AT128" s="146"/>
      <c r="AU128" s="146"/>
      <c r="AV128" s="146"/>
      <c r="AW128" s="146"/>
      <c r="AX128" s="146"/>
      <c r="AY128" s="146"/>
      <c r="AZ128" s="146"/>
      <c r="BA128" s="146"/>
      <c r="BB128" s="146"/>
      <c r="BC128" s="146"/>
      <c r="BD128" s="146"/>
      <c r="BE128" s="146"/>
      <c r="BF128" s="146"/>
      <c r="BG128" s="146"/>
      <c r="BH128" s="146"/>
      <c r="BI128" s="146"/>
      <c r="BJ128" s="146"/>
      <c r="BK128" s="146"/>
      <c r="BL128" s="146"/>
      <c r="BM128" s="146"/>
      <c r="BN128" s="146"/>
      <c r="BO128" s="146"/>
      <c r="BP128" s="146"/>
      <c r="BQ128" s="146"/>
      <c r="BR128" s="146"/>
      <c r="BS128" s="146"/>
      <c r="BT128" s="146"/>
      <c r="BU128" s="146"/>
      <c r="BV128" s="146"/>
      <c r="BW128" s="146"/>
      <c r="BX128" s="146"/>
      <c r="BY128" s="146"/>
      <c r="BZ128" s="146"/>
      <c r="CA128" s="146"/>
      <c r="CB128" s="146"/>
      <c r="CC128" s="146"/>
      <c r="CD128" s="146"/>
      <c r="CE128" s="146"/>
      <c r="CF128" s="146"/>
      <c r="CG128" s="146"/>
      <c r="CH128" s="146"/>
      <c r="CI128" s="146"/>
      <c r="CJ128" s="146"/>
      <c r="CK128" s="146"/>
      <c r="CL128" s="146"/>
      <c r="CM128" s="146"/>
      <c r="CN128" s="146"/>
      <c r="CO128" s="146"/>
      <c r="CP128" s="146"/>
      <c r="CQ128" s="146"/>
      <c r="CR128" s="146"/>
      <c r="CS128" s="146"/>
      <c r="CT128" s="146"/>
      <c r="CU128" s="146"/>
      <c r="CV128" s="146"/>
      <c r="CW128" s="146"/>
      <c r="CX128" s="146"/>
      <c r="CY128" s="146"/>
      <c r="CZ128" s="146"/>
      <c r="DA128" s="146"/>
      <c r="DB128" s="146"/>
      <c r="DC128" s="146"/>
      <c r="DD128" s="146"/>
      <c r="DE128" s="146"/>
      <c r="DF128" s="146"/>
      <c r="DG128" s="146"/>
      <c r="DH128" s="146"/>
      <c r="DI128" s="146"/>
      <c r="DJ128" s="146"/>
      <c r="DK128" s="146"/>
      <c r="DL128" s="146"/>
      <c r="DM128" s="146"/>
      <c r="DN128" s="146"/>
      <c r="DO128" s="146"/>
      <c r="DP128" s="146"/>
      <c r="DQ128" s="146"/>
      <c r="DR128" s="146"/>
      <c r="DS128" s="146"/>
      <c r="DT128" s="146"/>
      <c r="DU128" s="146"/>
      <c r="DV128" s="146"/>
      <c r="DW128" s="146"/>
      <c r="DX128" s="146"/>
      <c r="DY128" s="146"/>
      <c r="DZ128" s="146"/>
      <c r="EA128" s="146"/>
      <c r="EB128" s="146"/>
      <c r="EC128" s="146"/>
      <c r="ED128" s="146"/>
      <c r="EE128" s="146"/>
      <c r="EF128" s="146"/>
      <c r="EG128" s="146"/>
      <c r="EH128" s="146"/>
      <c r="EI128" s="146"/>
      <c r="EJ128" s="146"/>
      <c r="EK128" s="146"/>
      <c r="EL128" s="146"/>
      <c r="EM128" s="146"/>
      <c r="EN128" s="146"/>
      <c r="EO128" s="146"/>
      <c r="EP128" s="146"/>
      <c r="EQ128" s="146"/>
      <c r="ER128" s="146"/>
      <c r="ES128" s="146"/>
      <c r="ET128" s="146"/>
      <c r="EU128" s="146"/>
      <c r="EV128" s="146"/>
      <c r="EW128" s="146"/>
      <c r="EX128" s="146"/>
      <c r="EY128" s="146"/>
      <c r="EZ128" s="146"/>
      <c r="FA128" s="146"/>
      <c r="FB128" s="146"/>
      <c r="FC128" s="146"/>
      <c r="FD128" s="146"/>
      <c r="FE128" s="146"/>
      <c r="FF128" s="146"/>
      <c r="FG128" s="146"/>
      <c r="FH128" s="146"/>
      <c r="FI128" s="146"/>
      <c r="FJ128" s="146"/>
      <c r="FK128" s="146"/>
      <c r="FL128" s="146"/>
      <c r="FM128" s="146"/>
      <c r="FN128" s="146"/>
      <c r="FO128" s="146"/>
      <c r="FP128" s="146"/>
      <c r="FQ128" s="146"/>
      <c r="FR128" s="146"/>
      <c r="FS128" s="146"/>
      <c r="FT128" s="146"/>
      <c r="FU128" s="146"/>
      <c r="FV128" s="146"/>
      <c r="FW128" s="146"/>
      <c r="FX128" s="146"/>
      <c r="FY128" s="146"/>
      <c r="FZ128" s="146"/>
      <c r="GA128" s="146"/>
      <c r="GB128" s="146"/>
      <c r="GC128" s="146"/>
      <c r="GD128" s="146"/>
      <c r="GE128" s="146"/>
      <c r="GF128" s="146"/>
      <c r="GG128" s="146"/>
      <c r="GH128" s="146"/>
      <c r="GI128" s="146"/>
      <c r="GJ128" s="146"/>
      <c r="GK128" s="146"/>
      <c r="GL128" s="146"/>
      <c r="GM128" s="146"/>
      <c r="GN128" s="146"/>
      <c r="GO128" s="146"/>
      <c r="GP128" s="146"/>
      <c r="GQ128" s="146"/>
      <c r="GR128" s="146"/>
      <c r="GS128" s="146"/>
      <c r="GT128" s="146"/>
      <c r="GU128" s="146"/>
      <c r="GV128" s="146"/>
      <c r="GW128" s="146"/>
      <c r="GX128" s="146"/>
      <c r="GY128" s="146"/>
      <c r="GZ128" s="146"/>
      <c r="HA128" s="146"/>
      <c r="HB128" s="146"/>
      <c r="HC128" s="146"/>
      <c r="HD128" s="146"/>
      <c r="HE128" s="146"/>
      <c r="HF128" s="146"/>
      <c r="HG128" s="146"/>
      <c r="HH128" s="146"/>
      <c r="HI128" s="146"/>
      <c r="HJ128" s="146"/>
      <c r="HK128" s="146"/>
      <c r="HL128" s="146"/>
      <c r="HM128" s="146"/>
      <c r="HN128" s="146"/>
      <c r="HO128" s="146"/>
      <c r="HP128" s="146"/>
      <c r="HQ128" s="146"/>
      <c r="HR128" s="146"/>
      <c r="HS128" s="146"/>
      <c r="HT128" s="146"/>
      <c r="HU128" s="146"/>
      <c r="HV128" s="146"/>
      <c r="HW128" s="146"/>
      <c r="HX128" s="146"/>
      <c r="HY128" s="146"/>
      <c r="HZ128" s="146"/>
      <c r="IA128" s="146"/>
      <c r="IB128" s="146"/>
      <c r="IC128" s="146"/>
      <c r="ID128" s="146"/>
      <c r="IE128" s="146"/>
      <c r="IF128" s="146"/>
      <c r="IG128" s="146"/>
      <c r="IH128" s="146"/>
      <c r="II128" s="146"/>
      <c r="IJ128" s="146"/>
    </row>
    <row r="129" spans="2:253" x14ac:dyDescent="0.3">
      <c r="B129" s="145"/>
      <c r="C129" s="165"/>
      <c r="D129" s="428"/>
      <c r="E129" s="152"/>
      <c r="F129" s="147"/>
      <c r="G129" s="147"/>
      <c r="H129" s="147"/>
      <c r="I129" s="147"/>
      <c r="J129" s="147"/>
      <c r="K129" s="147"/>
      <c r="L129" s="147"/>
      <c r="M129" s="147"/>
      <c r="N129" s="147"/>
      <c r="O129" s="147"/>
      <c r="P129" s="147"/>
      <c r="Q129" s="147"/>
      <c r="R129" s="147"/>
      <c r="S129" s="147"/>
      <c r="T129" s="147"/>
      <c r="U129" s="147"/>
      <c r="V129" s="147"/>
      <c r="W129" s="147"/>
      <c r="X129" s="147"/>
      <c r="Y129" s="147"/>
      <c r="Z129" s="152"/>
      <c r="AA129" s="152"/>
      <c r="AB129" s="152"/>
      <c r="AC129" s="152"/>
      <c r="AD129" s="152"/>
      <c r="AE129" s="146"/>
      <c r="AF129" s="146"/>
      <c r="AG129" s="146"/>
      <c r="AH129" s="146"/>
      <c r="AI129" s="146"/>
      <c r="AJ129" s="146"/>
      <c r="AK129" s="146"/>
      <c r="AL129" s="146"/>
      <c r="AM129" s="146"/>
      <c r="AN129" s="146"/>
      <c r="AO129" s="146"/>
      <c r="AP129" s="146"/>
      <c r="AQ129" s="146"/>
      <c r="AR129" s="146"/>
      <c r="AS129" s="146"/>
      <c r="AT129" s="146"/>
      <c r="AU129" s="146"/>
      <c r="AV129" s="146"/>
      <c r="AW129" s="146"/>
      <c r="AX129" s="146"/>
      <c r="AY129" s="146"/>
      <c r="AZ129" s="146"/>
      <c r="BA129" s="146"/>
      <c r="BB129" s="146"/>
      <c r="BC129" s="146"/>
      <c r="BD129" s="146"/>
      <c r="BE129" s="146"/>
      <c r="BF129" s="146"/>
      <c r="BG129" s="146"/>
      <c r="BH129" s="146"/>
      <c r="BI129" s="146"/>
      <c r="BJ129" s="146"/>
      <c r="BK129" s="146"/>
      <c r="BL129" s="146"/>
      <c r="BM129" s="146"/>
      <c r="BN129" s="146"/>
      <c r="BO129" s="146"/>
      <c r="BP129" s="146"/>
      <c r="BQ129" s="146"/>
      <c r="BR129" s="146"/>
      <c r="BS129" s="146"/>
      <c r="BT129" s="146"/>
      <c r="BU129" s="146"/>
      <c r="BV129" s="146"/>
      <c r="BW129" s="146"/>
      <c r="BX129" s="146"/>
      <c r="BY129" s="146"/>
      <c r="BZ129" s="146"/>
      <c r="CA129" s="146"/>
      <c r="CB129" s="146"/>
      <c r="CC129" s="146"/>
      <c r="CD129" s="146"/>
      <c r="CE129" s="146"/>
      <c r="CF129" s="146"/>
      <c r="CG129" s="146"/>
      <c r="CH129" s="146"/>
      <c r="CI129" s="146"/>
      <c r="CJ129" s="146"/>
      <c r="CK129" s="146"/>
      <c r="CL129" s="146"/>
      <c r="CM129" s="146"/>
      <c r="CN129" s="146"/>
      <c r="CO129" s="146"/>
      <c r="CP129" s="146"/>
      <c r="CQ129" s="146"/>
      <c r="CR129" s="146"/>
      <c r="CS129" s="146"/>
      <c r="CT129" s="146"/>
      <c r="CU129" s="146"/>
      <c r="CV129" s="146"/>
      <c r="CW129" s="146"/>
      <c r="CX129" s="146"/>
      <c r="CY129" s="146"/>
      <c r="CZ129" s="146"/>
      <c r="DA129" s="146"/>
      <c r="DB129" s="146"/>
      <c r="DC129" s="146"/>
      <c r="DD129" s="146"/>
      <c r="DE129" s="146"/>
      <c r="DF129" s="146"/>
      <c r="DG129" s="146"/>
      <c r="DH129" s="146"/>
      <c r="DI129" s="146"/>
      <c r="DJ129" s="146"/>
      <c r="DK129" s="146"/>
      <c r="DL129" s="146"/>
      <c r="DM129" s="146"/>
      <c r="DN129" s="146"/>
      <c r="DO129" s="146"/>
      <c r="DP129" s="146"/>
      <c r="DQ129" s="146"/>
      <c r="DR129" s="146"/>
      <c r="DS129" s="146"/>
      <c r="DT129" s="146"/>
      <c r="DU129" s="146"/>
      <c r="DV129" s="146"/>
      <c r="DW129" s="146"/>
      <c r="DX129" s="146"/>
      <c r="DY129" s="146"/>
      <c r="DZ129" s="146"/>
      <c r="EA129" s="146"/>
      <c r="EB129" s="146"/>
      <c r="EC129" s="146"/>
      <c r="ED129" s="146"/>
      <c r="EE129" s="146"/>
      <c r="EF129" s="146"/>
      <c r="EG129" s="146"/>
      <c r="EH129" s="146"/>
      <c r="EI129" s="146"/>
      <c r="EJ129" s="146"/>
      <c r="EK129" s="146"/>
      <c r="EL129" s="146"/>
      <c r="EM129" s="146"/>
      <c r="EN129" s="146"/>
      <c r="EO129" s="146"/>
      <c r="EP129" s="146"/>
      <c r="EQ129" s="146"/>
      <c r="ER129" s="146"/>
      <c r="ES129" s="146"/>
      <c r="ET129" s="146"/>
      <c r="EU129" s="146"/>
      <c r="EV129" s="146"/>
      <c r="EW129" s="146"/>
      <c r="EX129" s="146"/>
      <c r="EY129" s="146"/>
      <c r="EZ129" s="146"/>
      <c r="FA129" s="146"/>
      <c r="FB129" s="146"/>
      <c r="FC129" s="146"/>
      <c r="FD129" s="146"/>
      <c r="FE129" s="146"/>
      <c r="FF129" s="146"/>
      <c r="FG129" s="146"/>
      <c r="FH129" s="146"/>
      <c r="FI129" s="146"/>
      <c r="FJ129" s="146"/>
      <c r="FK129" s="146"/>
      <c r="FL129" s="146"/>
      <c r="FM129" s="146"/>
      <c r="FN129" s="146"/>
      <c r="FO129" s="146"/>
      <c r="FP129" s="146"/>
      <c r="FQ129" s="146"/>
      <c r="FR129" s="146"/>
      <c r="FS129" s="146"/>
      <c r="FT129" s="146"/>
      <c r="FU129" s="146"/>
      <c r="FV129" s="146"/>
      <c r="FW129" s="146"/>
      <c r="FX129" s="146"/>
      <c r="FY129" s="146"/>
      <c r="FZ129" s="146"/>
      <c r="GA129" s="146"/>
      <c r="GB129" s="146"/>
      <c r="GC129" s="146"/>
      <c r="GD129" s="146"/>
      <c r="GE129" s="146"/>
      <c r="GF129" s="146"/>
      <c r="GG129" s="146"/>
      <c r="GH129" s="146"/>
      <c r="GI129" s="146"/>
      <c r="GJ129" s="146"/>
      <c r="GK129" s="146"/>
      <c r="GL129" s="146"/>
      <c r="GM129" s="146"/>
      <c r="GN129" s="146"/>
      <c r="GO129" s="146"/>
      <c r="GP129" s="146"/>
      <c r="GQ129" s="146"/>
      <c r="GR129" s="146"/>
      <c r="GS129" s="146"/>
      <c r="GT129" s="146"/>
      <c r="GU129" s="146"/>
      <c r="GV129" s="146"/>
      <c r="GW129" s="146"/>
      <c r="GX129" s="146"/>
      <c r="GY129" s="146"/>
      <c r="GZ129" s="146"/>
      <c r="HA129" s="146"/>
      <c r="HB129" s="146"/>
      <c r="HC129" s="146"/>
      <c r="HD129" s="146"/>
      <c r="HE129" s="146"/>
      <c r="HF129" s="146"/>
      <c r="HG129" s="146"/>
      <c r="HH129" s="146"/>
      <c r="HI129" s="146"/>
      <c r="HJ129" s="146"/>
      <c r="HK129" s="146"/>
      <c r="HL129" s="146"/>
      <c r="HM129" s="146"/>
      <c r="HN129" s="146"/>
      <c r="HO129" s="146"/>
      <c r="HP129" s="146"/>
      <c r="HQ129" s="146"/>
      <c r="HR129" s="146"/>
      <c r="HS129" s="146"/>
      <c r="HT129" s="146"/>
      <c r="HU129" s="146"/>
      <c r="HV129" s="146"/>
      <c r="HW129" s="146"/>
      <c r="HX129" s="146"/>
      <c r="HY129" s="146"/>
      <c r="HZ129" s="146"/>
      <c r="IA129" s="146"/>
      <c r="IB129" s="146"/>
      <c r="IC129" s="146"/>
      <c r="ID129" s="146"/>
      <c r="IE129" s="146"/>
      <c r="IF129" s="146"/>
      <c r="IG129" s="146"/>
      <c r="IH129" s="146"/>
      <c r="II129" s="146"/>
      <c r="IJ129" s="146"/>
    </row>
    <row r="130" spans="2:253" x14ac:dyDescent="0.3">
      <c r="B130" s="145" t="s">
        <v>336</v>
      </c>
      <c r="C130" s="165"/>
      <c r="D130" s="152"/>
      <c r="E130" s="152"/>
      <c r="F130" s="147"/>
      <c r="G130" s="147"/>
      <c r="H130" s="147"/>
      <c r="I130" s="147"/>
      <c r="J130" s="147"/>
      <c r="K130" s="147"/>
      <c r="L130" s="147"/>
      <c r="M130" s="147"/>
      <c r="N130" s="147"/>
      <c r="O130" s="147"/>
      <c r="P130" s="147"/>
      <c r="Q130" s="147"/>
      <c r="R130" s="147"/>
      <c r="S130" s="147"/>
      <c r="T130" s="147"/>
      <c r="U130" s="147"/>
      <c r="V130" s="147"/>
      <c r="W130" s="147"/>
      <c r="X130" s="147"/>
      <c r="Y130" s="147"/>
      <c r="Z130" s="152"/>
      <c r="AA130" s="152"/>
      <c r="AB130" s="152"/>
      <c r="AC130" s="152"/>
      <c r="AD130" s="152"/>
      <c r="AE130" s="146"/>
      <c r="AF130" s="146"/>
      <c r="AG130" s="146"/>
      <c r="AH130" s="146"/>
      <c r="AI130" s="146"/>
      <c r="AJ130" s="146"/>
      <c r="AK130" s="146"/>
      <c r="AL130" s="146"/>
      <c r="AM130" s="146"/>
      <c r="AN130" s="146"/>
      <c r="AO130" s="146"/>
      <c r="AP130" s="146"/>
      <c r="AQ130" s="146"/>
      <c r="AR130" s="146"/>
      <c r="AS130" s="146"/>
      <c r="AT130" s="146"/>
      <c r="AU130" s="146"/>
      <c r="AV130" s="146"/>
      <c r="AW130" s="146"/>
      <c r="AX130" s="146"/>
      <c r="AY130" s="146"/>
      <c r="AZ130" s="146"/>
      <c r="BA130" s="146"/>
      <c r="BB130" s="146"/>
      <c r="BC130" s="146"/>
      <c r="BD130" s="146"/>
      <c r="BE130" s="146"/>
      <c r="BF130" s="146"/>
      <c r="BG130" s="146"/>
      <c r="BH130" s="146"/>
      <c r="BI130" s="146"/>
      <c r="BJ130" s="146"/>
      <c r="BK130" s="146"/>
      <c r="BL130" s="146"/>
      <c r="BM130" s="146"/>
      <c r="BN130" s="146"/>
      <c r="BO130" s="146"/>
      <c r="BP130" s="146"/>
      <c r="BQ130" s="146"/>
      <c r="BR130" s="146"/>
      <c r="BS130" s="146"/>
      <c r="BT130" s="146"/>
      <c r="BU130" s="146"/>
      <c r="BV130" s="146"/>
      <c r="BW130" s="146"/>
      <c r="BX130" s="146"/>
      <c r="BY130" s="146"/>
      <c r="BZ130" s="146"/>
      <c r="CA130" s="146"/>
      <c r="CB130" s="146"/>
      <c r="CC130" s="146"/>
      <c r="CD130" s="146"/>
      <c r="CE130" s="146"/>
      <c r="CF130" s="146"/>
      <c r="CG130" s="146"/>
      <c r="CH130" s="146"/>
      <c r="CI130" s="146"/>
      <c r="CJ130" s="146"/>
      <c r="CK130" s="146"/>
      <c r="CL130" s="146"/>
      <c r="CM130" s="146"/>
      <c r="CN130" s="146"/>
      <c r="CO130" s="146"/>
      <c r="CP130" s="146"/>
      <c r="CQ130" s="146"/>
      <c r="CR130" s="146"/>
      <c r="CS130" s="146"/>
      <c r="CT130" s="146"/>
      <c r="CU130" s="146"/>
      <c r="CV130" s="146"/>
      <c r="CW130" s="146"/>
      <c r="CX130" s="146"/>
      <c r="CY130" s="146"/>
      <c r="CZ130" s="146"/>
      <c r="DA130" s="146"/>
      <c r="DB130" s="146"/>
      <c r="DC130" s="146"/>
      <c r="DD130" s="146"/>
      <c r="DE130" s="146"/>
      <c r="DF130" s="146"/>
      <c r="DG130" s="146"/>
      <c r="DH130" s="146"/>
      <c r="DI130" s="146"/>
      <c r="DJ130" s="146"/>
      <c r="DK130" s="146"/>
      <c r="DL130" s="146"/>
      <c r="DM130" s="146"/>
      <c r="DN130" s="146"/>
      <c r="DO130" s="146"/>
      <c r="DP130" s="146"/>
      <c r="DQ130" s="146"/>
      <c r="DR130" s="146"/>
      <c r="DS130" s="146"/>
      <c r="DT130" s="146"/>
      <c r="DU130" s="146"/>
      <c r="DV130" s="146"/>
      <c r="DW130" s="146"/>
      <c r="DX130" s="146"/>
      <c r="DY130" s="146"/>
      <c r="DZ130" s="146"/>
      <c r="EA130" s="146"/>
      <c r="EB130" s="146"/>
      <c r="EC130" s="146"/>
      <c r="ED130" s="146"/>
      <c r="EE130" s="146"/>
      <c r="EF130" s="146"/>
      <c r="EG130" s="146"/>
      <c r="EH130" s="146"/>
      <c r="EI130" s="146"/>
      <c r="EJ130" s="146"/>
      <c r="EK130" s="146"/>
      <c r="EL130" s="146"/>
      <c r="EM130" s="146"/>
      <c r="EN130" s="146"/>
      <c r="EO130" s="146"/>
      <c r="EP130" s="146"/>
      <c r="EQ130" s="146"/>
      <c r="ER130" s="146"/>
      <c r="ES130" s="146"/>
      <c r="ET130" s="146"/>
      <c r="EU130" s="146"/>
      <c r="EV130" s="146"/>
      <c r="EW130" s="146"/>
      <c r="EX130" s="146"/>
      <c r="EY130" s="146"/>
      <c r="EZ130" s="146"/>
      <c r="FA130" s="146"/>
      <c r="FB130" s="146"/>
      <c r="FC130" s="146"/>
      <c r="FD130" s="146"/>
      <c r="FE130" s="146"/>
      <c r="FF130" s="146"/>
      <c r="FG130" s="146"/>
      <c r="FH130" s="146"/>
      <c r="FI130" s="146"/>
      <c r="FJ130" s="146"/>
      <c r="FK130" s="146"/>
      <c r="FL130" s="146"/>
      <c r="FM130" s="146"/>
      <c r="FN130" s="146"/>
      <c r="FO130" s="146"/>
      <c r="FP130" s="146"/>
      <c r="FQ130" s="146"/>
      <c r="FR130" s="146"/>
      <c r="FS130" s="146"/>
      <c r="FT130" s="146"/>
      <c r="FU130" s="146"/>
      <c r="FV130" s="146"/>
      <c r="FW130" s="146"/>
      <c r="FX130" s="146"/>
      <c r="FY130" s="146"/>
      <c r="FZ130" s="146"/>
      <c r="GA130" s="146"/>
      <c r="GB130" s="146"/>
      <c r="GC130" s="146"/>
      <c r="GD130" s="146"/>
      <c r="GE130" s="146"/>
      <c r="GF130" s="146"/>
      <c r="GG130" s="146"/>
      <c r="GH130" s="146"/>
      <c r="GI130" s="146"/>
      <c r="GJ130" s="146"/>
      <c r="GK130" s="146"/>
      <c r="GL130" s="146"/>
      <c r="GM130" s="146"/>
      <c r="GN130" s="146"/>
      <c r="GO130" s="146"/>
      <c r="GP130" s="146"/>
      <c r="GQ130" s="146"/>
      <c r="GR130" s="146"/>
      <c r="GS130" s="146"/>
      <c r="GT130" s="146"/>
      <c r="GU130" s="146"/>
      <c r="GV130" s="146"/>
      <c r="GW130" s="146"/>
      <c r="GX130" s="146"/>
      <c r="GY130" s="146"/>
      <c r="GZ130" s="146"/>
      <c r="HA130" s="146"/>
      <c r="HB130" s="146"/>
      <c r="HC130" s="146"/>
      <c r="HD130" s="146"/>
      <c r="HE130" s="146"/>
      <c r="HF130" s="146"/>
      <c r="HG130" s="146"/>
      <c r="HH130" s="146"/>
      <c r="HI130" s="146"/>
      <c r="HJ130" s="146"/>
      <c r="HK130" s="146"/>
      <c r="HL130" s="146"/>
      <c r="HM130" s="146"/>
      <c r="HN130" s="146"/>
      <c r="HO130" s="146"/>
      <c r="HP130" s="146"/>
      <c r="HQ130" s="146"/>
      <c r="HR130" s="146"/>
      <c r="HS130" s="146"/>
      <c r="HT130" s="146"/>
      <c r="HU130" s="146"/>
      <c r="HV130" s="146"/>
      <c r="HW130" s="146"/>
      <c r="HX130" s="146"/>
      <c r="HY130" s="146"/>
      <c r="HZ130" s="146"/>
      <c r="IA130" s="146"/>
      <c r="IB130" s="146"/>
      <c r="IC130" s="146"/>
      <c r="ID130" s="146"/>
      <c r="IE130" s="146"/>
      <c r="IF130" s="146"/>
      <c r="IG130" s="146"/>
      <c r="IH130" s="146"/>
      <c r="II130" s="146"/>
      <c r="IJ130" s="146"/>
    </row>
    <row r="131" spans="2:253" x14ac:dyDescent="0.3">
      <c r="B131" s="145" t="s">
        <v>337</v>
      </c>
      <c r="C131" s="165"/>
      <c r="D131" s="152"/>
      <c r="E131" s="152"/>
      <c r="F131" s="147"/>
      <c r="G131" s="147"/>
      <c r="H131" s="147"/>
      <c r="I131" s="147"/>
      <c r="J131" s="147"/>
      <c r="K131" s="147"/>
      <c r="L131" s="147"/>
      <c r="M131" s="147"/>
      <c r="N131" s="147"/>
      <c r="O131" s="147"/>
      <c r="P131" s="147"/>
      <c r="Q131" s="147"/>
      <c r="R131" s="147"/>
      <c r="S131" s="147"/>
      <c r="T131" s="147"/>
      <c r="U131" s="147"/>
      <c r="V131" s="147"/>
      <c r="W131" s="147"/>
      <c r="X131" s="147"/>
      <c r="Y131" s="147"/>
      <c r="Z131" s="152"/>
      <c r="AA131" s="152"/>
      <c r="AB131" s="152"/>
      <c r="AC131" s="152"/>
      <c r="AD131" s="152"/>
      <c r="AE131" s="146"/>
      <c r="AF131" s="146"/>
      <c r="AG131" s="146"/>
      <c r="AH131" s="146"/>
      <c r="AI131" s="146"/>
      <c r="AJ131" s="146"/>
      <c r="AK131" s="146"/>
      <c r="AL131" s="146"/>
      <c r="AM131" s="146"/>
      <c r="AN131" s="146"/>
      <c r="AO131" s="146"/>
      <c r="AP131" s="146"/>
      <c r="AQ131" s="146"/>
      <c r="AR131" s="146"/>
      <c r="AS131" s="146"/>
      <c r="AT131" s="146"/>
      <c r="AU131" s="146"/>
      <c r="AV131" s="146"/>
      <c r="AW131" s="146"/>
      <c r="AX131" s="146"/>
      <c r="AY131" s="146"/>
      <c r="AZ131" s="146"/>
      <c r="BA131" s="146"/>
      <c r="BB131" s="146"/>
      <c r="BC131" s="146"/>
      <c r="BD131" s="146"/>
      <c r="BE131" s="146"/>
      <c r="BF131" s="146"/>
      <c r="BG131" s="146"/>
      <c r="BH131" s="146"/>
      <c r="BI131" s="146"/>
      <c r="BJ131" s="146"/>
      <c r="BK131" s="146"/>
      <c r="BL131" s="146"/>
      <c r="BM131" s="146"/>
      <c r="BN131" s="146"/>
      <c r="BO131" s="146"/>
      <c r="BP131" s="146"/>
      <c r="BQ131" s="146"/>
      <c r="BR131" s="146"/>
      <c r="BS131" s="146"/>
      <c r="BT131" s="146"/>
      <c r="BU131" s="146"/>
      <c r="BV131" s="146"/>
      <c r="BW131" s="146"/>
      <c r="BX131" s="146"/>
      <c r="BY131" s="146"/>
      <c r="BZ131" s="146"/>
      <c r="CA131" s="146"/>
      <c r="CB131" s="146"/>
      <c r="CC131" s="146"/>
      <c r="CD131" s="146"/>
      <c r="CE131" s="146"/>
      <c r="CF131" s="146"/>
      <c r="CG131" s="146"/>
      <c r="CH131" s="146"/>
      <c r="CI131" s="146"/>
      <c r="CJ131" s="146"/>
      <c r="CK131" s="146"/>
      <c r="CL131" s="146"/>
      <c r="CM131" s="146"/>
      <c r="CN131" s="146"/>
      <c r="CO131" s="146"/>
      <c r="CP131" s="146"/>
      <c r="CQ131" s="146"/>
      <c r="CR131" s="146"/>
      <c r="CS131" s="146"/>
      <c r="CT131" s="146"/>
      <c r="CU131" s="146"/>
      <c r="CV131" s="146"/>
      <c r="CW131" s="146"/>
      <c r="CX131" s="146"/>
      <c r="CY131" s="146"/>
      <c r="CZ131" s="146"/>
      <c r="DA131" s="146"/>
      <c r="DB131" s="146"/>
      <c r="DC131" s="146"/>
      <c r="DD131" s="146"/>
      <c r="DE131" s="146"/>
      <c r="DF131" s="146"/>
      <c r="DG131" s="146"/>
      <c r="DH131" s="146"/>
      <c r="DI131" s="146"/>
      <c r="DJ131" s="146"/>
      <c r="DK131" s="146"/>
      <c r="DL131" s="146"/>
      <c r="DM131" s="146"/>
      <c r="DN131" s="146"/>
      <c r="DO131" s="146"/>
      <c r="DP131" s="146"/>
      <c r="DQ131" s="146"/>
      <c r="DR131" s="146"/>
      <c r="DS131" s="146"/>
      <c r="DT131" s="146"/>
      <c r="DU131" s="146"/>
      <c r="DV131" s="146"/>
      <c r="DW131" s="146"/>
      <c r="DX131" s="146"/>
      <c r="DY131" s="146"/>
      <c r="DZ131" s="146"/>
      <c r="EA131" s="146"/>
      <c r="EB131" s="146"/>
      <c r="EC131" s="146"/>
      <c r="ED131" s="146"/>
      <c r="EE131" s="146"/>
      <c r="EF131" s="146"/>
      <c r="EG131" s="146"/>
      <c r="EH131" s="146"/>
      <c r="EI131" s="146"/>
      <c r="EJ131" s="146"/>
      <c r="EK131" s="146"/>
      <c r="EL131" s="146"/>
      <c r="EM131" s="146"/>
      <c r="EN131" s="146"/>
      <c r="EO131" s="146"/>
      <c r="EP131" s="146"/>
      <c r="EQ131" s="146"/>
      <c r="ER131" s="146"/>
      <c r="ES131" s="146"/>
      <c r="ET131" s="146"/>
      <c r="EU131" s="146"/>
      <c r="EV131" s="146"/>
      <c r="EW131" s="146"/>
      <c r="EX131" s="146"/>
      <c r="EY131" s="146"/>
      <c r="EZ131" s="146"/>
      <c r="FA131" s="146"/>
      <c r="FB131" s="146"/>
      <c r="FC131" s="146"/>
      <c r="FD131" s="146"/>
      <c r="FE131" s="146"/>
      <c r="FF131" s="146"/>
      <c r="FG131" s="146"/>
      <c r="FH131" s="146"/>
      <c r="FI131" s="146"/>
      <c r="FJ131" s="146"/>
      <c r="FK131" s="146"/>
      <c r="FL131" s="146"/>
      <c r="FM131" s="146"/>
      <c r="FN131" s="146"/>
      <c r="FO131" s="146"/>
      <c r="FP131" s="146"/>
      <c r="FQ131" s="146"/>
      <c r="FR131" s="146"/>
      <c r="FS131" s="146"/>
      <c r="FT131" s="146"/>
      <c r="FU131" s="146"/>
      <c r="FV131" s="146"/>
      <c r="FW131" s="146"/>
      <c r="FX131" s="146"/>
      <c r="FY131" s="146"/>
      <c r="FZ131" s="146"/>
      <c r="GA131" s="146"/>
      <c r="GB131" s="146"/>
      <c r="GC131" s="146"/>
      <c r="GD131" s="146"/>
      <c r="GE131" s="146"/>
      <c r="GF131" s="146"/>
      <c r="GG131" s="146"/>
      <c r="GH131" s="146"/>
      <c r="GI131" s="146"/>
      <c r="GJ131" s="146"/>
      <c r="GK131" s="146"/>
      <c r="GL131" s="146"/>
      <c r="GM131" s="146"/>
      <c r="GN131" s="146"/>
      <c r="GO131" s="146"/>
      <c r="GP131" s="146"/>
      <c r="GQ131" s="146"/>
      <c r="GR131" s="146"/>
      <c r="GS131" s="146"/>
      <c r="GT131" s="146"/>
      <c r="GU131" s="146"/>
      <c r="GV131" s="146"/>
      <c r="GW131" s="146"/>
      <c r="GX131" s="146"/>
      <c r="GY131" s="146"/>
      <c r="GZ131" s="146"/>
      <c r="HA131" s="146"/>
      <c r="HB131" s="146"/>
      <c r="HC131" s="146"/>
      <c r="HD131" s="146"/>
      <c r="HE131" s="146"/>
      <c r="HF131" s="146"/>
      <c r="HG131" s="146"/>
      <c r="HH131" s="146"/>
      <c r="HI131" s="146"/>
      <c r="HJ131" s="146"/>
      <c r="HK131" s="146"/>
      <c r="HL131" s="146"/>
      <c r="HM131" s="146"/>
      <c r="HN131" s="146"/>
      <c r="HO131" s="146"/>
      <c r="HP131" s="146"/>
      <c r="HQ131" s="146"/>
      <c r="HR131" s="146"/>
      <c r="HS131" s="146"/>
      <c r="HT131" s="146"/>
      <c r="HU131" s="146"/>
      <c r="HV131" s="146"/>
      <c r="HW131" s="146"/>
      <c r="HX131" s="146"/>
      <c r="HY131" s="146"/>
      <c r="HZ131" s="146"/>
      <c r="IA131" s="146"/>
      <c r="IB131" s="146"/>
      <c r="IC131" s="146"/>
      <c r="ID131" s="146"/>
      <c r="IE131" s="146"/>
      <c r="IF131" s="146"/>
      <c r="IG131" s="146"/>
      <c r="IH131" s="146"/>
      <c r="II131" s="146"/>
      <c r="IJ131" s="146"/>
    </row>
    <row r="132" spans="2:253" x14ac:dyDescent="0.3">
      <c r="B132" s="145" t="s">
        <v>338</v>
      </c>
      <c r="C132" s="146"/>
      <c r="D132" s="146"/>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c r="AA132" s="154"/>
      <c r="AB132" s="154"/>
      <c r="AC132" s="154"/>
      <c r="AD132" s="154"/>
      <c r="AE132" s="154"/>
      <c r="AF132" s="146"/>
      <c r="AG132" s="146"/>
      <c r="AH132" s="155"/>
      <c r="AI132" s="155"/>
      <c r="AJ132" s="155"/>
      <c r="AK132" s="146"/>
      <c r="AL132" s="146"/>
      <c r="AM132" s="146"/>
      <c r="AN132" s="146"/>
      <c r="AO132" s="146"/>
      <c r="AP132" s="139"/>
      <c r="AQ132" s="139"/>
      <c r="AR132" s="139"/>
      <c r="AS132" s="139"/>
      <c r="AT132" s="139"/>
      <c r="AU132" s="139"/>
      <c r="AV132" s="139"/>
      <c r="AW132" s="139"/>
      <c r="AX132" s="139"/>
      <c r="AY132" s="139"/>
      <c r="AZ132" s="139"/>
      <c r="BA132" s="139"/>
      <c r="BB132" s="139"/>
      <c r="BC132" s="139"/>
      <c r="BD132" s="139"/>
      <c r="BE132" s="139"/>
      <c r="BF132" s="139"/>
      <c r="BG132" s="139"/>
      <c r="BH132" s="139"/>
      <c r="BI132" s="139"/>
      <c r="BJ132" s="139"/>
      <c r="BK132" s="139"/>
      <c r="BL132" s="139"/>
      <c r="BM132" s="139"/>
      <c r="BN132" s="139"/>
      <c r="BO132" s="139"/>
      <c r="BP132" s="139"/>
      <c r="BQ132" s="139"/>
      <c r="BR132" s="139"/>
      <c r="BS132" s="139"/>
      <c r="BT132" s="139"/>
      <c r="BU132" s="139"/>
      <c r="BV132" s="139"/>
      <c r="BW132" s="139"/>
      <c r="BX132" s="139"/>
      <c r="BY132" s="139"/>
      <c r="BZ132" s="139"/>
      <c r="CA132" s="139"/>
      <c r="CB132" s="139"/>
      <c r="CC132" s="139"/>
      <c r="CD132" s="139"/>
      <c r="CE132" s="139"/>
      <c r="CF132" s="139"/>
      <c r="CG132" s="139"/>
      <c r="CH132" s="139"/>
      <c r="CI132" s="139"/>
      <c r="CJ132" s="139"/>
      <c r="CK132" s="139"/>
      <c r="CL132" s="139"/>
      <c r="CM132" s="139"/>
      <c r="CN132" s="139"/>
      <c r="CO132" s="139"/>
      <c r="CP132" s="139"/>
      <c r="CQ132" s="139"/>
      <c r="CR132" s="139"/>
      <c r="CS132" s="139"/>
      <c r="CT132" s="139"/>
      <c r="CU132" s="139"/>
      <c r="CV132" s="139"/>
      <c r="CW132" s="139"/>
      <c r="CX132" s="139"/>
      <c r="CY132" s="139"/>
      <c r="CZ132" s="139"/>
      <c r="DA132" s="139"/>
      <c r="DB132" s="139"/>
      <c r="DC132" s="139"/>
      <c r="DD132" s="139"/>
      <c r="DE132" s="139"/>
      <c r="DF132" s="139"/>
      <c r="DG132" s="139"/>
      <c r="DH132" s="139"/>
      <c r="DI132" s="139"/>
      <c r="DJ132" s="139"/>
      <c r="DK132" s="139"/>
      <c r="DL132" s="139"/>
      <c r="DM132" s="139"/>
      <c r="DN132" s="139"/>
      <c r="DO132" s="139"/>
      <c r="DP132" s="139"/>
      <c r="DQ132" s="139"/>
      <c r="DR132" s="139"/>
      <c r="DS132" s="139"/>
      <c r="DT132" s="139"/>
      <c r="DU132" s="139"/>
      <c r="DV132" s="139"/>
      <c r="DW132" s="139"/>
      <c r="DX132" s="139"/>
      <c r="DY132" s="139"/>
      <c r="DZ132" s="139"/>
      <c r="EA132" s="139"/>
      <c r="EB132" s="139"/>
      <c r="EC132" s="139"/>
      <c r="ED132" s="139"/>
      <c r="EE132" s="139"/>
      <c r="EF132" s="139"/>
      <c r="EG132" s="139"/>
      <c r="EH132" s="139"/>
      <c r="EI132" s="139"/>
      <c r="EJ132" s="139"/>
      <c r="EK132" s="139"/>
      <c r="EL132" s="139"/>
      <c r="EM132" s="139"/>
      <c r="EN132" s="139"/>
      <c r="EO132" s="139"/>
      <c r="EP132" s="139"/>
      <c r="EQ132" s="139"/>
      <c r="ER132" s="139"/>
      <c r="ES132" s="139"/>
      <c r="ET132" s="139"/>
      <c r="EU132" s="139"/>
      <c r="EV132" s="139"/>
      <c r="EW132" s="139"/>
      <c r="EX132" s="139"/>
      <c r="EY132" s="139"/>
      <c r="EZ132" s="139"/>
      <c r="FA132" s="139"/>
      <c r="FB132" s="139"/>
      <c r="FC132" s="139"/>
      <c r="FD132" s="139"/>
      <c r="FE132" s="139"/>
      <c r="FF132" s="139"/>
      <c r="FG132" s="139"/>
      <c r="FH132" s="139"/>
      <c r="FI132" s="139"/>
      <c r="FJ132" s="139"/>
      <c r="FK132" s="139"/>
      <c r="FL132" s="139"/>
      <c r="FM132" s="139"/>
      <c r="FN132" s="139"/>
      <c r="FO132" s="139"/>
      <c r="FP132" s="139"/>
      <c r="FQ132" s="139"/>
      <c r="FR132" s="139"/>
      <c r="FS132" s="139"/>
      <c r="FT132" s="139"/>
      <c r="FU132" s="139"/>
      <c r="FV132" s="139"/>
      <c r="FW132" s="139"/>
      <c r="FX132" s="139"/>
      <c r="FY132" s="139"/>
      <c r="FZ132" s="139"/>
      <c r="GA132" s="139"/>
      <c r="GB132" s="139"/>
      <c r="GC132" s="139"/>
      <c r="GD132" s="139"/>
      <c r="GE132" s="139"/>
      <c r="GF132" s="139"/>
      <c r="GG132" s="139"/>
      <c r="GH132" s="139"/>
      <c r="GI132" s="139"/>
      <c r="GJ132" s="139"/>
      <c r="GK132" s="139"/>
      <c r="GL132" s="139"/>
      <c r="GM132" s="139"/>
      <c r="GN132" s="139"/>
      <c r="GO132" s="139"/>
      <c r="GP132" s="139"/>
      <c r="GQ132" s="139"/>
      <c r="GR132" s="139"/>
      <c r="GS132" s="139"/>
      <c r="GT132" s="139"/>
      <c r="GU132" s="139"/>
      <c r="GV132" s="139"/>
      <c r="GW132" s="139"/>
      <c r="GX132" s="139"/>
      <c r="GY132" s="139"/>
      <c r="GZ132" s="139"/>
      <c r="HA132" s="139"/>
      <c r="HB132" s="139"/>
      <c r="HC132" s="139"/>
      <c r="HD132" s="139"/>
      <c r="HE132" s="139"/>
      <c r="HF132" s="139"/>
      <c r="HG132" s="139"/>
      <c r="HH132" s="139"/>
      <c r="HI132" s="139"/>
      <c r="HJ132" s="139"/>
      <c r="HK132" s="139"/>
      <c r="HL132" s="139"/>
      <c r="HM132" s="139"/>
      <c r="HN132" s="139"/>
      <c r="HO132" s="139"/>
      <c r="HP132" s="139"/>
      <c r="HQ132" s="139"/>
      <c r="HR132" s="139"/>
      <c r="HS132" s="139"/>
      <c r="HT132" s="139"/>
      <c r="HU132" s="139"/>
      <c r="HV132" s="139"/>
      <c r="HW132" s="139"/>
      <c r="HX132" s="139"/>
      <c r="HY132" s="139"/>
      <c r="HZ132" s="139"/>
      <c r="IA132" s="139"/>
      <c r="IB132" s="139"/>
      <c r="IC132" s="139"/>
      <c r="ID132" s="139"/>
      <c r="IE132" s="139"/>
      <c r="IF132" s="139"/>
      <c r="IG132" s="139"/>
      <c r="IH132" s="139"/>
      <c r="II132" s="139"/>
      <c r="IJ132" s="139"/>
      <c r="IK132" s="139"/>
      <c r="IL132" s="139"/>
      <c r="IM132" s="139"/>
      <c r="IN132" s="139"/>
      <c r="IO132" s="139"/>
      <c r="IP132" s="139"/>
      <c r="IQ132" s="139"/>
      <c r="IR132" s="139"/>
      <c r="IS132" s="139"/>
    </row>
    <row r="133" spans="2:253" x14ac:dyDescent="0.3">
      <c r="B133" s="145"/>
      <c r="C133" s="146"/>
      <c r="D133" s="146"/>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c r="AA133" s="154"/>
      <c r="AB133" s="154"/>
      <c r="AC133" s="154"/>
      <c r="AD133" s="154"/>
      <c r="AE133" s="154"/>
      <c r="AF133" s="146"/>
      <c r="AG133" s="146"/>
      <c r="AH133" s="155"/>
      <c r="AI133" s="155"/>
      <c r="AJ133" s="155"/>
      <c r="AK133" s="146"/>
      <c r="AL133" s="146"/>
      <c r="AM133" s="146"/>
      <c r="AN133" s="146"/>
      <c r="AO133" s="146"/>
      <c r="AP133" s="139"/>
      <c r="AQ133" s="139"/>
      <c r="AR133" s="139"/>
      <c r="AS133" s="139"/>
      <c r="AT133" s="139"/>
      <c r="AU133" s="139"/>
      <c r="AV133" s="139"/>
      <c r="AW133" s="139"/>
      <c r="AX133" s="139"/>
      <c r="AY133" s="139"/>
      <c r="AZ133" s="139"/>
      <c r="BA133" s="139"/>
      <c r="BB133" s="139"/>
      <c r="BC133" s="139"/>
      <c r="BD133" s="139"/>
      <c r="BE133" s="139"/>
      <c r="BF133" s="139"/>
      <c r="BG133" s="139"/>
      <c r="BH133" s="139"/>
      <c r="BI133" s="139"/>
      <c r="BJ133" s="139"/>
      <c r="BK133" s="139"/>
      <c r="BL133" s="139"/>
      <c r="BM133" s="139"/>
      <c r="BN133" s="139"/>
      <c r="BO133" s="139"/>
      <c r="BP133" s="139"/>
      <c r="BQ133" s="139"/>
      <c r="BR133" s="139"/>
      <c r="BS133" s="139"/>
      <c r="BT133" s="139"/>
      <c r="BU133" s="139"/>
      <c r="BV133" s="139"/>
      <c r="BW133" s="139"/>
      <c r="BX133" s="139"/>
      <c r="BY133" s="139"/>
      <c r="BZ133" s="139"/>
      <c r="CA133" s="139"/>
      <c r="CB133" s="139"/>
      <c r="CC133" s="139"/>
      <c r="CD133" s="139"/>
      <c r="CE133" s="139"/>
      <c r="CF133" s="139"/>
      <c r="CG133" s="139"/>
      <c r="CH133" s="139"/>
      <c r="CI133" s="139"/>
      <c r="CJ133" s="139"/>
      <c r="CK133" s="139"/>
      <c r="CL133" s="139"/>
      <c r="CM133" s="139"/>
      <c r="CN133" s="139"/>
      <c r="CO133" s="139"/>
      <c r="CP133" s="139"/>
      <c r="CQ133" s="139"/>
      <c r="CR133" s="139"/>
      <c r="CS133" s="139"/>
      <c r="CT133" s="139"/>
      <c r="CU133" s="139"/>
      <c r="CV133" s="139"/>
      <c r="CW133" s="139"/>
      <c r="CX133" s="139"/>
      <c r="CY133" s="139"/>
      <c r="CZ133" s="139"/>
      <c r="DA133" s="139"/>
      <c r="DB133" s="139"/>
      <c r="DC133" s="139"/>
      <c r="DD133" s="139"/>
      <c r="DE133" s="139"/>
      <c r="DF133" s="139"/>
      <c r="DG133" s="139"/>
      <c r="DH133" s="139"/>
      <c r="DI133" s="139"/>
      <c r="DJ133" s="139"/>
      <c r="DK133" s="139"/>
      <c r="DL133" s="139"/>
      <c r="DM133" s="139"/>
      <c r="DN133" s="139"/>
      <c r="DO133" s="139"/>
      <c r="DP133" s="139"/>
      <c r="DQ133" s="139"/>
      <c r="DR133" s="139"/>
      <c r="DS133" s="139"/>
      <c r="DT133" s="139"/>
      <c r="DU133" s="139"/>
      <c r="DV133" s="139"/>
      <c r="DW133" s="139"/>
      <c r="DX133" s="139"/>
      <c r="DY133" s="139"/>
      <c r="DZ133" s="139"/>
      <c r="EA133" s="139"/>
      <c r="EB133" s="139"/>
      <c r="EC133" s="139"/>
      <c r="ED133" s="139"/>
      <c r="EE133" s="139"/>
      <c r="EF133" s="139"/>
      <c r="EG133" s="139"/>
      <c r="EH133" s="139"/>
      <c r="EI133" s="139"/>
      <c r="EJ133" s="139"/>
      <c r="EK133" s="139"/>
      <c r="EL133" s="139"/>
      <c r="EM133" s="139"/>
      <c r="EN133" s="139"/>
      <c r="EO133" s="139"/>
      <c r="EP133" s="139"/>
      <c r="EQ133" s="139"/>
      <c r="ER133" s="139"/>
      <c r="ES133" s="139"/>
      <c r="ET133" s="139"/>
      <c r="EU133" s="139"/>
      <c r="EV133" s="139"/>
      <c r="EW133" s="139"/>
      <c r="EX133" s="139"/>
      <c r="EY133" s="139"/>
      <c r="EZ133" s="139"/>
      <c r="FA133" s="139"/>
      <c r="FB133" s="139"/>
      <c r="FC133" s="139"/>
      <c r="FD133" s="139"/>
      <c r="FE133" s="139"/>
      <c r="FF133" s="139"/>
      <c r="FG133" s="139"/>
      <c r="FH133" s="139"/>
      <c r="FI133" s="139"/>
      <c r="FJ133" s="139"/>
      <c r="FK133" s="139"/>
      <c r="FL133" s="139"/>
      <c r="FM133" s="139"/>
      <c r="FN133" s="139"/>
      <c r="FO133" s="139"/>
      <c r="FP133" s="139"/>
      <c r="FQ133" s="139"/>
      <c r="FR133" s="139"/>
      <c r="FS133" s="139"/>
      <c r="FT133" s="139"/>
      <c r="FU133" s="139"/>
      <c r="FV133" s="139"/>
      <c r="FW133" s="139"/>
      <c r="FX133" s="139"/>
      <c r="FY133" s="139"/>
      <c r="FZ133" s="139"/>
      <c r="GA133" s="139"/>
      <c r="GB133" s="139"/>
      <c r="GC133" s="139"/>
      <c r="GD133" s="139"/>
      <c r="GE133" s="139"/>
      <c r="GF133" s="139"/>
      <c r="GG133" s="139"/>
      <c r="GH133" s="139"/>
      <c r="GI133" s="139"/>
      <c r="GJ133" s="139"/>
      <c r="GK133" s="139"/>
      <c r="GL133" s="139"/>
      <c r="GM133" s="139"/>
      <c r="GN133" s="139"/>
      <c r="GO133" s="139"/>
      <c r="GP133" s="139"/>
      <c r="GQ133" s="139"/>
      <c r="GR133" s="139"/>
      <c r="GS133" s="139"/>
      <c r="GT133" s="139"/>
      <c r="GU133" s="139"/>
      <c r="GV133" s="139"/>
      <c r="GW133" s="139"/>
      <c r="GX133" s="139"/>
      <c r="GY133" s="139"/>
      <c r="GZ133" s="139"/>
      <c r="HA133" s="139"/>
      <c r="HB133" s="139"/>
      <c r="HC133" s="139"/>
      <c r="HD133" s="139"/>
      <c r="HE133" s="139"/>
      <c r="HF133" s="139"/>
      <c r="HG133" s="139"/>
      <c r="HH133" s="139"/>
      <c r="HI133" s="139"/>
      <c r="HJ133" s="139"/>
      <c r="HK133" s="139"/>
      <c r="HL133" s="139"/>
      <c r="HM133" s="139"/>
      <c r="HN133" s="139"/>
      <c r="HO133" s="139"/>
      <c r="HP133" s="139"/>
      <c r="HQ133" s="139"/>
      <c r="HR133" s="139"/>
      <c r="HS133" s="139"/>
      <c r="HT133" s="139"/>
      <c r="HU133" s="139"/>
      <c r="HV133" s="139"/>
      <c r="HW133" s="139"/>
      <c r="HX133" s="139"/>
      <c r="HY133" s="139"/>
      <c r="HZ133" s="139"/>
      <c r="IA133" s="139"/>
      <c r="IB133" s="139"/>
      <c r="IC133" s="139"/>
      <c r="ID133" s="139"/>
      <c r="IE133" s="139"/>
      <c r="IF133" s="139"/>
      <c r="IG133" s="139"/>
      <c r="IH133" s="139"/>
      <c r="II133" s="139"/>
      <c r="IJ133" s="139"/>
      <c r="IK133" s="139"/>
      <c r="IL133" s="139"/>
      <c r="IM133" s="139"/>
      <c r="IN133" s="139"/>
      <c r="IO133" s="139"/>
      <c r="IP133" s="139"/>
      <c r="IQ133" s="139"/>
      <c r="IR133" s="139"/>
      <c r="IS133" s="139"/>
    </row>
    <row r="134" spans="2:253" ht="21" x14ac:dyDescent="0.3">
      <c r="B134" s="567" t="s">
        <v>339</v>
      </c>
      <c r="D134" s="139"/>
      <c r="E134" s="139"/>
      <c r="F134" s="139"/>
      <c r="G134" s="144"/>
      <c r="H134" s="139"/>
      <c r="I134" s="139"/>
      <c r="J134" s="139"/>
      <c r="K134" s="139"/>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139"/>
      <c r="AH134" s="139"/>
      <c r="AI134" s="139"/>
      <c r="AJ134" s="139"/>
      <c r="AK134" s="142"/>
      <c r="AL134" s="139"/>
      <c r="AM134" s="139"/>
      <c r="AN134" s="139"/>
      <c r="AO134" s="139"/>
      <c r="AP134" s="139"/>
      <c r="AQ134" s="139"/>
      <c r="AR134" s="139"/>
      <c r="AS134" s="139"/>
      <c r="AT134" s="139"/>
      <c r="AU134" s="139"/>
      <c r="AV134" s="139"/>
      <c r="AW134" s="139"/>
      <c r="AX134" s="139"/>
      <c r="AY134" s="139"/>
      <c r="AZ134" s="139"/>
      <c r="BA134" s="139"/>
      <c r="BB134" s="139"/>
      <c r="BC134" s="139"/>
      <c r="BD134" s="139"/>
      <c r="BE134" s="139"/>
      <c r="BF134" s="139"/>
      <c r="BG134" s="139"/>
      <c r="BH134" s="139"/>
      <c r="BI134" s="139"/>
      <c r="BJ134" s="139"/>
      <c r="BK134" s="139"/>
      <c r="BL134" s="139"/>
      <c r="BM134" s="139"/>
      <c r="BN134" s="139"/>
      <c r="BO134" s="139"/>
      <c r="BP134" s="139"/>
      <c r="BQ134" s="139"/>
      <c r="BR134" s="139"/>
      <c r="BS134" s="139"/>
      <c r="BT134" s="139"/>
      <c r="BU134" s="139"/>
      <c r="BV134" s="139"/>
      <c r="BW134" s="139"/>
      <c r="BX134" s="139"/>
      <c r="BY134" s="139"/>
      <c r="BZ134" s="139"/>
      <c r="CA134" s="139"/>
      <c r="CB134" s="139"/>
      <c r="CC134" s="139"/>
      <c r="CD134" s="139"/>
      <c r="CE134" s="139"/>
      <c r="CF134" s="139"/>
      <c r="CG134" s="139"/>
      <c r="CH134" s="139"/>
      <c r="CI134" s="139"/>
      <c r="CJ134" s="139"/>
      <c r="CK134" s="139"/>
      <c r="CL134" s="139"/>
      <c r="CM134" s="139"/>
      <c r="CN134" s="139"/>
      <c r="CO134" s="139"/>
      <c r="CP134" s="139"/>
      <c r="CQ134" s="139"/>
      <c r="CR134" s="139"/>
      <c r="CS134" s="139"/>
      <c r="CT134" s="139"/>
      <c r="CU134" s="139"/>
      <c r="CV134" s="139"/>
      <c r="CW134" s="139"/>
      <c r="CX134" s="139"/>
      <c r="CY134" s="139"/>
      <c r="CZ134" s="139"/>
      <c r="DA134" s="139"/>
      <c r="DB134" s="139"/>
      <c r="DC134" s="139"/>
      <c r="DD134" s="139"/>
      <c r="DE134" s="139"/>
      <c r="DF134" s="139"/>
      <c r="DG134" s="139"/>
      <c r="DH134" s="139"/>
      <c r="DI134" s="139"/>
      <c r="DJ134" s="139"/>
      <c r="DK134" s="139"/>
      <c r="DL134" s="139"/>
      <c r="DM134" s="139"/>
      <c r="DN134" s="139"/>
      <c r="DO134" s="139"/>
      <c r="DP134" s="139"/>
      <c r="DQ134" s="139"/>
      <c r="DR134" s="139"/>
      <c r="DS134" s="139"/>
      <c r="DT134" s="139"/>
      <c r="DU134" s="139"/>
      <c r="DV134" s="139"/>
      <c r="DW134" s="139"/>
      <c r="DX134" s="139"/>
      <c r="DY134" s="139"/>
      <c r="DZ134" s="139"/>
      <c r="EA134" s="139"/>
      <c r="EB134" s="139"/>
      <c r="EC134" s="139"/>
      <c r="ED134" s="139"/>
      <c r="EE134" s="139"/>
      <c r="EF134" s="139"/>
      <c r="EG134" s="139"/>
      <c r="EH134" s="139"/>
      <c r="EI134" s="139"/>
      <c r="EJ134" s="139"/>
      <c r="EK134" s="139"/>
      <c r="EL134" s="139"/>
      <c r="EM134" s="139"/>
      <c r="EN134" s="139"/>
      <c r="EO134" s="139"/>
      <c r="EP134" s="139"/>
      <c r="EQ134" s="139"/>
      <c r="ER134" s="139"/>
      <c r="ES134" s="139"/>
      <c r="ET134" s="139"/>
      <c r="EU134" s="139"/>
      <c r="EV134" s="139"/>
      <c r="EW134" s="139"/>
      <c r="EX134" s="139"/>
      <c r="EY134" s="139"/>
      <c r="EZ134" s="139"/>
      <c r="FA134" s="139"/>
      <c r="FB134" s="139"/>
      <c r="FC134" s="139"/>
      <c r="FD134" s="139"/>
      <c r="FE134" s="139"/>
      <c r="FF134" s="139"/>
      <c r="FG134" s="139"/>
      <c r="FH134" s="139"/>
      <c r="FI134" s="139"/>
      <c r="FJ134" s="139"/>
      <c r="FK134" s="139"/>
      <c r="FL134" s="139"/>
      <c r="FM134" s="139"/>
      <c r="FN134" s="139"/>
      <c r="FO134" s="139"/>
      <c r="FP134" s="139"/>
      <c r="FQ134" s="139"/>
      <c r="FR134" s="139"/>
      <c r="FS134" s="139"/>
      <c r="FT134" s="139"/>
      <c r="FU134" s="139"/>
      <c r="FV134" s="139"/>
      <c r="FW134" s="139"/>
      <c r="FX134" s="139"/>
      <c r="FY134" s="139"/>
      <c r="FZ134" s="139"/>
      <c r="GA134" s="139"/>
      <c r="GB134" s="139"/>
      <c r="GC134" s="139"/>
      <c r="GD134" s="139"/>
      <c r="GE134" s="139"/>
      <c r="GF134" s="139"/>
      <c r="GG134" s="139"/>
      <c r="GH134" s="139"/>
      <c r="GI134" s="139"/>
      <c r="GJ134" s="139"/>
      <c r="GK134" s="139"/>
      <c r="GL134" s="139"/>
      <c r="GM134" s="139"/>
      <c r="GN134" s="139"/>
      <c r="GO134" s="139"/>
      <c r="GP134" s="139"/>
      <c r="GQ134" s="139"/>
      <c r="GR134" s="139"/>
      <c r="GS134" s="139"/>
      <c r="GT134" s="139"/>
      <c r="GU134" s="139"/>
      <c r="GV134" s="139"/>
      <c r="GW134" s="139"/>
      <c r="GX134" s="139"/>
      <c r="GY134" s="139"/>
      <c r="GZ134" s="139"/>
      <c r="HA134" s="139"/>
      <c r="HB134" s="139"/>
      <c r="HC134" s="139"/>
      <c r="HD134" s="139"/>
      <c r="HE134" s="139"/>
      <c r="HF134" s="139"/>
      <c r="HG134" s="139"/>
      <c r="HH134" s="139"/>
      <c r="HI134" s="139"/>
      <c r="HJ134" s="139"/>
      <c r="HK134" s="139"/>
      <c r="HL134" s="139"/>
      <c r="HM134" s="139"/>
      <c r="HN134" s="139"/>
      <c r="HO134" s="139"/>
      <c r="HP134" s="139"/>
      <c r="HQ134" s="139"/>
      <c r="HR134" s="139"/>
      <c r="HS134" s="139"/>
      <c r="HT134" s="139"/>
      <c r="HU134" s="139"/>
      <c r="HV134" s="139"/>
      <c r="HW134" s="139"/>
      <c r="HX134" s="139"/>
      <c r="HY134" s="139"/>
      <c r="HZ134" s="139"/>
      <c r="IA134" s="139"/>
      <c r="IB134" s="139"/>
      <c r="IC134" s="139"/>
      <c r="ID134" s="139"/>
      <c r="IE134" s="139"/>
      <c r="IF134" s="139"/>
      <c r="IG134" s="139"/>
      <c r="IH134" s="139"/>
      <c r="II134" s="139"/>
      <c r="IJ134" s="139"/>
      <c r="IK134" s="139"/>
      <c r="IL134" s="139"/>
      <c r="IM134" s="139"/>
      <c r="IN134" s="139"/>
      <c r="IO134" s="139"/>
      <c r="IP134" s="139"/>
      <c r="IQ134" s="139"/>
      <c r="IR134" s="139"/>
      <c r="IS134" s="139"/>
    </row>
    <row r="135" spans="2:253" ht="15" thickBot="1" x14ac:dyDescent="0.35">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9"/>
      <c r="AB135" s="139"/>
      <c r="AC135" s="139"/>
      <c r="AD135" s="139"/>
      <c r="AE135" s="139"/>
      <c r="AF135" s="139"/>
      <c r="AG135" s="139"/>
      <c r="AH135" s="139"/>
      <c r="AI135" s="139"/>
      <c r="AJ135" s="139"/>
      <c r="AK135" s="139"/>
      <c r="AL135" s="139"/>
      <c r="AM135" s="139"/>
      <c r="AN135" s="139"/>
      <c r="AO135" s="139"/>
      <c r="AP135" s="139"/>
      <c r="AQ135" s="139"/>
      <c r="AR135" s="139"/>
      <c r="AS135" s="139"/>
      <c r="AT135" s="139"/>
      <c r="AU135" s="139"/>
      <c r="AV135" s="139"/>
      <c r="AW135" s="139"/>
      <c r="AX135" s="139"/>
      <c r="AY135" s="139"/>
      <c r="AZ135" s="139"/>
      <c r="BA135" s="139"/>
      <c r="BB135" s="139"/>
      <c r="BC135" s="139"/>
      <c r="BD135" s="139"/>
      <c r="BE135" s="139"/>
      <c r="BF135" s="139"/>
      <c r="BG135" s="139"/>
      <c r="BH135" s="139"/>
      <c r="BI135" s="139"/>
      <c r="BJ135" s="139"/>
      <c r="BK135" s="139"/>
      <c r="BL135" s="139"/>
      <c r="BM135" s="139"/>
      <c r="BN135" s="139"/>
      <c r="BO135" s="139"/>
      <c r="BP135" s="139"/>
      <c r="BQ135" s="139"/>
      <c r="BR135" s="139"/>
      <c r="BS135" s="139"/>
      <c r="BT135" s="139"/>
      <c r="BU135" s="139"/>
      <c r="BV135" s="139"/>
      <c r="BW135" s="139"/>
      <c r="BX135" s="139"/>
      <c r="BY135" s="139"/>
      <c r="BZ135" s="139"/>
      <c r="CA135" s="139"/>
      <c r="CB135" s="139"/>
      <c r="CC135" s="139"/>
      <c r="CD135" s="139"/>
      <c r="CE135" s="139"/>
      <c r="CF135" s="139"/>
      <c r="CG135" s="139"/>
      <c r="CH135" s="139"/>
      <c r="CI135" s="139"/>
      <c r="CJ135" s="139"/>
      <c r="CK135" s="139"/>
      <c r="CL135" s="139"/>
      <c r="CM135" s="139"/>
      <c r="CN135" s="139"/>
      <c r="CO135" s="139"/>
      <c r="CP135" s="139"/>
      <c r="CQ135" s="139"/>
      <c r="CR135" s="139"/>
      <c r="CS135" s="139"/>
      <c r="CT135" s="139"/>
      <c r="CU135" s="139"/>
      <c r="CV135" s="139"/>
      <c r="CW135" s="139"/>
      <c r="CX135" s="139"/>
      <c r="CY135" s="139"/>
      <c r="CZ135" s="139"/>
      <c r="DA135" s="139"/>
      <c r="DB135" s="139"/>
      <c r="DC135" s="139"/>
      <c r="DD135" s="139"/>
      <c r="DE135" s="139"/>
      <c r="DF135" s="139"/>
      <c r="DG135" s="139"/>
      <c r="DH135" s="139"/>
      <c r="DI135" s="139"/>
      <c r="DJ135" s="139"/>
      <c r="DK135" s="139"/>
      <c r="DL135" s="139"/>
      <c r="DM135" s="139"/>
      <c r="DN135" s="139"/>
      <c r="DO135" s="139"/>
      <c r="DP135" s="139"/>
      <c r="DQ135" s="139"/>
      <c r="DR135" s="139"/>
      <c r="DS135" s="139"/>
      <c r="DT135" s="139"/>
      <c r="DU135" s="139"/>
      <c r="DV135" s="139"/>
      <c r="DW135" s="139"/>
      <c r="DX135" s="139"/>
      <c r="DY135" s="139"/>
      <c r="DZ135" s="139"/>
      <c r="EA135" s="139"/>
      <c r="EB135" s="139"/>
      <c r="EC135" s="139"/>
      <c r="ED135" s="139"/>
      <c r="EE135" s="139"/>
      <c r="EF135" s="139"/>
      <c r="EG135" s="139"/>
      <c r="EH135" s="139"/>
      <c r="EI135" s="139"/>
      <c r="EJ135" s="139"/>
      <c r="EK135" s="139"/>
      <c r="EL135" s="139"/>
      <c r="EM135" s="139"/>
      <c r="EN135" s="139"/>
      <c r="EO135" s="139"/>
      <c r="EP135" s="139"/>
      <c r="EQ135" s="139"/>
      <c r="ER135" s="139"/>
      <c r="ES135" s="139"/>
      <c r="ET135" s="139"/>
      <c r="EU135" s="139"/>
      <c r="EV135" s="139"/>
      <c r="EW135" s="139"/>
      <c r="EX135" s="139"/>
      <c r="EY135" s="139"/>
      <c r="EZ135" s="139"/>
      <c r="FA135" s="139"/>
      <c r="FB135" s="139"/>
      <c r="FC135" s="139"/>
      <c r="FD135" s="139"/>
      <c r="FE135" s="139"/>
      <c r="FF135" s="139"/>
      <c r="FG135" s="139"/>
      <c r="FH135" s="139"/>
      <c r="FI135" s="139"/>
      <c r="FJ135" s="139"/>
      <c r="FK135" s="139"/>
      <c r="FL135" s="139"/>
      <c r="FM135" s="139"/>
      <c r="FN135" s="139"/>
      <c r="FO135" s="139"/>
      <c r="FP135" s="139"/>
      <c r="FQ135" s="139"/>
      <c r="FR135" s="139"/>
      <c r="FS135" s="139"/>
      <c r="FT135" s="139"/>
      <c r="FU135" s="139"/>
      <c r="FV135" s="139"/>
      <c r="FW135" s="139"/>
      <c r="FX135" s="139"/>
      <c r="FY135" s="139"/>
      <c r="FZ135" s="139"/>
      <c r="GA135" s="139"/>
      <c r="GB135" s="139"/>
      <c r="GC135" s="139"/>
      <c r="GD135" s="139"/>
      <c r="GE135" s="139"/>
      <c r="GF135" s="139"/>
      <c r="GG135" s="139"/>
      <c r="GH135" s="139"/>
      <c r="GI135" s="139"/>
      <c r="GJ135" s="139"/>
      <c r="GK135" s="139"/>
      <c r="GL135" s="139"/>
      <c r="GM135" s="139"/>
      <c r="GN135" s="139"/>
      <c r="GO135" s="139"/>
      <c r="GP135" s="139"/>
      <c r="GQ135" s="139"/>
      <c r="GR135" s="139"/>
      <c r="GS135" s="139"/>
      <c r="GT135" s="139"/>
      <c r="GU135" s="139"/>
      <c r="GV135" s="139"/>
      <c r="GW135" s="139"/>
      <c r="GX135" s="139"/>
      <c r="GY135" s="139"/>
      <c r="GZ135" s="139"/>
      <c r="HA135" s="139"/>
      <c r="HB135" s="139"/>
      <c r="HC135" s="139"/>
      <c r="HD135" s="139"/>
      <c r="HE135" s="139"/>
      <c r="HF135" s="139"/>
      <c r="HG135" s="139"/>
      <c r="HH135" s="139"/>
      <c r="HI135" s="139"/>
      <c r="HJ135" s="139"/>
      <c r="HK135" s="139"/>
      <c r="HL135" s="139"/>
      <c r="HM135" s="139"/>
      <c r="HN135" s="139"/>
      <c r="HO135" s="139"/>
      <c r="HP135" s="139"/>
      <c r="HQ135" s="139"/>
      <c r="HR135" s="139"/>
      <c r="HS135" s="139"/>
      <c r="HT135" s="139"/>
      <c r="HU135" s="139"/>
      <c r="HV135" s="139"/>
      <c r="HW135" s="139"/>
      <c r="HX135" s="139"/>
      <c r="HY135" s="139"/>
      <c r="HZ135" s="139"/>
      <c r="IA135" s="139"/>
      <c r="IB135" s="139"/>
      <c r="IC135" s="139"/>
      <c r="ID135" s="139"/>
      <c r="IE135" s="139"/>
      <c r="IF135" s="139"/>
      <c r="IG135" s="139"/>
      <c r="IH135" s="139"/>
      <c r="II135" s="139"/>
      <c r="IJ135" s="139"/>
      <c r="IK135" s="139"/>
      <c r="IL135" s="139"/>
      <c r="IM135" s="139"/>
      <c r="IN135" s="139"/>
      <c r="IO135" s="139"/>
      <c r="IP135" s="139"/>
      <c r="IQ135" s="139"/>
      <c r="IR135" s="139"/>
      <c r="IS135" s="139"/>
    </row>
    <row r="136" spans="2:253" x14ac:dyDescent="0.3">
      <c r="B136" s="272" t="s">
        <v>199</v>
      </c>
      <c r="C136" s="245" t="s">
        <v>200</v>
      </c>
      <c r="D136" s="1317" t="s">
        <v>51</v>
      </c>
      <c r="E136" s="1318"/>
      <c r="F136" s="1318"/>
      <c r="G136" s="1318"/>
      <c r="H136" s="1318"/>
      <c r="I136" s="1318"/>
      <c r="J136" s="1318"/>
      <c r="K136" s="1319"/>
      <c r="L136" s="1346" t="s">
        <v>96</v>
      </c>
      <c r="M136" s="1347"/>
      <c r="N136" s="139"/>
      <c r="O136" s="139"/>
      <c r="P136" s="139"/>
      <c r="Q136" s="139"/>
      <c r="R136" s="139"/>
      <c r="S136" s="139"/>
      <c r="T136" s="139"/>
      <c r="U136" s="139"/>
      <c r="V136" s="139"/>
      <c r="W136" s="139"/>
      <c r="X136" s="139"/>
      <c r="Y136" s="139"/>
      <c r="Z136" s="139"/>
      <c r="AA136" s="139"/>
      <c r="AB136" s="139"/>
      <c r="AC136" s="139"/>
      <c r="AD136" s="139"/>
      <c r="AE136" s="139"/>
      <c r="AF136" s="139"/>
      <c r="AG136" s="139"/>
      <c r="AH136" s="139"/>
      <c r="AI136" s="139"/>
      <c r="AJ136" s="139"/>
      <c r="AK136" s="139"/>
      <c r="AL136" s="139"/>
      <c r="AM136" s="139"/>
      <c r="AN136" s="139"/>
      <c r="AO136" s="139"/>
      <c r="AP136" s="139"/>
      <c r="AQ136" s="139"/>
      <c r="AR136" s="139"/>
      <c r="AS136" s="139"/>
      <c r="AT136" s="139"/>
      <c r="AU136" s="139"/>
      <c r="AV136" s="139"/>
      <c r="AW136" s="139"/>
      <c r="AX136" s="139"/>
      <c r="AY136" s="139"/>
      <c r="AZ136" s="139"/>
      <c r="BA136" s="139"/>
      <c r="BB136" s="139"/>
      <c r="BC136" s="139"/>
      <c r="BD136" s="139"/>
      <c r="BE136" s="139"/>
      <c r="BF136" s="139"/>
      <c r="BG136" s="139"/>
      <c r="BH136" s="139"/>
      <c r="BI136" s="139"/>
      <c r="BJ136" s="139"/>
      <c r="BK136" s="139"/>
      <c r="BL136" s="139"/>
      <c r="BM136" s="139"/>
      <c r="BN136" s="139"/>
      <c r="BO136" s="139"/>
      <c r="BP136" s="139"/>
      <c r="BQ136" s="139"/>
      <c r="BR136" s="139"/>
      <c r="BS136" s="139"/>
      <c r="BT136" s="139"/>
      <c r="BU136" s="139"/>
      <c r="BV136" s="139"/>
      <c r="BW136" s="139"/>
      <c r="BX136" s="139"/>
      <c r="BY136" s="139"/>
      <c r="BZ136" s="139"/>
      <c r="CA136" s="139"/>
      <c r="CB136" s="139"/>
      <c r="CC136" s="139"/>
      <c r="CD136" s="139"/>
      <c r="CE136" s="139"/>
      <c r="CF136" s="139"/>
      <c r="CG136" s="139"/>
      <c r="CH136" s="139"/>
      <c r="CI136" s="139"/>
      <c r="CJ136" s="139"/>
      <c r="CK136" s="139"/>
      <c r="CL136" s="139"/>
      <c r="CM136" s="139"/>
      <c r="CN136" s="139"/>
      <c r="CO136" s="139"/>
      <c r="CP136" s="139"/>
      <c r="CQ136" s="139"/>
      <c r="CR136" s="139"/>
      <c r="CS136" s="139"/>
      <c r="CT136" s="139"/>
      <c r="CU136" s="139"/>
      <c r="CV136" s="139"/>
      <c r="CW136" s="139"/>
      <c r="CX136" s="139"/>
      <c r="CY136" s="139"/>
      <c r="CZ136" s="139"/>
      <c r="DA136" s="139"/>
      <c r="DB136" s="139"/>
      <c r="DC136" s="139"/>
      <c r="DD136" s="139"/>
      <c r="DE136" s="139"/>
      <c r="DF136" s="139"/>
      <c r="DG136" s="139"/>
      <c r="DH136" s="139"/>
      <c r="DI136" s="139"/>
      <c r="DJ136" s="139"/>
      <c r="DK136" s="139"/>
      <c r="DL136" s="139"/>
      <c r="DM136" s="139"/>
      <c r="DN136" s="139"/>
      <c r="DO136" s="139"/>
      <c r="DP136" s="139"/>
      <c r="DQ136" s="139"/>
      <c r="DR136" s="139"/>
      <c r="DS136" s="139"/>
      <c r="DT136" s="139"/>
      <c r="DU136" s="139"/>
      <c r="DV136" s="139"/>
      <c r="DW136" s="139"/>
      <c r="DX136" s="139"/>
      <c r="DY136" s="139"/>
      <c r="DZ136" s="139"/>
      <c r="EA136" s="139"/>
      <c r="EB136" s="139"/>
      <c r="EC136" s="139"/>
      <c r="ED136" s="139"/>
      <c r="EE136" s="139"/>
      <c r="EF136" s="139"/>
      <c r="EG136" s="139"/>
      <c r="EH136" s="139"/>
      <c r="EI136" s="139"/>
      <c r="EJ136" s="139"/>
      <c r="EK136" s="139"/>
      <c r="EL136" s="139"/>
      <c r="EM136" s="139"/>
      <c r="EN136" s="139"/>
      <c r="EO136" s="139"/>
      <c r="EP136" s="139"/>
      <c r="EQ136" s="139"/>
      <c r="ER136" s="139"/>
      <c r="ES136" s="139"/>
      <c r="ET136" s="139"/>
      <c r="EU136" s="139"/>
      <c r="EV136" s="139"/>
      <c r="EW136" s="139"/>
      <c r="EX136" s="139"/>
      <c r="EY136" s="139"/>
      <c r="EZ136" s="139"/>
      <c r="FA136" s="139"/>
      <c r="FB136" s="139"/>
      <c r="FC136" s="139"/>
      <c r="FD136" s="139"/>
      <c r="FE136" s="139"/>
      <c r="FF136" s="139"/>
      <c r="FG136" s="139"/>
      <c r="FH136" s="139"/>
      <c r="FI136" s="139"/>
      <c r="FJ136" s="139"/>
      <c r="FK136" s="139"/>
      <c r="FL136" s="139"/>
      <c r="FM136" s="139"/>
      <c r="FN136" s="139"/>
      <c r="FO136" s="139"/>
      <c r="FP136" s="139"/>
      <c r="FQ136" s="139"/>
      <c r="FR136" s="139"/>
      <c r="FS136" s="139"/>
      <c r="FT136" s="139"/>
      <c r="FU136" s="139"/>
      <c r="FV136" s="139"/>
      <c r="FW136" s="139"/>
      <c r="FX136" s="139"/>
      <c r="FY136" s="139"/>
      <c r="FZ136" s="139"/>
      <c r="GA136" s="139"/>
      <c r="GB136" s="139"/>
      <c r="GC136" s="139"/>
      <c r="GD136" s="139"/>
      <c r="GE136" s="139"/>
      <c r="GF136" s="139"/>
      <c r="GG136" s="139"/>
      <c r="GH136" s="139"/>
      <c r="GI136" s="139"/>
      <c r="GJ136" s="139"/>
      <c r="GK136" s="139"/>
      <c r="GL136" s="139"/>
      <c r="GM136" s="139"/>
      <c r="GN136" s="139"/>
      <c r="GO136" s="139"/>
      <c r="GP136" s="139"/>
      <c r="GQ136" s="139"/>
      <c r="GR136" s="139"/>
      <c r="GS136" s="139"/>
      <c r="GT136" s="139"/>
      <c r="GU136" s="139"/>
      <c r="GV136" s="139"/>
      <c r="GW136" s="139"/>
      <c r="GX136" s="139"/>
      <c r="GY136" s="139"/>
      <c r="GZ136" s="139"/>
      <c r="HA136" s="139"/>
      <c r="HB136" s="139"/>
      <c r="HC136" s="139"/>
      <c r="HD136" s="139"/>
      <c r="HE136" s="139"/>
      <c r="HF136" s="139"/>
      <c r="HG136" s="139"/>
      <c r="HH136" s="139"/>
      <c r="HI136" s="139"/>
      <c r="HJ136" s="139"/>
      <c r="HK136" s="139"/>
      <c r="HL136" s="139"/>
      <c r="HM136" s="139"/>
      <c r="HN136" s="139"/>
      <c r="HO136" s="139"/>
      <c r="HP136" s="139"/>
      <c r="HQ136" s="139"/>
      <c r="HR136" s="139"/>
      <c r="HS136" s="139"/>
      <c r="HT136" s="139"/>
      <c r="HU136" s="139"/>
      <c r="HV136" s="139"/>
      <c r="HW136" s="139"/>
      <c r="HX136" s="139"/>
      <c r="HY136" s="139"/>
      <c r="HZ136" s="139"/>
      <c r="IA136" s="139"/>
      <c r="IB136" s="139"/>
      <c r="IC136" s="139"/>
      <c r="ID136" s="139"/>
      <c r="IE136" s="139"/>
      <c r="IF136" s="139"/>
      <c r="IG136" s="139"/>
      <c r="IH136" s="139"/>
      <c r="II136" s="139"/>
      <c r="IJ136" s="139"/>
      <c r="IK136" s="139"/>
      <c r="IL136" s="139"/>
      <c r="IM136" s="139"/>
      <c r="IN136" s="139"/>
      <c r="IO136" s="139"/>
      <c r="IP136" s="139"/>
      <c r="IQ136" s="139"/>
      <c r="IR136" s="139"/>
    </row>
    <row r="137" spans="2:253" x14ac:dyDescent="0.3">
      <c r="B137" s="2"/>
      <c r="C137" s="911"/>
      <c r="D137" s="1342" t="s">
        <v>256</v>
      </c>
      <c r="E137" s="1323"/>
      <c r="F137" s="1323"/>
      <c r="G137" s="1343"/>
      <c r="H137" s="1342" t="s">
        <v>340</v>
      </c>
      <c r="I137" s="1323"/>
      <c r="J137" s="1323"/>
      <c r="K137" s="1324"/>
      <c r="L137" s="1348"/>
      <c r="M137" s="1349"/>
      <c r="N137" s="139"/>
      <c r="O137" s="139"/>
      <c r="P137" s="139"/>
      <c r="Q137" s="139"/>
      <c r="R137" s="139"/>
      <c r="S137" s="139"/>
      <c r="T137" s="139"/>
      <c r="U137" s="139"/>
      <c r="V137" s="139"/>
      <c r="W137" s="139"/>
      <c r="X137" s="139"/>
      <c r="Y137" s="139"/>
      <c r="Z137" s="139"/>
      <c r="AA137" s="139"/>
      <c r="AB137" s="139"/>
      <c r="AC137" s="139"/>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c r="AZ137" s="139"/>
      <c r="BA137" s="139"/>
      <c r="BB137" s="139"/>
      <c r="BC137" s="139"/>
      <c r="BD137" s="139"/>
      <c r="BE137" s="139"/>
      <c r="BF137" s="139"/>
      <c r="BG137" s="139"/>
      <c r="BH137" s="139"/>
      <c r="BI137" s="139"/>
      <c r="BJ137" s="139"/>
      <c r="BK137" s="139"/>
      <c r="BL137" s="139"/>
      <c r="BM137" s="139"/>
      <c r="BN137" s="139"/>
      <c r="BO137" s="139"/>
      <c r="BP137" s="139"/>
      <c r="BQ137" s="139"/>
      <c r="BR137" s="139"/>
      <c r="BS137" s="139"/>
      <c r="BT137" s="139"/>
      <c r="BU137" s="139"/>
      <c r="BV137" s="139"/>
      <c r="BW137" s="139"/>
      <c r="BX137" s="139"/>
      <c r="BY137" s="139"/>
      <c r="BZ137" s="139"/>
      <c r="CA137" s="139"/>
      <c r="CB137" s="139"/>
      <c r="CC137" s="139"/>
      <c r="CD137" s="139"/>
      <c r="CE137" s="139"/>
      <c r="CF137" s="139"/>
      <c r="CG137" s="139"/>
      <c r="CH137" s="139"/>
      <c r="CI137" s="139"/>
      <c r="CJ137" s="139"/>
      <c r="CK137" s="139"/>
      <c r="CL137" s="139"/>
      <c r="CM137" s="139"/>
      <c r="CN137" s="139"/>
      <c r="CO137" s="139"/>
      <c r="CP137" s="139"/>
      <c r="CQ137" s="139"/>
      <c r="CR137" s="139"/>
      <c r="CS137" s="139"/>
      <c r="CT137" s="139"/>
      <c r="CU137" s="139"/>
      <c r="CV137" s="139"/>
      <c r="CW137" s="139"/>
      <c r="CX137" s="139"/>
      <c r="CY137" s="139"/>
      <c r="CZ137" s="139"/>
      <c r="DA137" s="139"/>
      <c r="DB137" s="139"/>
      <c r="DC137" s="139"/>
      <c r="DD137" s="139"/>
      <c r="DE137" s="139"/>
      <c r="DF137" s="139"/>
      <c r="DG137" s="139"/>
      <c r="DH137" s="139"/>
      <c r="DI137" s="139"/>
      <c r="DJ137" s="139"/>
      <c r="DK137" s="139"/>
      <c r="DL137" s="139"/>
      <c r="DM137" s="139"/>
      <c r="DN137" s="139"/>
      <c r="DO137" s="139"/>
      <c r="DP137" s="139"/>
      <c r="DQ137" s="139"/>
      <c r="DR137" s="139"/>
      <c r="DS137" s="139"/>
      <c r="DT137" s="139"/>
      <c r="DU137" s="139"/>
      <c r="DV137" s="139"/>
      <c r="DW137" s="139"/>
      <c r="DX137" s="139"/>
      <c r="DY137" s="139"/>
      <c r="DZ137" s="139"/>
      <c r="EA137" s="139"/>
      <c r="EB137" s="139"/>
      <c r="EC137" s="139"/>
      <c r="ED137" s="139"/>
      <c r="EE137" s="139"/>
      <c r="EF137" s="139"/>
      <c r="EG137" s="139"/>
      <c r="EH137" s="139"/>
      <c r="EI137" s="139"/>
      <c r="EJ137" s="139"/>
      <c r="EK137" s="139"/>
      <c r="EL137" s="139"/>
      <c r="EM137" s="139"/>
      <c r="EN137" s="139"/>
      <c r="EO137" s="139"/>
      <c r="EP137" s="139"/>
      <c r="EQ137" s="139"/>
      <c r="ER137" s="139"/>
      <c r="ES137" s="139"/>
      <c r="ET137" s="139"/>
      <c r="EU137" s="139"/>
      <c r="EV137" s="139"/>
      <c r="EW137" s="139"/>
      <c r="EX137" s="139"/>
      <c r="EY137" s="139"/>
      <c r="EZ137" s="139"/>
      <c r="FA137" s="139"/>
      <c r="FB137" s="139"/>
      <c r="FC137" s="139"/>
      <c r="FD137" s="139"/>
      <c r="FE137" s="139"/>
      <c r="FF137" s="139"/>
      <c r="FG137" s="139"/>
      <c r="FH137" s="139"/>
      <c r="FI137" s="139"/>
      <c r="FJ137" s="139"/>
      <c r="FK137" s="139"/>
      <c r="FL137" s="139"/>
      <c r="FM137" s="139"/>
      <c r="FN137" s="139"/>
      <c r="FO137" s="139"/>
      <c r="FP137" s="139"/>
      <c r="FQ137" s="139"/>
      <c r="FR137" s="139"/>
      <c r="FS137" s="139"/>
      <c r="FT137" s="139"/>
      <c r="FU137" s="139"/>
      <c r="FV137" s="139"/>
      <c r="FW137" s="139"/>
      <c r="FX137" s="139"/>
      <c r="FY137" s="139"/>
      <c r="FZ137" s="139"/>
      <c r="GA137" s="139"/>
      <c r="GB137" s="139"/>
      <c r="GC137" s="139"/>
      <c r="GD137" s="139"/>
      <c r="GE137" s="139"/>
      <c r="GF137" s="139"/>
      <c r="GG137" s="139"/>
      <c r="GH137" s="139"/>
      <c r="GI137" s="139"/>
      <c r="GJ137" s="139"/>
      <c r="GK137" s="139"/>
      <c r="GL137" s="139"/>
      <c r="GM137" s="139"/>
      <c r="GN137" s="139"/>
      <c r="GO137" s="139"/>
      <c r="GP137" s="139"/>
      <c r="GQ137" s="139"/>
      <c r="GR137" s="139"/>
      <c r="GS137" s="139"/>
      <c r="GT137" s="139"/>
      <c r="GU137" s="139"/>
      <c r="GV137" s="139"/>
      <c r="GW137" s="139"/>
      <c r="GX137" s="139"/>
      <c r="GY137" s="139"/>
      <c r="GZ137" s="139"/>
      <c r="HA137" s="139"/>
      <c r="HB137" s="139"/>
      <c r="HC137" s="139"/>
      <c r="HD137" s="139"/>
      <c r="HE137" s="139"/>
      <c r="HF137" s="139"/>
      <c r="HG137" s="139"/>
      <c r="HH137" s="139"/>
      <c r="HI137" s="139"/>
      <c r="HJ137" s="139"/>
      <c r="HK137" s="139"/>
      <c r="HL137" s="139"/>
      <c r="HM137" s="139"/>
      <c r="HN137" s="139"/>
      <c r="HO137" s="139"/>
      <c r="HP137" s="139"/>
      <c r="HQ137" s="139"/>
      <c r="HR137" s="139"/>
      <c r="HS137" s="139"/>
      <c r="HT137" s="139"/>
      <c r="HU137" s="139"/>
      <c r="HV137" s="139"/>
      <c r="HW137" s="139"/>
      <c r="HX137" s="139"/>
      <c r="HY137" s="139"/>
      <c r="HZ137" s="139"/>
      <c r="IA137" s="139"/>
      <c r="IB137" s="139"/>
      <c r="IC137" s="139"/>
      <c r="ID137" s="139"/>
      <c r="IE137" s="139"/>
      <c r="IF137" s="139"/>
      <c r="IG137" s="139"/>
      <c r="IH137" s="139"/>
      <c r="II137" s="139"/>
      <c r="IJ137" s="139"/>
      <c r="IK137" s="139"/>
      <c r="IL137" s="139"/>
      <c r="IM137" s="139"/>
      <c r="IN137" s="139"/>
      <c r="IO137" s="139"/>
      <c r="IP137" s="139"/>
      <c r="IQ137" s="139"/>
      <c r="IR137" s="139"/>
    </row>
    <row r="138" spans="2:253" ht="15.6" thickBot="1" x14ac:dyDescent="0.4">
      <c r="B138" s="3"/>
      <c r="C138" s="912"/>
      <c r="D138" s="914" t="s">
        <v>245</v>
      </c>
      <c r="E138" s="914" t="s">
        <v>341</v>
      </c>
      <c r="F138" s="914" t="s">
        <v>289</v>
      </c>
      <c r="G138" s="914" t="s">
        <v>290</v>
      </c>
      <c r="H138" s="914" t="s">
        <v>245</v>
      </c>
      <c r="I138" s="914" t="s">
        <v>341</v>
      </c>
      <c r="J138" s="914" t="s">
        <v>289</v>
      </c>
      <c r="K138" s="956" t="s">
        <v>290</v>
      </c>
      <c r="L138" s="929" t="s">
        <v>342</v>
      </c>
      <c r="M138" s="925" t="s">
        <v>291</v>
      </c>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39"/>
      <c r="BC138" s="139"/>
      <c r="BD138" s="139"/>
      <c r="BE138" s="139"/>
      <c r="BF138" s="139"/>
      <c r="BG138" s="139"/>
      <c r="BH138" s="139"/>
      <c r="BI138" s="139"/>
      <c r="BJ138" s="139"/>
      <c r="BK138" s="139"/>
      <c r="BL138" s="139"/>
      <c r="BM138" s="139"/>
      <c r="BN138" s="139"/>
      <c r="BO138" s="139"/>
      <c r="BP138" s="139"/>
      <c r="BQ138" s="139"/>
      <c r="BR138" s="139"/>
      <c r="BS138" s="139"/>
      <c r="BT138" s="139"/>
      <c r="BU138" s="139"/>
      <c r="BV138" s="139"/>
      <c r="BW138" s="139"/>
      <c r="BX138" s="139"/>
      <c r="BY138" s="139"/>
      <c r="BZ138" s="139"/>
      <c r="CA138" s="139"/>
      <c r="CB138" s="139"/>
      <c r="CC138" s="139"/>
      <c r="CD138" s="139"/>
      <c r="CE138" s="139"/>
      <c r="CF138" s="139"/>
      <c r="CG138" s="139"/>
      <c r="CH138" s="139"/>
      <c r="CI138" s="139"/>
      <c r="CJ138" s="139"/>
      <c r="CK138" s="139"/>
      <c r="CL138" s="139"/>
      <c r="CM138" s="139"/>
      <c r="CN138" s="139"/>
      <c r="CO138" s="139"/>
      <c r="CP138" s="139"/>
      <c r="CQ138" s="139"/>
      <c r="CR138" s="139"/>
      <c r="CS138" s="139"/>
      <c r="CT138" s="139"/>
      <c r="CU138" s="139"/>
      <c r="CV138" s="139"/>
      <c r="CW138" s="139"/>
      <c r="CX138" s="139"/>
      <c r="CY138" s="139"/>
      <c r="CZ138" s="139"/>
      <c r="DA138" s="139"/>
      <c r="DB138" s="139"/>
      <c r="DC138" s="139"/>
      <c r="DD138" s="139"/>
      <c r="DE138" s="139"/>
      <c r="DF138" s="139"/>
      <c r="DG138" s="139"/>
      <c r="DH138" s="139"/>
      <c r="DI138" s="139"/>
      <c r="DJ138" s="139"/>
      <c r="DK138" s="139"/>
      <c r="DL138" s="139"/>
      <c r="DM138" s="139"/>
      <c r="DN138" s="139"/>
      <c r="DO138" s="139"/>
      <c r="DP138" s="139"/>
      <c r="DQ138" s="139"/>
      <c r="DR138" s="139"/>
      <c r="DS138" s="139"/>
      <c r="DT138" s="139"/>
      <c r="DU138" s="139"/>
      <c r="DV138" s="139"/>
      <c r="DW138" s="139"/>
      <c r="DX138" s="139"/>
      <c r="DY138" s="139"/>
      <c r="DZ138" s="139"/>
      <c r="EA138" s="139"/>
      <c r="EB138" s="139"/>
      <c r="EC138" s="139"/>
      <c r="ED138" s="139"/>
      <c r="EE138" s="139"/>
      <c r="EF138" s="139"/>
      <c r="EG138" s="139"/>
      <c r="EH138" s="139"/>
      <c r="EI138" s="139"/>
      <c r="EJ138" s="139"/>
      <c r="EK138" s="139"/>
      <c r="EL138" s="139"/>
      <c r="EM138" s="139"/>
      <c r="EN138" s="139"/>
      <c r="EO138" s="139"/>
      <c r="EP138" s="139"/>
      <c r="EQ138" s="139"/>
      <c r="ER138" s="139"/>
      <c r="ES138" s="139"/>
      <c r="ET138" s="139"/>
      <c r="EU138" s="139"/>
      <c r="EV138" s="139"/>
      <c r="EW138" s="139"/>
      <c r="EX138" s="139"/>
      <c r="EY138" s="139"/>
      <c r="EZ138" s="139"/>
      <c r="FA138" s="139"/>
      <c r="FB138" s="139"/>
      <c r="FC138" s="139"/>
      <c r="FD138" s="139"/>
      <c r="FE138" s="139"/>
      <c r="FF138" s="139"/>
      <c r="FG138" s="139"/>
      <c r="FH138" s="139"/>
      <c r="FI138" s="139"/>
      <c r="FJ138" s="139"/>
      <c r="FK138" s="139"/>
      <c r="FL138" s="139"/>
      <c r="FM138" s="139"/>
      <c r="FN138" s="139"/>
      <c r="FO138" s="139"/>
      <c r="FP138" s="139"/>
      <c r="FQ138" s="139"/>
      <c r="FR138" s="139"/>
      <c r="FS138" s="139"/>
      <c r="FT138" s="139"/>
      <c r="FU138" s="139"/>
      <c r="FV138" s="139"/>
      <c r="FW138" s="139"/>
      <c r="FX138" s="139"/>
      <c r="FY138" s="139"/>
      <c r="FZ138" s="139"/>
      <c r="GA138" s="139"/>
      <c r="GB138" s="139"/>
      <c r="GC138" s="139"/>
      <c r="GD138" s="139"/>
      <c r="GE138" s="139"/>
      <c r="GF138" s="139"/>
      <c r="GG138" s="139"/>
      <c r="GH138" s="139"/>
      <c r="GI138" s="139"/>
      <c r="GJ138" s="139"/>
      <c r="GK138" s="139"/>
      <c r="GL138" s="139"/>
      <c r="GM138" s="139"/>
      <c r="GN138" s="139"/>
      <c r="GO138" s="139"/>
      <c r="GP138" s="139"/>
      <c r="GQ138" s="139"/>
      <c r="GR138" s="139"/>
      <c r="GS138" s="139"/>
      <c r="GT138" s="139"/>
      <c r="GU138" s="139"/>
      <c r="GV138" s="139"/>
      <c r="GW138" s="139"/>
      <c r="GX138" s="139"/>
      <c r="GY138" s="139"/>
      <c r="GZ138" s="139"/>
      <c r="HA138" s="139"/>
      <c r="HB138" s="139"/>
      <c r="HC138" s="139"/>
      <c r="HD138" s="139"/>
      <c r="HE138" s="139"/>
      <c r="HF138" s="139"/>
      <c r="HG138" s="139"/>
      <c r="HH138" s="139"/>
      <c r="HI138" s="139"/>
      <c r="HJ138" s="139"/>
      <c r="HK138" s="139"/>
      <c r="HL138" s="139"/>
      <c r="HM138" s="139"/>
      <c r="HN138" s="139"/>
      <c r="HO138" s="139"/>
      <c r="HP138" s="139"/>
      <c r="HQ138" s="139"/>
      <c r="HR138" s="139"/>
      <c r="HS138" s="139"/>
      <c r="HT138" s="139"/>
      <c r="HU138" s="139"/>
      <c r="HV138" s="139"/>
      <c r="HW138" s="139"/>
      <c r="HX138" s="139"/>
      <c r="HY138" s="139"/>
      <c r="HZ138" s="139"/>
      <c r="IA138" s="139"/>
      <c r="IB138" s="139"/>
      <c r="IC138" s="139"/>
      <c r="ID138" s="139"/>
      <c r="IE138" s="139"/>
      <c r="IF138" s="139"/>
      <c r="IG138" s="139"/>
      <c r="IH138" s="139"/>
      <c r="II138" s="139"/>
      <c r="IJ138" s="139"/>
      <c r="IK138" s="139"/>
      <c r="IL138" s="139"/>
      <c r="IM138" s="139"/>
      <c r="IN138" s="139"/>
      <c r="IO138" s="139"/>
      <c r="IP138" s="139"/>
      <c r="IQ138" s="139"/>
      <c r="IR138" s="139"/>
    </row>
    <row r="139" spans="2:253" x14ac:dyDescent="0.3">
      <c r="B139" s="5" t="s">
        <v>103</v>
      </c>
      <c r="C139" s="916" t="s">
        <v>206</v>
      </c>
      <c r="D139" s="957">
        <v>3842980.292429497</v>
      </c>
      <c r="E139" s="957">
        <v>2417.2346039381537</v>
      </c>
      <c r="F139" s="957">
        <v>105.58363179594068</v>
      </c>
      <c r="G139" s="957">
        <v>34.28223630988208</v>
      </c>
      <c r="H139" s="957">
        <v>53842.368711984323</v>
      </c>
      <c r="I139" s="957">
        <v>33.866849919838138</v>
      </c>
      <c r="J139" s="957">
        <v>0.70155793978817937</v>
      </c>
      <c r="K139" s="958">
        <v>0.48031388849541212</v>
      </c>
      <c r="L139" s="411">
        <f>H139+D139</f>
        <v>3896822.6611414813</v>
      </c>
      <c r="M139" s="426">
        <f>SUM(E139,F139,G139,I139,J139,K139)</f>
        <v>2592.1491937920978</v>
      </c>
      <c r="N139" s="276"/>
      <c r="O139" s="164"/>
      <c r="P139" s="139"/>
      <c r="Q139" s="139"/>
      <c r="R139" s="139"/>
      <c r="S139" s="139"/>
      <c r="T139" s="139"/>
      <c r="U139" s="139"/>
      <c r="V139" s="139"/>
      <c r="W139" s="139"/>
      <c r="X139" s="139"/>
      <c r="Y139" s="139"/>
      <c r="Z139" s="139"/>
      <c r="AA139" s="139"/>
      <c r="AB139" s="139"/>
      <c r="AC139" s="139"/>
      <c r="AD139" s="139"/>
      <c r="AE139" s="139"/>
      <c r="AF139" s="139"/>
      <c r="AG139" s="139"/>
      <c r="AH139" s="139"/>
      <c r="AI139" s="139"/>
      <c r="AJ139" s="139"/>
      <c r="AK139" s="139"/>
      <c r="AL139" s="139"/>
      <c r="AM139" s="139"/>
      <c r="AN139" s="139"/>
      <c r="AO139" s="139"/>
      <c r="AP139" s="139"/>
      <c r="AQ139" s="139"/>
      <c r="AR139" s="139"/>
      <c r="AS139" s="139"/>
      <c r="AT139" s="139"/>
      <c r="AU139" s="139"/>
      <c r="AV139" s="139"/>
      <c r="AW139" s="139"/>
      <c r="AX139" s="139"/>
      <c r="AY139" s="139"/>
      <c r="AZ139" s="139"/>
      <c r="BA139" s="139"/>
      <c r="BB139" s="139"/>
      <c r="BC139" s="139"/>
      <c r="BD139" s="139"/>
      <c r="BE139" s="139"/>
      <c r="BF139" s="139"/>
      <c r="BG139" s="139"/>
      <c r="BH139" s="139"/>
      <c r="BI139" s="139"/>
      <c r="BJ139" s="139"/>
      <c r="BK139" s="139"/>
      <c r="BL139" s="139"/>
      <c r="BM139" s="139"/>
      <c r="BN139" s="139"/>
      <c r="BO139" s="139"/>
      <c r="BP139" s="139"/>
      <c r="BQ139" s="139"/>
      <c r="BR139" s="139"/>
      <c r="BS139" s="139"/>
      <c r="BT139" s="139"/>
      <c r="BU139" s="139"/>
      <c r="BV139" s="139"/>
      <c r="BW139" s="139"/>
      <c r="BX139" s="139"/>
      <c r="BY139" s="139"/>
      <c r="BZ139" s="139"/>
      <c r="CA139" s="139"/>
      <c r="CB139" s="139"/>
      <c r="CC139" s="139"/>
      <c r="CD139" s="139"/>
      <c r="CE139" s="139"/>
      <c r="CF139" s="139"/>
      <c r="CG139" s="139"/>
      <c r="CH139" s="139"/>
      <c r="CI139" s="139"/>
      <c r="CJ139" s="139"/>
      <c r="CK139" s="139"/>
      <c r="CL139" s="139"/>
      <c r="CM139" s="139"/>
      <c r="CN139" s="139"/>
      <c r="CO139" s="139"/>
      <c r="CP139" s="139"/>
      <c r="CQ139" s="139"/>
      <c r="CR139" s="139"/>
      <c r="CS139" s="139"/>
      <c r="CT139" s="139"/>
      <c r="CU139" s="139"/>
      <c r="CV139" s="139"/>
      <c r="CW139" s="139"/>
      <c r="CX139" s="139"/>
      <c r="CY139" s="139"/>
      <c r="CZ139" s="139"/>
      <c r="DA139" s="139"/>
      <c r="DB139" s="139"/>
      <c r="DC139" s="139"/>
      <c r="DD139" s="139"/>
      <c r="DE139" s="139"/>
      <c r="DF139" s="139"/>
      <c r="DG139" s="139"/>
      <c r="DH139" s="139"/>
      <c r="DI139" s="139"/>
      <c r="DJ139" s="139"/>
      <c r="DK139" s="139"/>
      <c r="DL139" s="139"/>
      <c r="DM139" s="139"/>
      <c r="DN139" s="139"/>
      <c r="DO139" s="139"/>
      <c r="DP139" s="139"/>
      <c r="DQ139" s="139"/>
      <c r="DR139" s="139"/>
      <c r="DS139" s="139"/>
      <c r="DT139" s="139"/>
      <c r="DU139" s="139"/>
      <c r="DV139" s="139"/>
      <c r="DW139" s="139"/>
      <c r="DX139" s="139"/>
      <c r="DY139" s="139"/>
      <c r="DZ139" s="139"/>
      <c r="EA139" s="139"/>
      <c r="EB139" s="139"/>
      <c r="EC139" s="139"/>
      <c r="ED139" s="139"/>
      <c r="EE139" s="139"/>
      <c r="EF139" s="139"/>
      <c r="EG139" s="139"/>
      <c r="EH139" s="139"/>
      <c r="EI139" s="139"/>
      <c r="EJ139" s="139"/>
      <c r="EK139" s="139"/>
      <c r="EL139" s="139"/>
      <c r="EM139" s="139"/>
      <c r="EN139" s="139"/>
      <c r="EO139" s="139"/>
      <c r="EP139" s="139"/>
      <c r="EQ139" s="139"/>
      <c r="ER139" s="139"/>
      <c r="ES139" s="139"/>
      <c r="ET139" s="139"/>
      <c r="EU139" s="139"/>
      <c r="EV139" s="139"/>
      <c r="EW139" s="139"/>
      <c r="EX139" s="139"/>
      <c r="EY139" s="139"/>
      <c r="EZ139" s="139"/>
      <c r="FA139" s="139"/>
      <c r="FB139" s="139"/>
      <c r="FC139" s="139"/>
      <c r="FD139" s="139"/>
      <c r="FE139" s="139"/>
      <c r="FF139" s="139"/>
      <c r="FG139" s="139"/>
      <c r="FH139" s="139"/>
      <c r="FI139" s="139"/>
      <c r="FJ139" s="139"/>
      <c r="FK139" s="139"/>
      <c r="FL139" s="139"/>
      <c r="FM139" s="139"/>
      <c r="FN139" s="139"/>
      <c r="FO139" s="139"/>
      <c r="FP139" s="139"/>
      <c r="FQ139" s="139"/>
      <c r="FR139" s="139"/>
      <c r="FS139" s="139"/>
      <c r="FT139" s="139"/>
      <c r="FU139" s="139"/>
      <c r="FV139" s="139"/>
      <c r="FW139" s="139"/>
      <c r="FX139" s="139"/>
      <c r="FY139" s="139"/>
      <c r="FZ139" s="139"/>
      <c r="GA139" s="139"/>
      <c r="GB139" s="139"/>
      <c r="GC139" s="139"/>
      <c r="GD139" s="139"/>
      <c r="GE139" s="139"/>
      <c r="GF139" s="139"/>
      <c r="GG139" s="139"/>
      <c r="GH139" s="139"/>
      <c r="GI139" s="139"/>
      <c r="GJ139" s="139"/>
      <c r="GK139" s="139"/>
      <c r="GL139" s="139"/>
      <c r="GM139" s="139"/>
      <c r="GN139" s="139"/>
      <c r="GO139" s="139"/>
      <c r="GP139" s="139"/>
      <c r="GQ139" s="139"/>
      <c r="GR139" s="139"/>
      <c r="GS139" s="139"/>
      <c r="GT139" s="139"/>
      <c r="GU139" s="139"/>
      <c r="GV139" s="139"/>
      <c r="GW139" s="139"/>
      <c r="GX139" s="139"/>
      <c r="GY139" s="139"/>
      <c r="GZ139" s="139"/>
      <c r="HA139" s="139"/>
      <c r="HB139" s="139"/>
      <c r="HC139" s="139"/>
      <c r="HD139" s="139"/>
      <c r="HE139" s="139"/>
      <c r="HF139" s="139"/>
      <c r="HG139" s="139"/>
      <c r="HH139" s="139"/>
      <c r="HI139" s="139"/>
      <c r="HJ139" s="139"/>
      <c r="HK139" s="139"/>
      <c r="HL139" s="139"/>
      <c r="HM139" s="139"/>
      <c r="HN139" s="139"/>
      <c r="HO139" s="139"/>
      <c r="HP139" s="139"/>
      <c r="HQ139" s="139"/>
      <c r="HR139" s="139"/>
      <c r="HS139" s="139"/>
      <c r="HT139" s="139"/>
      <c r="HU139" s="139"/>
      <c r="HV139" s="139"/>
      <c r="HW139" s="139"/>
      <c r="HX139" s="139"/>
      <c r="HY139" s="139"/>
      <c r="HZ139" s="139"/>
      <c r="IA139" s="139"/>
      <c r="IB139" s="139"/>
      <c r="IC139" s="139"/>
      <c r="ID139" s="139"/>
      <c r="IE139" s="139"/>
      <c r="IF139" s="139"/>
      <c r="IG139" s="139"/>
      <c r="IH139" s="139"/>
      <c r="II139" s="139"/>
      <c r="IJ139" s="139"/>
      <c r="IK139" s="139"/>
      <c r="IL139" s="139"/>
      <c r="IM139" s="139"/>
      <c r="IN139" s="139"/>
      <c r="IO139" s="139"/>
      <c r="IP139" s="139"/>
      <c r="IQ139" s="139"/>
      <c r="IR139" s="139"/>
    </row>
    <row r="140" spans="2:253" x14ac:dyDescent="0.3">
      <c r="B140" s="5" t="s">
        <v>104</v>
      </c>
      <c r="C140" s="916" t="s">
        <v>207</v>
      </c>
      <c r="D140" s="957">
        <v>0</v>
      </c>
      <c r="E140" s="957">
        <v>0</v>
      </c>
      <c r="F140" s="957">
        <v>0</v>
      </c>
      <c r="G140" s="957">
        <v>0</v>
      </c>
      <c r="H140" s="957">
        <v>0</v>
      </c>
      <c r="I140" s="957">
        <v>0</v>
      </c>
      <c r="J140" s="957">
        <v>0</v>
      </c>
      <c r="K140" s="958">
        <v>0</v>
      </c>
      <c r="L140" s="412">
        <f t="shared" ref="L140:L171" si="18">H140+D140</f>
        <v>0</v>
      </c>
      <c r="M140" s="416">
        <f t="shared" ref="M140:M171" si="19">SUM(E140,F140,G140,I140,J140,K140)</f>
        <v>0</v>
      </c>
      <c r="N140" s="276"/>
      <c r="O140" s="164"/>
      <c r="P140" s="139"/>
      <c r="Q140" s="139"/>
      <c r="R140" s="139"/>
      <c r="S140" s="139"/>
      <c r="T140" s="139"/>
      <c r="U140" s="139"/>
      <c r="V140" s="139"/>
      <c r="W140" s="139"/>
      <c r="X140" s="139"/>
      <c r="Y140" s="139"/>
      <c r="Z140" s="139"/>
      <c r="AA140" s="139"/>
      <c r="AB140" s="139"/>
      <c r="AC140" s="139"/>
      <c r="AD140" s="139"/>
      <c r="AE140" s="139"/>
      <c r="AF140" s="139"/>
      <c r="AG140" s="139"/>
      <c r="AH140" s="139"/>
      <c r="AI140" s="139"/>
      <c r="AJ140" s="139"/>
      <c r="AK140" s="139"/>
      <c r="AL140" s="139"/>
      <c r="AM140" s="139"/>
      <c r="AN140" s="139"/>
      <c r="AO140" s="139"/>
      <c r="AP140" s="139"/>
      <c r="AQ140" s="139"/>
      <c r="AR140" s="139"/>
      <c r="AS140" s="139"/>
      <c r="AT140" s="139"/>
      <c r="AU140" s="139"/>
      <c r="AV140" s="139"/>
      <c r="AW140" s="139"/>
      <c r="AX140" s="139"/>
      <c r="AY140" s="139"/>
      <c r="AZ140" s="139"/>
      <c r="BA140" s="139"/>
      <c r="BB140" s="139"/>
      <c r="BC140" s="139"/>
      <c r="BD140" s="139"/>
      <c r="BE140" s="139"/>
      <c r="BF140" s="139"/>
      <c r="BG140" s="139"/>
      <c r="BH140" s="139"/>
      <c r="BI140" s="139"/>
      <c r="BJ140" s="139"/>
      <c r="BK140" s="139"/>
      <c r="BL140" s="139"/>
      <c r="BM140" s="139"/>
      <c r="BN140" s="139"/>
      <c r="BO140" s="139"/>
      <c r="BP140" s="139"/>
      <c r="BQ140" s="139"/>
      <c r="BR140" s="139"/>
      <c r="BS140" s="139"/>
      <c r="BT140" s="139"/>
      <c r="BU140" s="139"/>
      <c r="BV140" s="139"/>
      <c r="BW140" s="139"/>
      <c r="BX140" s="139"/>
      <c r="BY140" s="139"/>
      <c r="BZ140" s="139"/>
      <c r="CA140" s="139"/>
      <c r="CB140" s="139"/>
      <c r="CC140" s="139"/>
      <c r="CD140" s="139"/>
      <c r="CE140" s="139"/>
      <c r="CF140" s="139"/>
      <c r="CG140" s="139"/>
      <c r="CH140" s="139"/>
      <c r="CI140" s="139"/>
      <c r="CJ140" s="139"/>
      <c r="CK140" s="139"/>
      <c r="CL140" s="139"/>
      <c r="CM140" s="139"/>
      <c r="CN140" s="139"/>
      <c r="CO140" s="139"/>
      <c r="CP140" s="139"/>
      <c r="CQ140" s="139"/>
      <c r="CR140" s="139"/>
      <c r="CS140" s="139"/>
      <c r="CT140" s="139"/>
      <c r="CU140" s="139"/>
      <c r="CV140" s="139"/>
      <c r="CW140" s="139"/>
      <c r="CX140" s="139"/>
      <c r="CY140" s="139"/>
      <c r="CZ140" s="139"/>
      <c r="DA140" s="139"/>
      <c r="DB140" s="139"/>
      <c r="DC140" s="139"/>
      <c r="DD140" s="139"/>
      <c r="DE140" s="139"/>
      <c r="DF140" s="139"/>
      <c r="DG140" s="139"/>
      <c r="DH140" s="139"/>
      <c r="DI140" s="139"/>
      <c r="DJ140" s="139"/>
      <c r="DK140" s="139"/>
      <c r="DL140" s="139"/>
      <c r="DM140" s="139"/>
      <c r="DN140" s="139"/>
      <c r="DO140" s="139"/>
      <c r="DP140" s="139"/>
      <c r="DQ140" s="139"/>
      <c r="DR140" s="139"/>
      <c r="DS140" s="139"/>
      <c r="DT140" s="139"/>
      <c r="DU140" s="139"/>
      <c r="DV140" s="139"/>
      <c r="DW140" s="139"/>
      <c r="DX140" s="139"/>
      <c r="DY140" s="139"/>
      <c r="DZ140" s="139"/>
      <c r="EA140" s="139"/>
      <c r="EB140" s="139"/>
      <c r="EC140" s="139"/>
      <c r="ED140" s="139"/>
      <c r="EE140" s="139"/>
      <c r="EF140" s="139"/>
      <c r="EG140" s="139"/>
      <c r="EH140" s="139"/>
      <c r="EI140" s="139"/>
      <c r="EJ140" s="139"/>
      <c r="EK140" s="139"/>
      <c r="EL140" s="139"/>
      <c r="EM140" s="139"/>
      <c r="EN140" s="139"/>
      <c r="EO140" s="139"/>
      <c r="EP140" s="139"/>
      <c r="EQ140" s="139"/>
      <c r="ER140" s="139"/>
      <c r="ES140" s="139"/>
      <c r="ET140" s="139"/>
      <c r="EU140" s="139"/>
      <c r="EV140" s="139"/>
      <c r="EW140" s="139"/>
      <c r="EX140" s="139"/>
      <c r="EY140" s="139"/>
      <c r="EZ140" s="139"/>
      <c r="FA140" s="139"/>
      <c r="FB140" s="139"/>
      <c r="FC140" s="139"/>
      <c r="FD140" s="139"/>
      <c r="FE140" s="139"/>
      <c r="FF140" s="139"/>
      <c r="FG140" s="139"/>
      <c r="FH140" s="139"/>
      <c r="FI140" s="139"/>
      <c r="FJ140" s="139"/>
      <c r="FK140" s="139"/>
      <c r="FL140" s="139"/>
      <c r="FM140" s="139"/>
      <c r="FN140" s="139"/>
      <c r="FO140" s="139"/>
      <c r="FP140" s="139"/>
      <c r="FQ140" s="139"/>
      <c r="FR140" s="139"/>
      <c r="FS140" s="139"/>
      <c r="FT140" s="139"/>
      <c r="FU140" s="139"/>
      <c r="FV140" s="139"/>
      <c r="FW140" s="139"/>
      <c r="FX140" s="139"/>
      <c r="FY140" s="139"/>
      <c r="FZ140" s="139"/>
      <c r="GA140" s="139"/>
      <c r="GB140" s="139"/>
      <c r="GC140" s="139"/>
      <c r="GD140" s="139"/>
      <c r="GE140" s="139"/>
      <c r="GF140" s="139"/>
      <c r="GG140" s="139"/>
      <c r="GH140" s="139"/>
      <c r="GI140" s="139"/>
      <c r="GJ140" s="139"/>
      <c r="GK140" s="139"/>
      <c r="GL140" s="139"/>
      <c r="GM140" s="139"/>
      <c r="GN140" s="139"/>
      <c r="GO140" s="139"/>
      <c r="GP140" s="139"/>
      <c r="GQ140" s="139"/>
      <c r="GR140" s="139"/>
      <c r="GS140" s="139"/>
      <c r="GT140" s="139"/>
      <c r="GU140" s="139"/>
      <c r="GV140" s="139"/>
      <c r="GW140" s="139"/>
      <c r="GX140" s="139"/>
      <c r="GY140" s="139"/>
      <c r="GZ140" s="139"/>
      <c r="HA140" s="139"/>
      <c r="HB140" s="139"/>
      <c r="HC140" s="139"/>
      <c r="HD140" s="139"/>
      <c r="HE140" s="139"/>
      <c r="HF140" s="139"/>
      <c r="HG140" s="139"/>
      <c r="HH140" s="139"/>
      <c r="HI140" s="139"/>
      <c r="HJ140" s="139"/>
      <c r="HK140" s="139"/>
      <c r="HL140" s="139"/>
      <c r="HM140" s="139"/>
      <c r="HN140" s="139"/>
      <c r="HO140" s="139"/>
      <c r="HP140" s="139"/>
      <c r="HQ140" s="139"/>
      <c r="HR140" s="139"/>
      <c r="HS140" s="139"/>
      <c r="HT140" s="139"/>
      <c r="HU140" s="139"/>
      <c r="HV140" s="139"/>
      <c r="HW140" s="139"/>
      <c r="HX140" s="139"/>
      <c r="HY140" s="139"/>
      <c r="HZ140" s="139"/>
      <c r="IA140" s="139"/>
      <c r="IB140" s="139"/>
      <c r="IC140" s="139"/>
      <c r="ID140" s="139"/>
      <c r="IE140" s="139"/>
      <c r="IF140" s="139"/>
      <c r="IG140" s="139"/>
      <c r="IH140" s="139"/>
      <c r="II140" s="139"/>
      <c r="IJ140" s="139"/>
      <c r="IK140" s="139"/>
      <c r="IL140" s="139"/>
      <c r="IM140" s="139"/>
      <c r="IN140" s="139"/>
      <c r="IO140" s="139"/>
      <c r="IP140" s="139"/>
      <c r="IQ140" s="139"/>
      <c r="IR140" s="139"/>
    </row>
    <row r="141" spans="2:253" x14ac:dyDescent="0.3">
      <c r="B141" s="5" t="s">
        <v>105</v>
      </c>
      <c r="C141" s="916" t="s">
        <v>208</v>
      </c>
      <c r="D141" s="957">
        <v>1734345.8664514963</v>
      </c>
      <c r="E141" s="957">
        <v>1090.9035499979911</v>
      </c>
      <c r="F141" s="957">
        <v>58.413601322378881</v>
      </c>
      <c r="G141" s="957">
        <v>15.47539086722008</v>
      </c>
      <c r="H141" s="957">
        <v>34869.731319334547</v>
      </c>
      <c r="I141" s="957">
        <v>21.933060999861429</v>
      </c>
      <c r="J141" s="957">
        <v>0.49284936364103082</v>
      </c>
      <c r="K141" s="958">
        <v>0.31106388224431764</v>
      </c>
      <c r="L141" s="412">
        <f t="shared" si="18"/>
        <v>1769215.5977708308</v>
      </c>
      <c r="M141" s="416">
        <f t="shared" si="19"/>
        <v>1187.5295164333368</v>
      </c>
      <c r="N141" s="276"/>
      <c r="O141" s="164"/>
      <c r="P141" s="139"/>
      <c r="Q141" s="139"/>
      <c r="R141" s="139"/>
      <c r="S141" s="139"/>
      <c r="T141" s="139"/>
      <c r="U141" s="139"/>
      <c r="V141" s="139"/>
      <c r="W141" s="139"/>
      <c r="X141" s="139"/>
      <c r="Y141" s="139"/>
      <c r="Z141" s="139"/>
      <c r="AA141" s="139"/>
      <c r="AB141" s="139"/>
      <c r="AC141" s="139"/>
      <c r="AD141" s="139"/>
      <c r="AE141" s="139"/>
      <c r="AF141" s="139"/>
      <c r="AG141" s="139"/>
      <c r="AH141" s="139"/>
      <c r="AI141" s="139"/>
      <c r="AJ141" s="139"/>
      <c r="AK141" s="139"/>
      <c r="AL141" s="139"/>
      <c r="AM141" s="139"/>
      <c r="AN141" s="139"/>
      <c r="AO141" s="139"/>
      <c r="AP141" s="139"/>
      <c r="AQ141" s="139"/>
      <c r="AR141" s="139"/>
      <c r="AS141" s="139"/>
      <c r="AT141" s="139"/>
      <c r="AU141" s="139"/>
      <c r="AV141" s="139"/>
      <c r="AW141" s="139"/>
      <c r="AX141" s="139"/>
      <c r="AY141" s="139"/>
      <c r="AZ141" s="139"/>
      <c r="BA141" s="139"/>
      <c r="BB141" s="139"/>
      <c r="BC141" s="139"/>
      <c r="BD141" s="139"/>
      <c r="BE141" s="139"/>
      <c r="BF141" s="139"/>
      <c r="BG141" s="139"/>
      <c r="BH141" s="139"/>
      <c r="BI141" s="139"/>
      <c r="BJ141" s="139"/>
      <c r="BK141" s="139"/>
      <c r="BL141" s="139"/>
      <c r="BM141" s="139"/>
      <c r="BN141" s="139"/>
      <c r="BO141" s="139"/>
      <c r="BP141" s="139"/>
      <c r="BQ141" s="139"/>
      <c r="BR141" s="139"/>
      <c r="BS141" s="139"/>
      <c r="BT141" s="139"/>
      <c r="BU141" s="139"/>
      <c r="BV141" s="139"/>
      <c r="BW141" s="139"/>
      <c r="BX141" s="139"/>
      <c r="BY141" s="139"/>
      <c r="BZ141" s="139"/>
      <c r="CA141" s="139"/>
      <c r="CB141" s="139"/>
      <c r="CC141" s="139"/>
      <c r="CD141" s="139"/>
      <c r="CE141" s="139"/>
      <c r="CF141" s="139"/>
      <c r="CG141" s="139"/>
      <c r="CH141" s="139"/>
      <c r="CI141" s="139"/>
      <c r="CJ141" s="139"/>
      <c r="CK141" s="139"/>
      <c r="CL141" s="139"/>
      <c r="CM141" s="139"/>
      <c r="CN141" s="139"/>
      <c r="CO141" s="139"/>
      <c r="CP141" s="139"/>
      <c r="CQ141" s="139"/>
      <c r="CR141" s="139"/>
      <c r="CS141" s="139"/>
      <c r="CT141" s="139"/>
      <c r="CU141" s="139"/>
      <c r="CV141" s="139"/>
      <c r="CW141" s="139"/>
      <c r="CX141" s="139"/>
      <c r="CY141" s="139"/>
      <c r="CZ141" s="139"/>
      <c r="DA141" s="139"/>
      <c r="DB141" s="139"/>
      <c r="DC141" s="139"/>
      <c r="DD141" s="139"/>
      <c r="DE141" s="139"/>
      <c r="DF141" s="139"/>
      <c r="DG141" s="139"/>
      <c r="DH141" s="139"/>
      <c r="DI141" s="139"/>
      <c r="DJ141" s="139"/>
      <c r="DK141" s="139"/>
      <c r="DL141" s="139"/>
      <c r="DM141" s="139"/>
      <c r="DN141" s="139"/>
      <c r="DO141" s="139"/>
      <c r="DP141" s="139"/>
      <c r="DQ141" s="139"/>
      <c r="DR141" s="139"/>
      <c r="DS141" s="139"/>
      <c r="DT141" s="139"/>
      <c r="DU141" s="139"/>
      <c r="DV141" s="139"/>
      <c r="DW141" s="139"/>
      <c r="DX141" s="139"/>
      <c r="DY141" s="139"/>
      <c r="DZ141" s="139"/>
      <c r="EA141" s="139"/>
      <c r="EB141" s="139"/>
      <c r="EC141" s="139"/>
      <c r="ED141" s="139"/>
      <c r="EE141" s="139"/>
      <c r="EF141" s="139"/>
      <c r="EG141" s="139"/>
      <c r="EH141" s="139"/>
      <c r="EI141" s="139"/>
      <c r="EJ141" s="139"/>
      <c r="EK141" s="139"/>
      <c r="EL141" s="139"/>
      <c r="EM141" s="139"/>
      <c r="EN141" s="139"/>
      <c r="EO141" s="139"/>
      <c r="EP141" s="139"/>
      <c r="EQ141" s="139"/>
      <c r="ER141" s="139"/>
      <c r="ES141" s="139"/>
      <c r="ET141" s="139"/>
      <c r="EU141" s="139"/>
      <c r="EV141" s="139"/>
      <c r="EW141" s="139"/>
      <c r="EX141" s="139"/>
      <c r="EY141" s="139"/>
      <c r="EZ141" s="139"/>
      <c r="FA141" s="139"/>
      <c r="FB141" s="139"/>
      <c r="FC141" s="139"/>
      <c r="FD141" s="139"/>
      <c r="FE141" s="139"/>
      <c r="FF141" s="139"/>
      <c r="FG141" s="139"/>
      <c r="FH141" s="139"/>
      <c r="FI141" s="139"/>
      <c r="FJ141" s="139"/>
      <c r="FK141" s="139"/>
      <c r="FL141" s="139"/>
      <c r="FM141" s="139"/>
      <c r="FN141" s="139"/>
      <c r="FO141" s="139"/>
      <c r="FP141" s="139"/>
      <c r="FQ141" s="139"/>
      <c r="FR141" s="139"/>
      <c r="FS141" s="139"/>
      <c r="FT141" s="139"/>
      <c r="FU141" s="139"/>
      <c r="FV141" s="139"/>
      <c r="FW141" s="139"/>
      <c r="FX141" s="139"/>
      <c r="FY141" s="139"/>
      <c r="FZ141" s="139"/>
      <c r="GA141" s="139"/>
      <c r="GB141" s="139"/>
      <c r="GC141" s="139"/>
      <c r="GD141" s="139"/>
      <c r="GE141" s="139"/>
      <c r="GF141" s="139"/>
      <c r="GG141" s="139"/>
      <c r="GH141" s="139"/>
      <c r="GI141" s="139"/>
      <c r="GJ141" s="139"/>
      <c r="GK141" s="139"/>
      <c r="GL141" s="139"/>
      <c r="GM141" s="139"/>
      <c r="GN141" s="139"/>
      <c r="GO141" s="139"/>
      <c r="GP141" s="139"/>
      <c r="GQ141" s="139"/>
      <c r="GR141" s="139"/>
      <c r="GS141" s="139"/>
      <c r="GT141" s="139"/>
      <c r="GU141" s="139"/>
      <c r="GV141" s="139"/>
      <c r="GW141" s="139"/>
      <c r="GX141" s="139"/>
      <c r="GY141" s="139"/>
      <c r="GZ141" s="139"/>
      <c r="HA141" s="139"/>
      <c r="HB141" s="139"/>
      <c r="HC141" s="139"/>
      <c r="HD141" s="139"/>
      <c r="HE141" s="139"/>
      <c r="HF141" s="139"/>
      <c r="HG141" s="139"/>
      <c r="HH141" s="139"/>
      <c r="HI141" s="139"/>
      <c r="HJ141" s="139"/>
      <c r="HK141" s="139"/>
      <c r="HL141" s="139"/>
      <c r="HM141" s="139"/>
      <c r="HN141" s="139"/>
      <c r="HO141" s="139"/>
      <c r="HP141" s="139"/>
      <c r="HQ141" s="139"/>
      <c r="HR141" s="139"/>
      <c r="HS141" s="139"/>
      <c r="HT141" s="139"/>
      <c r="HU141" s="139"/>
      <c r="HV141" s="139"/>
      <c r="HW141" s="139"/>
      <c r="HX141" s="139"/>
      <c r="HY141" s="139"/>
      <c r="HZ141" s="139"/>
      <c r="IA141" s="139"/>
      <c r="IB141" s="139"/>
      <c r="IC141" s="139"/>
      <c r="ID141" s="139"/>
      <c r="IE141" s="139"/>
      <c r="IF141" s="139"/>
      <c r="IG141" s="139"/>
      <c r="IH141" s="139"/>
      <c r="II141" s="139"/>
      <c r="IJ141" s="139"/>
      <c r="IK141" s="139"/>
      <c r="IL141" s="139"/>
      <c r="IM141" s="139"/>
      <c r="IN141" s="139"/>
      <c r="IO141" s="139"/>
      <c r="IP141" s="139"/>
      <c r="IQ141" s="139"/>
      <c r="IR141" s="139"/>
    </row>
    <row r="142" spans="2:253" x14ac:dyDescent="0.3">
      <c r="B142" s="5" t="s">
        <v>106</v>
      </c>
      <c r="C142" s="916" t="s">
        <v>209</v>
      </c>
      <c r="D142" s="957">
        <v>0</v>
      </c>
      <c r="E142" s="957">
        <v>0</v>
      </c>
      <c r="F142" s="957">
        <v>0</v>
      </c>
      <c r="G142" s="957">
        <v>0</v>
      </c>
      <c r="H142" s="957">
        <v>0</v>
      </c>
      <c r="I142" s="957">
        <v>0</v>
      </c>
      <c r="J142" s="957">
        <v>0</v>
      </c>
      <c r="K142" s="958">
        <v>0</v>
      </c>
      <c r="L142" s="412">
        <f t="shared" si="18"/>
        <v>0</v>
      </c>
      <c r="M142" s="416">
        <f t="shared" si="19"/>
        <v>0</v>
      </c>
      <c r="N142" s="276"/>
      <c r="O142" s="164"/>
      <c r="P142" s="139"/>
      <c r="Q142" s="139"/>
      <c r="R142" s="139"/>
      <c r="S142" s="139"/>
      <c r="T142" s="139"/>
      <c r="U142" s="139"/>
      <c r="V142" s="139"/>
      <c r="W142" s="139"/>
      <c r="X142" s="139"/>
      <c r="Y142" s="139"/>
      <c r="Z142" s="139"/>
      <c r="AA142" s="139"/>
      <c r="AB142" s="139"/>
      <c r="AC142" s="139"/>
      <c r="AD142" s="139"/>
      <c r="AE142" s="139"/>
      <c r="AF142" s="139"/>
      <c r="AG142" s="139"/>
      <c r="AH142" s="139"/>
      <c r="AI142" s="139"/>
      <c r="AJ142" s="139"/>
      <c r="AK142" s="139"/>
      <c r="AL142" s="139"/>
      <c r="AM142" s="139"/>
      <c r="AN142" s="139"/>
      <c r="AO142" s="139"/>
      <c r="AP142" s="139"/>
      <c r="AQ142" s="139"/>
      <c r="AR142" s="139"/>
      <c r="AS142" s="139"/>
      <c r="AT142" s="139"/>
      <c r="AU142" s="139"/>
      <c r="AV142" s="139"/>
      <c r="AW142" s="139"/>
      <c r="AX142" s="139"/>
      <c r="AY142" s="139"/>
      <c r="AZ142" s="139"/>
      <c r="BA142" s="139"/>
      <c r="BB142" s="139"/>
      <c r="BC142" s="139"/>
      <c r="BD142" s="139"/>
      <c r="BE142" s="139"/>
      <c r="BF142" s="139"/>
      <c r="BG142" s="139"/>
      <c r="BH142" s="139"/>
      <c r="BI142" s="139"/>
      <c r="BJ142" s="139"/>
      <c r="BK142" s="139"/>
      <c r="BL142" s="139"/>
      <c r="BM142" s="139"/>
      <c r="BN142" s="139"/>
      <c r="BO142" s="139"/>
      <c r="BP142" s="139"/>
      <c r="BQ142" s="139"/>
      <c r="BR142" s="139"/>
      <c r="BS142" s="139"/>
      <c r="BT142" s="139"/>
      <c r="BU142" s="139"/>
      <c r="BV142" s="139"/>
      <c r="BW142" s="139"/>
      <c r="BX142" s="139"/>
      <c r="BY142" s="139"/>
      <c r="BZ142" s="139"/>
      <c r="CA142" s="139"/>
      <c r="CB142" s="139"/>
      <c r="CC142" s="139"/>
      <c r="CD142" s="139"/>
      <c r="CE142" s="139"/>
      <c r="CF142" s="139"/>
      <c r="CG142" s="139"/>
      <c r="CH142" s="139"/>
      <c r="CI142" s="139"/>
      <c r="CJ142" s="139"/>
      <c r="CK142" s="139"/>
      <c r="CL142" s="139"/>
      <c r="CM142" s="139"/>
      <c r="CN142" s="139"/>
      <c r="CO142" s="139"/>
      <c r="CP142" s="139"/>
      <c r="CQ142" s="139"/>
      <c r="CR142" s="139"/>
      <c r="CS142" s="139"/>
      <c r="CT142" s="139"/>
      <c r="CU142" s="139"/>
      <c r="CV142" s="139"/>
      <c r="CW142" s="139"/>
      <c r="CX142" s="139"/>
      <c r="CY142" s="139"/>
      <c r="CZ142" s="139"/>
      <c r="DA142" s="139"/>
      <c r="DB142" s="139"/>
      <c r="DC142" s="139"/>
      <c r="DD142" s="139"/>
      <c r="DE142" s="139"/>
      <c r="DF142" s="139"/>
      <c r="DG142" s="139"/>
      <c r="DH142" s="139"/>
      <c r="DI142" s="139"/>
      <c r="DJ142" s="139"/>
      <c r="DK142" s="139"/>
      <c r="DL142" s="139"/>
      <c r="DM142" s="139"/>
      <c r="DN142" s="139"/>
      <c r="DO142" s="139"/>
      <c r="DP142" s="139"/>
      <c r="DQ142" s="139"/>
      <c r="DR142" s="139"/>
      <c r="DS142" s="139"/>
      <c r="DT142" s="139"/>
      <c r="DU142" s="139"/>
      <c r="DV142" s="139"/>
      <c r="DW142" s="139"/>
      <c r="DX142" s="139"/>
      <c r="DY142" s="139"/>
      <c r="DZ142" s="139"/>
      <c r="EA142" s="139"/>
      <c r="EB142" s="139"/>
      <c r="EC142" s="139"/>
      <c r="ED142" s="139"/>
      <c r="EE142" s="139"/>
      <c r="EF142" s="139"/>
      <c r="EG142" s="139"/>
      <c r="EH142" s="139"/>
      <c r="EI142" s="139"/>
      <c r="EJ142" s="139"/>
      <c r="EK142" s="139"/>
      <c r="EL142" s="139"/>
      <c r="EM142" s="139"/>
      <c r="EN142" s="139"/>
      <c r="EO142" s="139"/>
      <c r="EP142" s="139"/>
      <c r="EQ142" s="139"/>
      <c r="ER142" s="139"/>
      <c r="ES142" s="139"/>
      <c r="ET142" s="139"/>
      <c r="EU142" s="139"/>
      <c r="EV142" s="139"/>
      <c r="EW142" s="139"/>
      <c r="EX142" s="139"/>
      <c r="EY142" s="139"/>
      <c r="EZ142" s="139"/>
      <c r="FA142" s="139"/>
      <c r="FB142" s="139"/>
      <c r="FC142" s="139"/>
      <c r="FD142" s="139"/>
      <c r="FE142" s="139"/>
      <c r="FF142" s="139"/>
      <c r="FG142" s="139"/>
      <c r="FH142" s="139"/>
      <c r="FI142" s="139"/>
      <c r="FJ142" s="139"/>
      <c r="FK142" s="139"/>
      <c r="FL142" s="139"/>
      <c r="FM142" s="139"/>
      <c r="FN142" s="139"/>
      <c r="FO142" s="139"/>
      <c r="FP142" s="139"/>
      <c r="FQ142" s="139"/>
      <c r="FR142" s="139"/>
      <c r="FS142" s="139"/>
      <c r="FT142" s="139"/>
      <c r="FU142" s="139"/>
      <c r="FV142" s="139"/>
      <c r="FW142" s="139"/>
      <c r="FX142" s="139"/>
      <c r="FY142" s="139"/>
      <c r="FZ142" s="139"/>
      <c r="GA142" s="139"/>
      <c r="GB142" s="139"/>
      <c r="GC142" s="139"/>
      <c r="GD142" s="139"/>
      <c r="GE142" s="139"/>
      <c r="GF142" s="139"/>
      <c r="GG142" s="139"/>
      <c r="GH142" s="139"/>
      <c r="GI142" s="139"/>
      <c r="GJ142" s="139"/>
      <c r="GK142" s="139"/>
      <c r="GL142" s="139"/>
      <c r="GM142" s="139"/>
      <c r="GN142" s="139"/>
      <c r="GO142" s="139"/>
      <c r="GP142" s="139"/>
      <c r="GQ142" s="139"/>
      <c r="GR142" s="139"/>
      <c r="GS142" s="139"/>
      <c r="GT142" s="139"/>
      <c r="GU142" s="139"/>
      <c r="GV142" s="139"/>
      <c r="GW142" s="139"/>
      <c r="GX142" s="139"/>
      <c r="GY142" s="139"/>
      <c r="GZ142" s="139"/>
      <c r="HA142" s="139"/>
      <c r="HB142" s="139"/>
      <c r="HC142" s="139"/>
      <c r="HD142" s="139"/>
      <c r="HE142" s="139"/>
      <c r="HF142" s="139"/>
      <c r="HG142" s="139"/>
      <c r="HH142" s="139"/>
      <c r="HI142" s="139"/>
      <c r="HJ142" s="139"/>
      <c r="HK142" s="139"/>
      <c r="HL142" s="139"/>
      <c r="HM142" s="139"/>
      <c r="HN142" s="139"/>
      <c r="HO142" s="139"/>
      <c r="HP142" s="139"/>
      <c r="HQ142" s="139"/>
      <c r="HR142" s="139"/>
      <c r="HS142" s="139"/>
      <c r="HT142" s="139"/>
      <c r="HU142" s="139"/>
      <c r="HV142" s="139"/>
      <c r="HW142" s="139"/>
      <c r="HX142" s="139"/>
      <c r="HY142" s="139"/>
      <c r="HZ142" s="139"/>
      <c r="IA142" s="139"/>
      <c r="IB142" s="139"/>
      <c r="IC142" s="139"/>
      <c r="ID142" s="139"/>
      <c r="IE142" s="139"/>
      <c r="IF142" s="139"/>
      <c r="IG142" s="139"/>
      <c r="IH142" s="139"/>
      <c r="II142" s="139"/>
      <c r="IJ142" s="139"/>
      <c r="IK142" s="139"/>
      <c r="IL142" s="139"/>
      <c r="IM142" s="139"/>
      <c r="IN142" s="139"/>
      <c r="IO142" s="139"/>
      <c r="IP142" s="139"/>
      <c r="IQ142" s="139"/>
      <c r="IR142" s="139"/>
    </row>
    <row r="143" spans="2:253" x14ac:dyDescent="0.3">
      <c r="B143" s="5" t="s">
        <v>107</v>
      </c>
      <c r="C143" s="916" t="s">
        <v>210</v>
      </c>
      <c r="D143" s="957">
        <v>0</v>
      </c>
      <c r="E143" s="957">
        <v>0</v>
      </c>
      <c r="F143" s="957">
        <v>0</v>
      </c>
      <c r="G143" s="957">
        <v>0</v>
      </c>
      <c r="H143" s="957">
        <v>0</v>
      </c>
      <c r="I143" s="957">
        <v>0</v>
      </c>
      <c r="J143" s="957">
        <v>0</v>
      </c>
      <c r="K143" s="958">
        <v>0</v>
      </c>
      <c r="L143" s="412">
        <f t="shared" si="18"/>
        <v>0</v>
      </c>
      <c r="M143" s="416">
        <f t="shared" si="19"/>
        <v>0</v>
      </c>
      <c r="N143" s="276"/>
      <c r="O143" s="164"/>
      <c r="P143" s="139"/>
      <c r="Q143" s="139"/>
      <c r="R143" s="139"/>
      <c r="S143" s="139"/>
      <c r="T143" s="139"/>
      <c r="U143" s="139"/>
      <c r="V143" s="139"/>
      <c r="W143" s="139"/>
      <c r="X143" s="139"/>
      <c r="Y143" s="139"/>
      <c r="Z143" s="139"/>
      <c r="AA143" s="139"/>
      <c r="AB143" s="139"/>
      <c r="AC143" s="139"/>
      <c r="AD143" s="139"/>
      <c r="AE143" s="139"/>
      <c r="AF143" s="139"/>
      <c r="AG143" s="139"/>
      <c r="AH143" s="139"/>
      <c r="AI143" s="139"/>
      <c r="AJ143" s="139"/>
      <c r="AK143" s="139"/>
      <c r="AL143" s="139"/>
      <c r="AM143" s="139"/>
      <c r="AN143" s="139"/>
      <c r="AO143" s="139"/>
      <c r="AP143" s="139"/>
      <c r="AQ143" s="139"/>
      <c r="AR143" s="139"/>
      <c r="AS143" s="139"/>
      <c r="AT143" s="139"/>
      <c r="AU143" s="139"/>
      <c r="AV143" s="139"/>
      <c r="AW143" s="139"/>
      <c r="AX143" s="139"/>
      <c r="AY143" s="139"/>
      <c r="AZ143" s="139"/>
      <c r="BA143" s="139"/>
      <c r="BB143" s="139"/>
      <c r="BC143" s="139"/>
      <c r="BD143" s="139"/>
      <c r="BE143" s="139"/>
      <c r="BF143" s="139"/>
      <c r="BG143" s="139"/>
      <c r="BH143" s="139"/>
      <c r="BI143" s="139"/>
      <c r="BJ143" s="139"/>
      <c r="BK143" s="139"/>
      <c r="BL143" s="139"/>
      <c r="BM143" s="139"/>
      <c r="BN143" s="139"/>
      <c r="BO143" s="139"/>
      <c r="BP143" s="139"/>
      <c r="BQ143" s="139"/>
      <c r="BR143" s="139"/>
      <c r="BS143" s="139"/>
      <c r="BT143" s="139"/>
      <c r="BU143" s="139"/>
      <c r="BV143" s="139"/>
      <c r="BW143" s="139"/>
      <c r="BX143" s="139"/>
      <c r="BY143" s="139"/>
      <c r="BZ143" s="139"/>
      <c r="CA143" s="139"/>
      <c r="CB143" s="139"/>
      <c r="CC143" s="139"/>
      <c r="CD143" s="139"/>
      <c r="CE143" s="139"/>
      <c r="CF143" s="139"/>
      <c r="CG143" s="139"/>
      <c r="CH143" s="139"/>
      <c r="CI143" s="139"/>
      <c r="CJ143" s="139"/>
      <c r="CK143" s="139"/>
      <c r="CL143" s="139"/>
      <c r="CM143" s="139"/>
      <c r="CN143" s="139"/>
      <c r="CO143" s="139"/>
      <c r="CP143" s="139"/>
      <c r="CQ143" s="139"/>
      <c r="CR143" s="139"/>
      <c r="CS143" s="139"/>
      <c r="CT143" s="139"/>
      <c r="CU143" s="139"/>
      <c r="CV143" s="139"/>
      <c r="CW143" s="139"/>
      <c r="CX143" s="139"/>
      <c r="CY143" s="139"/>
      <c r="CZ143" s="139"/>
      <c r="DA143" s="139"/>
      <c r="DB143" s="139"/>
      <c r="DC143" s="139"/>
      <c r="DD143" s="139"/>
      <c r="DE143" s="139"/>
      <c r="DF143" s="139"/>
      <c r="DG143" s="139"/>
      <c r="DH143" s="139"/>
      <c r="DI143" s="139"/>
      <c r="DJ143" s="139"/>
      <c r="DK143" s="139"/>
      <c r="DL143" s="139"/>
      <c r="DM143" s="139"/>
      <c r="DN143" s="139"/>
      <c r="DO143" s="139"/>
      <c r="DP143" s="139"/>
      <c r="DQ143" s="139"/>
      <c r="DR143" s="139"/>
      <c r="DS143" s="139"/>
      <c r="DT143" s="139"/>
      <c r="DU143" s="139"/>
      <c r="DV143" s="139"/>
      <c r="DW143" s="139"/>
      <c r="DX143" s="139"/>
      <c r="DY143" s="139"/>
      <c r="DZ143" s="139"/>
      <c r="EA143" s="139"/>
      <c r="EB143" s="139"/>
      <c r="EC143" s="139"/>
      <c r="ED143" s="139"/>
      <c r="EE143" s="139"/>
      <c r="EF143" s="139"/>
      <c r="EG143" s="139"/>
      <c r="EH143" s="139"/>
      <c r="EI143" s="139"/>
      <c r="EJ143" s="139"/>
      <c r="EK143" s="139"/>
      <c r="EL143" s="139"/>
      <c r="EM143" s="139"/>
      <c r="EN143" s="139"/>
      <c r="EO143" s="139"/>
      <c r="EP143" s="139"/>
      <c r="EQ143" s="139"/>
      <c r="ER143" s="139"/>
      <c r="ES143" s="139"/>
      <c r="ET143" s="139"/>
      <c r="EU143" s="139"/>
      <c r="EV143" s="139"/>
      <c r="EW143" s="139"/>
      <c r="EX143" s="139"/>
      <c r="EY143" s="139"/>
      <c r="EZ143" s="139"/>
      <c r="FA143" s="139"/>
      <c r="FB143" s="139"/>
      <c r="FC143" s="139"/>
      <c r="FD143" s="139"/>
      <c r="FE143" s="139"/>
      <c r="FF143" s="139"/>
      <c r="FG143" s="139"/>
      <c r="FH143" s="139"/>
      <c r="FI143" s="139"/>
      <c r="FJ143" s="139"/>
      <c r="FK143" s="139"/>
      <c r="FL143" s="139"/>
      <c r="FM143" s="139"/>
      <c r="FN143" s="139"/>
      <c r="FO143" s="139"/>
      <c r="FP143" s="139"/>
      <c r="FQ143" s="139"/>
      <c r="FR143" s="139"/>
      <c r="FS143" s="139"/>
      <c r="FT143" s="139"/>
      <c r="FU143" s="139"/>
      <c r="FV143" s="139"/>
      <c r="FW143" s="139"/>
      <c r="FX143" s="139"/>
      <c r="FY143" s="139"/>
      <c r="FZ143" s="139"/>
      <c r="GA143" s="139"/>
      <c r="GB143" s="139"/>
      <c r="GC143" s="139"/>
      <c r="GD143" s="139"/>
      <c r="GE143" s="139"/>
      <c r="GF143" s="139"/>
      <c r="GG143" s="139"/>
      <c r="GH143" s="139"/>
      <c r="GI143" s="139"/>
      <c r="GJ143" s="139"/>
      <c r="GK143" s="139"/>
      <c r="GL143" s="139"/>
      <c r="GM143" s="139"/>
      <c r="GN143" s="139"/>
      <c r="GO143" s="139"/>
      <c r="GP143" s="139"/>
      <c r="GQ143" s="139"/>
      <c r="GR143" s="139"/>
      <c r="GS143" s="139"/>
      <c r="GT143" s="139"/>
      <c r="GU143" s="139"/>
      <c r="GV143" s="139"/>
      <c r="GW143" s="139"/>
      <c r="GX143" s="139"/>
      <c r="GY143" s="139"/>
      <c r="GZ143" s="139"/>
      <c r="HA143" s="139"/>
      <c r="HB143" s="139"/>
      <c r="HC143" s="139"/>
      <c r="HD143" s="139"/>
      <c r="HE143" s="139"/>
      <c r="HF143" s="139"/>
      <c r="HG143" s="139"/>
      <c r="HH143" s="139"/>
      <c r="HI143" s="139"/>
      <c r="HJ143" s="139"/>
      <c r="HK143" s="139"/>
      <c r="HL143" s="139"/>
      <c r="HM143" s="139"/>
      <c r="HN143" s="139"/>
      <c r="HO143" s="139"/>
      <c r="HP143" s="139"/>
      <c r="HQ143" s="139"/>
      <c r="HR143" s="139"/>
      <c r="HS143" s="139"/>
      <c r="HT143" s="139"/>
      <c r="HU143" s="139"/>
      <c r="HV143" s="139"/>
      <c r="HW143" s="139"/>
      <c r="HX143" s="139"/>
      <c r="HY143" s="139"/>
      <c r="HZ143" s="139"/>
      <c r="IA143" s="139"/>
      <c r="IB143" s="139"/>
      <c r="IC143" s="139"/>
      <c r="ID143" s="139"/>
      <c r="IE143" s="139"/>
      <c r="IF143" s="139"/>
      <c r="IG143" s="139"/>
      <c r="IH143" s="139"/>
      <c r="II143" s="139"/>
      <c r="IJ143" s="139"/>
      <c r="IK143" s="139"/>
      <c r="IL143" s="139"/>
      <c r="IM143" s="139"/>
      <c r="IN143" s="139"/>
      <c r="IO143" s="139"/>
      <c r="IP143" s="139"/>
      <c r="IQ143" s="139"/>
      <c r="IR143" s="139"/>
    </row>
    <row r="144" spans="2:253" x14ac:dyDescent="0.3">
      <c r="B144" s="5" t="s">
        <v>108</v>
      </c>
      <c r="C144" s="916" t="s">
        <v>211</v>
      </c>
      <c r="D144" s="957">
        <v>0</v>
      </c>
      <c r="E144" s="957">
        <v>0</v>
      </c>
      <c r="F144" s="957">
        <v>0</v>
      </c>
      <c r="G144" s="957">
        <v>0</v>
      </c>
      <c r="H144" s="957">
        <v>0</v>
      </c>
      <c r="I144" s="957">
        <v>0</v>
      </c>
      <c r="J144" s="957">
        <v>0</v>
      </c>
      <c r="K144" s="958">
        <v>0</v>
      </c>
      <c r="L144" s="412">
        <f t="shared" si="18"/>
        <v>0</v>
      </c>
      <c r="M144" s="416">
        <f t="shared" si="19"/>
        <v>0</v>
      </c>
      <c r="N144" s="276"/>
      <c r="O144" s="164"/>
      <c r="P144" s="139"/>
      <c r="Q144" s="139"/>
      <c r="R144" s="139"/>
      <c r="S144" s="139"/>
      <c r="T144" s="139"/>
      <c r="U144" s="139"/>
      <c r="V144" s="139"/>
      <c r="W144" s="139"/>
      <c r="X144" s="139"/>
      <c r="Y144" s="139"/>
      <c r="Z144" s="139"/>
      <c r="AA144" s="139"/>
      <c r="AB144" s="139"/>
      <c r="AC144" s="139"/>
      <c r="AD144" s="139"/>
      <c r="AE144" s="139"/>
      <c r="AF144" s="139"/>
      <c r="AG144" s="139"/>
      <c r="AH144" s="139"/>
      <c r="AI144" s="139"/>
      <c r="AJ144" s="139"/>
      <c r="AK144" s="139"/>
      <c r="AL144" s="139"/>
      <c r="AM144" s="139"/>
      <c r="AN144" s="139"/>
      <c r="AO144" s="139"/>
      <c r="AP144" s="139"/>
      <c r="AQ144" s="139"/>
      <c r="AR144" s="139"/>
      <c r="AS144" s="139"/>
      <c r="AT144" s="139"/>
      <c r="AU144" s="139"/>
      <c r="AV144" s="139"/>
      <c r="AW144" s="139"/>
      <c r="AX144" s="139"/>
      <c r="AY144" s="139"/>
      <c r="AZ144" s="139"/>
      <c r="BA144" s="139"/>
      <c r="BB144" s="139"/>
      <c r="BC144" s="139"/>
      <c r="BD144" s="139"/>
      <c r="BE144" s="139"/>
      <c r="BF144" s="139"/>
      <c r="BG144" s="139"/>
      <c r="BH144" s="139"/>
      <c r="BI144" s="139"/>
      <c r="BJ144" s="139"/>
      <c r="BK144" s="139"/>
      <c r="BL144" s="139"/>
      <c r="BM144" s="139"/>
      <c r="BN144" s="139"/>
      <c r="BO144" s="139"/>
      <c r="BP144" s="139"/>
      <c r="BQ144" s="139"/>
      <c r="BR144" s="139"/>
      <c r="BS144" s="139"/>
      <c r="BT144" s="139"/>
      <c r="BU144" s="139"/>
      <c r="BV144" s="139"/>
      <c r="BW144" s="139"/>
      <c r="BX144" s="139"/>
      <c r="BY144" s="139"/>
      <c r="BZ144" s="139"/>
      <c r="CA144" s="139"/>
      <c r="CB144" s="139"/>
      <c r="CC144" s="139"/>
      <c r="CD144" s="139"/>
      <c r="CE144" s="139"/>
      <c r="CF144" s="139"/>
      <c r="CG144" s="139"/>
      <c r="CH144" s="139"/>
      <c r="CI144" s="139"/>
      <c r="CJ144" s="139"/>
      <c r="CK144" s="139"/>
      <c r="CL144" s="139"/>
      <c r="CM144" s="139"/>
      <c r="CN144" s="139"/>
      <c r="CO144" s="139"/>
      <c r="CP144" s="139"/>
      <c r="CQ144" s="139"/>
      <c r="CR144" s="139"/>
      <c r="CS144" s="139"/>
      <c r="CT144" s="139"/>
      <c r="CU144" s="139"/>
      <c r="CV144" s="139"/>
      <c r="CW144" s="139"/>
      <c r="CX144" s="139"/>
      <c r="CY144" s="139"/>
      <c r="CZ144" s="139"/>
      <c r="DA144" s="139"/>
      <c r="DB144" s="139"/>
      <c r="DC144" s="139"/>
      <c r="DD144" s="139"/>
      <c r="DE144" s="139"/>
      <c r="DF144" s="139"/>
      <c r="DG144" s="139"/>
      <c r="DH144" s="139"/>
      <c r="DI144" s="139"/>
      <c r="DJ144" s="139"/>
      <c r="DK144" s="139"/>
      <c r="DL144" s="139"/>
      <c r="DM144" s="139"/>
      <c r="DN144" s="139"/>
      <c r="DO144" s="139"/>
      <c r="DP144" s="139"/>
      <c r="DQ144" s="139"/>
      <c r="DR144" s="139"/>
      <c r="DS144" s="139"/>
      <c r="DT144" s="139"/>
      <c r="DU144" s="139"/>
      <c r="DV144" s="139"/>
      <c r="DW144" s="139"/>
      <c r="DX144" s="139"/>
      <c r="DY144" s="139"/>
      <c r="DZ144" s="139"/>
      <c r="EA144" s="139"/>
      <c r="EB144" s="139"/>
      <c r="EC144" s="139"/>
      <c r="ED144" s="139"/>
      <c r="EE144" s="139"/>
      <c r="EF144" s="139"/>
      <c r="EG144" s="139"/>
      <c r="EH144" s="139"/>
      <c r="EI144" s="139"/>
      <c r="EJ144" s="139"/>
      <c r="EK144" s="139"/>
      <c r="EL144" s="139"/>
      <c r="EM144" s="139"/>
      <c r="EN144" s="139"/>
      <c r="EO144" s="139"/>
      <c r="EP144" s="139"/>
      <c r="EQ144" s="139"/>
      <c r="ER144" s="139"/>
      <c r="ES144" s="139"/>
      <c r="ET144" s="139"/>
      <c r="EU144" s="139"/>
      <c r="EV144" s="139"/>
      <c r="EW144" s="139"/>
      <c r="EX144" s="139"/>
      <c r="EY144" s="139"/>
      <c r="EZ144" s="139"/>
      <c r="FA144" s="139"/>
      <c r="FB144" s="139"/>
      <c r="FC144" s="139"/>
      <c r="FD144" s="139"/>
      <c r="FE144" s="139"/>
      <c r="FF144" s="139"/>
      <c r="FG144" s="139"/>
      <c r="FH144" s="139"/>
      <c r="FI144" s="139"/>
      <c r="FJ144" s="139"/>
      <c r="FK144" s="139"/>
      <c r="FL144" s="139"/>
      <c r="FM144" s="139"/>
      <c r="FN144" s="139"/>
      <c r="FO144" s="139"/>
      <c r="FP144" s="139"/>
      <c r="FQ144" s="139"/>
      <c r="FR144" s="139"/>
      <c r="FS144" s="139"/>
      <c r="FT144" s="139"/>
      <c r="FU144" s="139"/>
      <c r="FV144" s="139"/>
      <c r="FW144" s="139"/>
      <c r="FX144" s="139"/>
      <c r="FY144" s="139"/>
      <c r="FZ144" s="139"/>
      <c r="GA144" s="139"/>
      <c r="GB144" s="139"/>
      <c r="GC144" s="139"/>
      <c r="GD144" s="139"/>
      <c r="GE144" s="139"/>
      <c r="GF144" s="139"/>
      <c r="GG144" s="139"/>
      <c r="GH144" s="139"/>
      <c r="GI144" s="139"/>
      <c r="GJ144" s="139"/>
      <c r="GK144" s="139"/>
      <c r="GL144" s="139"/>
      <c r="GM144" s="139"/>
      <c r="GN144" s="139"/>
      <c r="GO144" s="139"/>
      <c r="GP144" s="139"/>
      <c r="GQ144" s="139"/>
      <c r="GR144" s="139"/>
      <c r="GS144" s="139"/>
      <c r="GT144" s="139"/>
      <c r="GU144" s="139"/>
      <c r="GV144" s="139"/>
      <c r="GW144" s="139"/>
      <c r="GX144" s="139"/>
      <c r="GY144" s="139"/>
      <c r="GZ144" s="139"/>
      <c r="HA144" s="139"/>
      <c r="HB144" s="139"/>
      <c r="HC144" s="139"/>
      <c r="HD144" s="139"/>
      <c r="HE144" s="139"/>
      <c r="HF144" s="139"/>
      <c r="HG144" s="139"/>
      <c r="HH144" s="139"/>
      <c r="HI144" s="139"/>
      <c r="HJ144" s="139"/>
      <c r="HK144" s="139"/>
      <c r="HL144" s="139"/>
      <c r="HM144" s="139"/>
      <c r="HN144" s="139"/>
      <c r="HO144" s="139"/>
      <c r="HP144" s="139"/>
      <c r="HQ144" s="139"/>
      <c r="HR144" s="139"/>
      <c r="HS144" s="139"/>
      <c r="HT144" s="139"/>
      <c r="HU144" s="139"/>
      <c r="HV144" s="139"/>
      <c r="HW144" s="139"/>
      <c r="HX144" s="139"/>
      <c r="HY144" s="139"/>
      <c r="HZ144" s="139"/>
      <c r="IA144" s="139"/>
      <c r="IB144" s="139"/>
      <c r="IC144" s="139"/>
      <c r="ID144" s="139"/>
      <c r="IE144" s="139"/>
      <c r="IF144" s="139"/>
      <c r="IG144" s="139"/>
      <c r="IH144" s="139"/>
      <c r="II144" s="139"/>
      <c r="IJ144" s="139"/>
      <c r="IK144" s="139"/>
      <c r="IL144" s="139"/>
      <c r="IM144" s="139"/>
      <c r="IN144" s="139"/>
      <c r="IO144" s="139"/>
      <c r="IP144" s="139"/>
      <c r="IQ144" s="139"/>
      <c r="IR144" s="139"/>
    </row>
    <row r="145" spans="2:252" x14ac:dyDescent="0.3">
      <c r="B145" s="5" t="s">
        <v>109</v>
      </c>
      <c r="C145" s="916" t="s">
        <v>212</v>
      </c>
      <c r="D145" s="957">
        <v>298760.30941268406</v>
      </c>
      <c r="E145" s="957">
        <v>187.9202346205783</v>
      </c>
      <c r="F145" s="957">
        <v>10.87082410740844</v>
      </c>
      <c r="G145" s="957">
        <v>2.6651636875358831</v>
      </c>
      <c r="H145" s="957">
        <v>16086929.881778462</v>
      </c>
      <c r="I145" s="957">
        <v>10118.678895638654</v>
      </c>
      <c r="J145" s="957">
        <v>10.87082410740844</v>
      </c>
      <c r="K145" s="958">
        <v>2.6651636875358831</v>
      </c>
      <c r="L145" s="412">
        <f t="shared" si="18"/>
        <v>16385690.191191146</v>
      </c>
      <c r="M145" s="416">
        <f t="shared" si="19"/>
        <v>10333.671105849122</v>
      </c>
      <c r="N145" s="276"/>
      <c r="O145" s="164"/>
      <c r="P145" s="139"/>
      <c r="Q145" s="139"/>
      <c r="R145" s="139"/>
      <c r="S145" s="139"/>
      <c r="T145" s="139"/>
      <c r="U145" s="139"/>
      <c r="V145" s="139"/>
      <c r="W145" s="139"/>
      <c r="X145" s="139"/>
      <c r="Y145" s="139"/>
      <c r="Z145" s="139"/>
      <c r="AA145" s="139"/>
      <c r="AB145" s="139"/>
      <c r="AC145" s="139"/>
      <c r="AD145" s="139"/>
      <c r="AE145" s="139"/>
      <c r="AF145" s="139"/>
      <c r="AG145" s="139"/>
      <c r="AH145" s="139"/>
      <c r="AI145" s="139"/>
      <c r="AJ145" s="139"/>
      <c r="AK145" s="139"/>
      <c r="AL145" s="139"/>
      <c r="AM145" s="139"/>
      <c r="AN145" s="139"/>
      <c r="AO145" s="139"/>
      <c r="AP145" s="139"/>
      <c r="AQ145" s="139"/>
      <c r="AR145" s="139"/>
      <c r="AS145" s="139"/>
      <c r="AT145" s="139"/>
      <c r="AU145" s="139"/>
      <c r="AV145" s="139"/>
      <c r="AW145" s="139"/>
      <c r="AX145" s="139"/>
      <c r="AY145" s="139"/>
      <c r="AZ145" s="139"/>
      <c r="BA145" s="139"/>
      <c r="BB145" s="139"/>
      <c r="BC145" s="139"/>
      <c r="BD145" s="139"/>
      <c r="BE145" s="139"/>
      <c r="BF145" s="139"/>
      <c r="BG145" s="139"/>
      <c r="BH145" s="139"/>
      <c r="BI145" s="139"/>
      <c r="BJ145" s="139"/>
      <c r="BK145" s="139"/>
      <c r="BL145" s="139"/>
      <c r="BM145" s="139"/>
      <c r="BN145" s="139"/>
      <c r="BO145" s="139"/>
      <c r="BP145" s="139"/>
      <c r="BQ145" s="139"/>
      <c r="BR145" s="139"/>
      <c r="BS145" s="139"/>
      <c r="BT145" s="139"/>
      <c r="BU145" s="139"/>
      <c r="BV145" s="139"/>
      <c r="BW145" s="139"/>
      <c r="BX145" s="139"/>
      <c r="BY145" s="139"/>
      <c r="BZ145" s="139"/>
      <c r="CA145" s="139"/>
      <c r="CB145" s="139"/>
      <c r="CC145" s="139"/>
      <c r="CD145" s="139"/>
      <c r="CE145" s="139"/>
      <c r="CF145" s="139"/>
      <c r="CG145" s="139"/>
      <c r="CH145" s="139"/>
      <c r="CI145" s="139"/>
      <c r="CJ145" s="139"/>
      <c r="CK145" s="139"/>
      <c r="CL145" s="139"/>
      <c r="CM145" s="139"/>
      <c r="CN145" s="139"/>
      <c r="CO145" s="139"/>
      <c r="CP145" s="139"/>
      <c r="CQ145" s="139"/>
      <c r="CR145" s="139"/>
      <c r="CS145" s="139"/>
      <c r="CT145" s="139"/>
      <c r="CU145" s="139"/>
      <c r="CV145" s="139"/>
      <c r="CW145" s="139"/>
      <c r="CX145" s="139"/>
      <c r="CY145" s="139"/>
      <c r="CZ145" s="139"/>
      <c r="DA145" s="139"/>
      <c r="DB145" s="139"/>
      <c r="DC145" s="139"/>
      <c r="DD145" s="139"/>
      <c r="DE145" s="139"/>
      <c r="DF145" s="139"/>
      <c r="DG145" s="139"/>
      <c r="DH145" s="139"/>
      <c r="DI145" s="139"/>
      <c r="DJ145" s="139"/>
      <c r="DK145" s="139"/>
      <c r="DL145" s="139"/>
      <c r="DM145" s="139"/>
      <c r="DN145" s="139"/>
      <c r="DO145" s="139"/>
      <c r="DP145" s="139"/>
      <c r="DQ145" s="139"/>
      <c r="DR145" s="139"/>
      <c r="DS145" s="139"/>
      <c r="DT145" s="139"/>
      <c r="DU145" s="139"/>
      <c r="DV145" s="139"/>
      <c r="DW145" s="139"/>
      <c r="DX145" s="139"/>
      <c r="DY145" s="139"/>
      <c r="DZ145" s="139"/>
      <c r="EA145" s="139"/>
      <c r="EB145" s="139"/>
      <c r="EC145" s="139"/>
      <c r="ED145" s="139"/>
      <c r="EE145" s="139"/>
      <c r="EF145" s="139"/>
      <c r="EG145" s="139"/>
      <c r="EH145" s="139"/>
      <c r="EI145" s="139"/>
      <c r="EJ145" s="139"/>
      <c r="EK145" s="139"/>
      <c r="EL145" s="139"/>
      <c r="EM145" s="139"/>
      <c r="EN145" s="139"/>
      <c r="EO145" s="139"/>
      <c r="EP145" s="139"/>
      <c r="EQ145" s="139"/>
      <c r="ER145" s="139"/>
      <c r="ES145" s="139"/>
      <c r="ET145" s="139"/>
      <c r="EU145" s="139"/>
      <c r="EV145" s="139"/>
      <c r="EW145" s="139"/>
      <c r="EX145" s="139"/>
      <c r="EY145" s="139"/>
      <c r="EZ145" s="139"/>
      <c r="FA145" s="139"/>
      <c r="FB145" s="139"/>
      <c r="FC145" s="139"/>
      <c r="FD145" s="139"/>
      <c r="FE145" s="139"/>
      <c r="FF145" s="139"/>
      <c r="FG145" s="139"/>
      <c r="FH145" s="139"/>
      <c r="FI145" s="139"/>
      <c r="FJ145" s="139"/>
      <c r="FK145" s="139"/>
      <c r="FL145" s="139"/>
      <c r="FM145" s="139"/>
      <c r="FN145" s="139"/>
      <c r="FO145" s="139"/>
      <c r="FP145" s="139"/>
      <c r="FQ145" s="139"/>
      <c r="FR145" s="139"/>
      <c r="FS145" s="139"/>
      <c r="FT145" s="139"/>
      <c r="FU145" s="139"/>
      <c r="FV145" s="139"/>
      <c r="FW145" s="139"/>
      <c r="FX145" s="139"/>
      <c r="FY145" s="139"/>
      <c r="FZ145" s="139"/>
      <c r="GA145" s="139"/>
      <c r="GB145" s="139"/>
      <c r="GC145" s="139"/>
      <c r="GD145" s="139"/>
      <c r="GE145" s="139"/>
      <c r="GF145" s="139"/>
      <c r="GG145" s="139"/>
      <c r="GH145" s="139"/>
      <c r="GI145" s="139"/>
      <c r="GJ145" s="139"/>
      <c r="GK145" s="139"/>
      <c r="GL145" s="139"/>
      <c r="GM145" s="139"/>
      <c r="GN145" s="139"/>
      <c r="GO145" s="139"/>
      <c r="GP145" s="139"/>
      <c r="GQ145" s="139"/>
      <c r="GR145" s="139"/>
      <c r="GS145" s="139"/>
      <c r="GT145" s="139"/>
      <c r="GU145" s="139"/>
      <c r="GV145" s="139"/>
      <c r="GW145" s="139"/>
      <c r="GX145" s="139"/>
      <c r="GY145" s="139"/>
      <c r="GZ145" s="139"/>
      <c r="HA145" s="139"/>
      <c r="HB145" s="139"/>
      <c r="HC145" s="139"/>
      <c r="HD145" s="139"/>
      <c r="HE145" s="139"/>
      <c r="HF145" s="139"/>
      <c r="HG145" s="139"/>
      <c r="HH145" s="139"/>
      <c r="HI145" s="139"/>
      <c r="HJ145" s="139"/>
      <c r="HK145" s="139"/>
      <c r="HL145" s="139"/>
      <c r="HM145" s="139"/>
      <c r="HN145" s="139"/>
      <c r="HO145" s="139"/>
      <c r="HP145" s="139"/>
      <c r="HQ145" s="139"/>
      <c r="HR145" s="139"/>
      <c r="HS145" s="139"/>
      <c r="HT145" s="139"/>
      <c r="HU145" s="139"/>
      <c r="HV145" s="139"/>
      <c r="HW145" s="139"/>
      <c r="HX145" s="139"/>
      <c r="HY145" s="139"/>
      <c r="HZ145" s="139"/>
      <c r="IA145" s="139"/>
      <c r="IB145" s="139"/>
      <c r="IC145" s="139"/>
      <c r="ID145" s="139"/>
      <c r="IE145" s="139"/>
      <c r="IF145" s="139"/>
      <c r="IG145" s="139"/>
      <c r="IH145" s="139"/>
      <c r="II145" s="139"/>
      <c r="IJ145" s="139"/>
      <c r="IK145" s="139"/>
      <c r="IL145" s="139"/>
      <c r="IM145" s="139"/>
      <c r="IN145" s="139"/>
      <c r="IO145" s="139"/>
      <c r="IP145" s="139"/>
      <c r="IQ145" s="139"/>
      <c r="IR145" s="139"/>
    </row>
    <row r="146" spans="2:252" x14ac:dyDescent="0.3">
      <c r="B146" s="5" t="s">
        <v>110</v>
      </c>
      <c r="C146" s="916" t="s">
        <v>213</v>
      </c>
      <c r="D146" s="957">
        <v>0</v>
      </c>
      <c r="E146" s="957">
        <v>0</v>
      </c>
      <c r="F146" s="957">
        <v>0</v>
      </c>
      <c r="G146" s="957">
        <v>0</v>
      </c>
      <c r="H146" s="957">
        <v>0</v>
      </c>
      <c r="I146" s="957">
        <v>0</v>
      </c>
      <c r="J146" s="957">
        <v>0</v>
      </c>
      <c r="K146" s="958">
        <v>0</v>
      </c>
      <c r="L146" s="412">
        <f t="shared" si="18"/>
        <v>0</v>
      </c>
      <c r="M146" s="416">
        <f t="shared" si="19"/>
        <v>0</v>
      </c>
      <c r="N146" s="276"/>
      <c r="O146" s="164"/>
      <c r="P146" s="139"/>
      <c r="Q146" s="139"/>
      <c r="R146" s="139"/>
      <c r="S146" s="139"/>
      <c r="T146" s="139"/>
      <c r="U146" s="139"/>
      <c r="V146" s="139"/>
      <c r="W146" s="139"/>
      <c r="X146" s="139"/>
      <c r="Y146" s="139"/>
      <c r="Z146" s="139"/>
      <c r="AA146" s="139"/>
      <c r="AB146" s="139"/>
      <c r="AC146" s="139"/>
      <c r="AD146" s="139"/>
      <c r="AE146" s="139"/>
      <c r="AF146" s="139"/>
      <c r="AG146" s="139"/>
      <c r="AH146" s="139"/>
      <c r="AI146" s="139"/>
      <c r="AJ146" s="139"/>
      <c r="AK146" s="139"/>
      <c r="AL146" s="139"/>
      <c r="AM146" s="139"/>
      <c r="AN146" s="139"/>
      <c r="AO146" s="139"/>
      <c r="AP146" s="139"/>
      <c r="AQ146" s="139"/>
      <c r="AR146" s="139"/>
      <c r="AS146" s="139"/>
      <c r="AT146" s="139"/>
      <c r="AU146" s="139"/>
      <c r="AV146" s="139"/>
      <c r="AW146" s="139"/>
      <c r="AX146" s="139"/>
      <c r="AY146" s="139"/>
      <c r="AZ146" s="139"/>
      <c r="BA146" s="139"/>
      <c r="BB146" s="139"/>
      <c r="BC146" s="139"/>
      <c r="BD146" s="139"/>
      <c r="BE146" s="139"/>
      <c r="BF146" s="139"/>
      <c r="BG146" s="139"/>
      <c r="BH146" s="139"/>
      <c r="BI146" s="139"/>
      <c r="BJ146" s="139"/>
      <c r="BK146" s="139"/>
      <c r="BL146" s="139"/>
      <c r="BM146" s="139"/>
      <c r="BN146" s="139"/>
      <c r="BO146" s="139"/>
      <c r="BP146" s="139"/>
      <c r="BQ146" s="139"/>
      <c r="BR146" s="139"/>
      <c r="BS146" s="139"/>
      <c r="BT146" s="139"/>
      <c r="BU146" s="139"/>
      <c r="BV146" s="139"/>
      <c r="BW146" s="139"/>
      <c r="BX146" s="139"/>
      <c r="BY146" s="139"/>
      <c r="BZ146" s="139"/>
      <c r="CA146" s="139"/>
      <c r="CB146" s="139"/>
      <c r="CC146" s="139"/>
      <c r="CD146" s="139"/>
      <c r="CE146" s="139"/>
      <c r="CF146" s="139"/>
      <c r="CG146" s="139"/>
      <c r="CH146" s="139"/>
      <c r="CI146" s="139"/>
      <c r="CJ146" s="139"/>
      <c r="CK146" s="139"/>
      <c r="CL146" s="139"/>
      <c r="CM146" s="139"/>
      <c r="CN146" s="139"/>
      <c r="CO146" s="139"/>
      <c r="CP146" s="139"/>
      <c r="CQ146" s="139"/>
      <c r="CR146" s="139"/>
      <c r="CS146" s="139"/>
      <c r="CT146" s="139"/>
      <c r="CU146" s="139"/>
      <c r="CV146" s="139"/>
      <c r="CW146" s="139"/>
      <c r="CX146" s="139"/>
      <c r="CY146" s="139"/>
      <c r="CZ146" s="139"/>
      <c r="DA146" s="139"/>
      <c r="DB146" s="139"/>
      <c r="DC146" s="139"/>
      <c r="DD146" s="139"/>
      <c r="DE146" s="139"/>
      <c r="DF146" s="139"/>
      <c r="DG146" s="139"/>
      <c r="DH146" s="139"/>
      <c r="DI146" s="139"/>
      <c r="DJ146" s="139"/>
      <c r="DK146" s="139"/>
      <c r="DL146" s="139"/>
      <c r="DM146" s="139"/>
      <c r="DN146" s="139"/>
      <c r="DO146" s="139"/>
      <c r="DP146" s="139"/>
      <c r="DQ146" s="139"/>
      <c r="DR146" s="139"/>
      <c r="DS146" s="139"/>
      <c r="DT146" s="139"/>
      <c r="DU146" s="139"/>
      <c r="DV146" s="139"/>
      <c r="DW146" s="139"/>
      <c r="DX146" s="139"/>
      <c r="DY146" s="139"/>
      <c r="DZ146" s="139"/>
      <c r="EA146" s="139"/>
      <c r="EB146" s="139"/>
      <c r="EC146" s="139"/>
      <c r="ED146" s="139"/>
      <c r="EE146" s="139"/>
      <c r="EF146" s="139"/>
      <c r="EG146" s="139"/>
      <c r="EH146" s="139"/>
      <c r="EI146" s="139"/>
      <c r="EJ146" s="139"/>
      <c r="EK146" s="139"/>
      <c r="EL146" s="139"/>
      <c r="EM146" s="139"/>
      <c r="EN146" s="139"/>
      <c r="EO146" s="139"/>
      <c r="EP146" s="139"/>
      <c r="EQ146" s="139"/>
      <c r="ER146" s="139"/>
      <c r="ES146" s="139"/>
      <c r="ET146" s="139"/>
      <c r="EU146" s="139"/>
      <c r="EV146" s="139"/>
      <c r="EW146" s="139"/>
      <c r="EX146" s="139"/>
      <c r="EY146" s="139"/>
      <c r="EZ146" s="139"/>
      <c r="FA146" s="139"/>
      <c r="FB146" s="139"/>
      <c r="FC146" s="139"/>
      <c r="FD146" s="139"/>
      <c r="FE146" s="139"/>
      <c r="FF146" s="139"/>
      <c r="FG146" s="139"/>
      <c r="FH146" s="139"/>
      <c r="FI146" s="139"/>
      <c r="FJ146" s="139"/>
      <c r="FK146" s="139"/>
      <c r="FL146" s="139"/>
      <c r="FM146" s="139"/>
      <c r="FN146" s="139"/>
      <c r="FO146" s="139"/>
      <c r="FP146" s="139"/>
      <c r="FQ146" s="139"/>
      <c r="FR146" s="139"/>
      <c r="FS146" s="139"/>
      <c r="FT146" s="139"/>
      <c r="FU146" s="139"/>
      <c r="FV146" s="139"/>
      <c r="FW146" s="139"/>
      <c r="FX146" s="139"/>
      <c r="FY146" s="139"/>
      <c r="FZ146" s="139"/>
      <c r="GA146" s="139"/>
      <c r="GB146" s="139"/>
      <c r="GC146" s="139"/>
      <c r="GD146" s="139"/>
      <c r="GE146" s="139"/>
      <c r="GF146" s="139"/>
      <c r="GG146" s="139"/>
      <c r="GH146" s="139"/>
      <c r="GI146" s="139"/>
      <c r="GJ146" s="139"/>
      <c r="GK146" s="139"/>
      <c r="GL146" s="139"/>
      <c r="GM146" s="139"/>
      <c r="GN146" s="139"/>
      <c r="GO146" s="139"/>
      <c r="GP146" s="139"/>
      <c r="GQ146" s="139"/>
      <c r="GR146" s="139"/>
      <c r="GS146" s="139"/>
      <c r="GT146" s="139"/>
      <c r="GU146" s="139"/>
      <c r="GV146" s="139"/>
      <c r="GW146" s="139"/>
      <c r="GX146" s="139"/>
      <c r="GY146" s="139"/>
      <c r="GZ146" s="139"/>
      <c r="HA146" s="139"/>
      <c r="HB146" s="139"/>
      <c r="HC146" s="139"/>
      <c r="HD146" s="139"/>
      <c r="HE146" s="139"/>
      <c r="HF146" s="139"/>
      <c r="HG146" s="139"/>
      <c r="HH146" s="139"/>
      <c r="HI146" s="139"/>
      <c r="HJ146" s="139"/>
      <c r="HK146" s="139"/>
      <c r="HL146" s="139"/>
      <c r="HM146" s="139"/>
      <c r="HN146" s="139"/>
      <c r="HO146" s="139"/>
      <c r="HP146" s="139"/>
      <c r="HQ146" s="139"/>
      <c r="HR146" s="139"/>
      <c r="HS146" s="139"/>
      <c r="HT146" s="139"/>
      <c r="HU146" s="139"/>
      <c r="HV146" s="139"/>
      <c r="HW146" s="139"/>
      <c r="HX146" s="139"/>
      <c r="HY146" s="139"/>
      <c r="HZ146" s="139"/>
      <c r="IA146" s="139"/>
      <c r="IB146" s="139"/>
      <c r="IC146" s="139"/>
      <c r="ID146" s="139"/>
      <c r="IE146" s="139"/>
      <c r="IF146" s="139"/>
      <c r="IG146" s="139"/>
      <c r="IH146" s="139"/>
      <c r="II146" s="139"/>
      <c r="IJ146" s="139"/>
      <c r="IK146" s="139"/>
      <c r="IL146" s="139"/>
      <c r="IM146" s="139"/>
      <c r="IN146" s="139"/>
      <c r="IO146" s="139"/>
      <c r="IP146" s="139"/>
      <c r="IQ146" s="139"/>
      <c r="IR146" s="139"/>
    </row>
    <row r="147" spans="2:252" x14ac:dyDescent="0.3">
      <c r="B147" s="5" t="s">
        <v>111</v>
      </c>
      <c r="C147" s="916" t="s">
        <v>214</v>
      </c>
      <c r="D147" s="957">
        <v>0</v>
      </c>
      <c r="E147" s="957">
        <v>0</v>
      </c>
      <c r="F147" s="957">
        <v>0</v>
      </c>
      <c r="G147" s="957">
        <v>0</v>
      </c>
      <c r="H147" s="957">
        <v>0</v>
      </c>
      <c r="I147" s="957">
        <v>0</v>
      </c>
      <c r="J147" s="957">
        <v>0</v>
      </c>
      <c r="K147" s="958">
        <v>0</v>
      </c>
      <c r="L147" s="412">
        <f t="shared" si="18"/>
        <v>0</v>
      </c>
      <c r="M147" s="416">
        <f t="shared" si="19"/>
        <v>0</v>
      </c>
      <c r="N147" s="276"/>
      <c r="O147" s="164"/>
      <c r="P147" s="139"/>
      <c r="Q147" s="139"/>
      <c r="R147" s="139"/>
      <c r="S147" s="139"/>
      <c r="T147" s="139"/>
      <c r="U147" s="139"/>
      <c r="V147" s="139"/>
      <c r="W147" s="139"/>
      <c r="X147" s="139"/>
      <c r="Y147" s="139"/>
      <c r="Z147" s="139"/>
      <c r="AA147" s="139"/>
      <c r="AB147" s="139"/>
      <c r="AC147" s="139"/>
      <c r="AD147" s="139"/>
      <c r="AE147" s="139"/>
      <c r="AF147" s="139"/>
      <c r="AG147" s="139"/>
      <c r="AH147" s="139"/>
      <c r="AI147" s="139"/>
      <c r="AJ147" s="139"/>
      <c r="AK147" s="139"/>
      <c r="AL147" s="139"/>
      <c r="AM147" s="139"/>
      <c r="AN147" s="139"/>
      <c r="AO147" s="139"/>
      <c r="AP147" s="139"/>
      <c r="AQ147" s="139"/>
      <c r="AR147" s="139"/>
      <c r="AS147" s="139"/>
      <c r="AT147" s="139"/>
      <c r="AU147" s="139"/>
      <c r="AV147" s="139"/>
      <c r="AW147" s="139"/>
      <c r="AX147" s="139"/>
      <c r="AY147" s="139"/>
      <c r="AZ147" s="139"/>
      <c r="BA147" s="139"/>
      <c r="BB147" s="139"/>
      <c r="BC147" s="139"/>
      <c r="BD147" s="139"/>
      <c r="BE147" s="139"/>
      <c r="BF147" s="139"/>
      <c r="BG147" s="139"/>
      <c r="BH147" s="139"/>
      <c r="BI147" s="139"/>
      <c r="BJ147" s="139"/>
      <c r="BK147" s="139"/>
      <c r="BL147" s="139"/>
      <c r="BM147" s="139"/>
      <c r="BN147" s="139"/>
      <c r="BO147" s="139"/>
      <c r="BP147" s="139"/>
      <c r="BQ147" s="139"/>
      <c r="BR147" s="139"/>
      <c r="BS147" s="139"/>
      <c r="BT147" s="139"/>
      <c r="BU147" s="139"/>
      <c r="BV147" s="139"/>
      <c r="BW147" s="139"/>
      <c r="BX147" s="139"/>
      <c r="BY147" s="139"/>
      <c r="BZ147" s="139"/>
      <c r="CA147" s="139"/>
      <c r="CB147" s="139"/>
      <c r="CC147" s="139"/>
      <c r="CD147" s="139"/>
      <c r="CE147" s="139"/>
      <c r="CF147" s="139"/>
      <c r="CG147" s="139"/>
      <c r="CH147" s="139"/>
      <c r="CI147" s="139"/>
      <c r="CJ147" s="139"/>
      <c r="CK147" s="139"/>
      <c r="CL147" s="139"/>
      <c r="CM147" s="139"/>
      <c r="CN147" s="139"/>
      <c r="CO147" s="139"/>
      <c r="CP147" s="139"/>
      <c r="CQ147" s="139"/>
      <c r="CR147" s="139"/>
      <c r="CS147" s="139"/>
      <c r="CT147" s="139"/>
      <c r="CU147" s="139"/>
      <c r="CV147" s="139"/>
      <c r="CW147" s="139"/>
      <c r="CX147" s="139"/>
      <c r="CY147" s="139"/>
      <c r="CZ147" s="139"/>
      <c r="DA147" s="139"/>
      <c r="DB147" s="139"/>
      <c r="DC147" s="139"/>
      <c r="DD147" s="139"/>
      <c r="DE147" s="139"/>
      <c r="DF147" s="139"/>
      <c r="DG147" s="139"/>
      <c r="DH147" s="139"/>
      <c r="DI147" s="139"/>
      <c r="DJ147" s="139"/>
      <c r="DK147" s="139"/>
      <c r="DL147" s="139"/>
      <c r="DM147" s="139"/>
      <c r="DN147" s="139"/>
      <c r="DO147" s="139"/>
      <c r="DP147" s="139"/>
      <c r="DQ147" s="139"/>
      <c r="DR147" s="139"/>
      <c r="DS147" s="139"/>
      <c r="DT147" s="139"/>
      <c r="DU147" s="139"/>
      <c r="DV147" s="139"/>
      <c r="DW147" s="139"/>
      <c r="DX147" s="139"/>
      <c r="DY147" s="139"/>
      <c r="DZ147" s="139"/>
      <c r="EA147" s="139"/>
      <c r="EB147" s="139"/>
      <c r="EC147" s="139"/>
      <c r="ED147" s="139"/>
      <c r="EE147" s="139"/>
      <c r="EF147" s="139"/>
      <c r="EG147" s="139"/>
      <c r="EH147" s="139"/>
      <c r="EI147" s="139"/>
      <c r="EJ147" s="139"/>
      <c r="EK147" s="139"/>
      <c r="EL147" s="139"/>
      <c r="EM147" s="139"/>
      <c r="EN147" s="139"/>
      <c r="EO147" s="139"/>
      <c r="EP147" s="139"/>
      <c r="EQ147" s="139"/>
      <c r="ER147" s="139"/>
      <c r="ES147" s="139"/>
      <c r="ET147" s="139"/>
      <c r="EU147" s="139"/>
      <c r="EV147" s="139"/>
      <c r="EW147" s="139"/>
      <c r="EX147" s="139"/>
      <c r="EY147" s="139"/>
      <c r="EZ147" s="139"/>
      <c r="FA147" s="139"/>
      <c r="FB147" s="139"/>
      <c r="FC147" s="139"/>
      <c r="FD147" s="139"/>
      <c r="FE147" s="139"/>
      <c r="FF147" s="139"/>
      <c r="FG147" s="139"/>
      <c r="FH147" s="139"/>
      <c r="FI147" s="139"/>
      <c r="FJ147" s="139"/>
      <c r="FK147" s="139"/>
      <c r="FL147" s="139"/>
      <c r="FM147" s="139"/>
      <c r="FN147" s="139"/>
      <c r="FO147" s="139"/>
      <c r="FP147" s="139"/>
      <c r="FQ147" s="139"/>
      <c r="FR147" s="139"/>
      <c r="FS147" s="139"/>
      <c r="FT147" s="139"/>
      <c r="FU147" s="139"/>
      <c r="FV147" s="139"/>
      <c r="FW147" s="139"/>
      <c r="FX147" s="139"/>
      <c r="FY147" s="139"/>
      <c r="FZ147" s="139"/>
      <c r="GA147" s="139"/>
      <c r="GB147" s="139"/>
      <c r="GC147" s="139"/>
      <c r="GD147" s="139"/>
      <c r="GE147" s="139"/>
      <c r="GF147" s="139"/>
      <c r="GG147" s="139"/>
      <c r="GH147" s="139"/>
      <c r="GI147" s="139"/>
      <c r="GJ147" s="139"/>
      <c r="GK147" s="139"/>
      <c r="GL147" s="139"/>
      <c r="GM147" s="139"/>
      <c r="GN147" s="139"/>
      <c r="GO147" s="139"/>
      <c r="GP147" s="139"/>
      <c r="GQ147" s="139"/>
      <c r="GR147" s="139"/>
      <c r="GS147" s="139"/>
      <c r="GT147" s="139"/>
      <c r="GU147" s="139"/>
      <c r="GV147" s="139"/>
      <c r="GW147" s="139"/>
      <c r="GX147" s="139"/>
      <c r="GY147" s="139"/>
      <c r="GZ147" s="139"/>
      <c r="HA147" s="139"/>
      <c r="HB147" s="139"/>
      <c r="HC147" s="139"/>
      <c r="HD147" s="139"/>
      <c r="HE147" s="139"/>
      <c r="HF147" s="139"/>
      <c r="HG147" s="139"/>
      <c r="HH147" s="139"/>
      <c r="HI147" s="139"/>
      <c r="HJ147" s="139"/>
      <c r="HK147" s="139"/>
      <c r="HL147" s="139"/>
      <c r="HM147" s="139"/>
      <c r="HN147" s="139"/>
      <c r="HO147" s="139"/>
      <c r="HP147" s="139"/>
      <c r="HQ147" s="139"/>
      <c r="HR147" s="139"/>
      <c r="HS147" s="139"/>
      <c r="HT147" s="139"/>
      <c r="HU147" s="139"/>
      <c r="HV147" s="139"/>
      <c r="HW147" s="139"/>
      <c r="HX147" s="139"/>
      <c r="HY147" s="139"/>
      <c r="HZ147" s="139"/>
      <c r="IA147" s="139"/>
      <c r="IB147" s="139"/>
      <c r="IC147" s="139"/>
      <c r="ID147" s="139"/>
      <c r="IE147" s="139"/>
      <c r="IF147" s="139"/>
      <c r="IG147" s="139"/>
      <c r="IH147" s="139"/>
      <c r="II147" s="139"/>
      <c r="IJ147" s="139"/>
      <c r="IK147" s="139"/>
      <c r="IL147" s="139"/>
      <c r="IM147" s="139"/>
      <c r="IN147" s="139"/>
      <c r="IO147" s="139"/>
      <c r="IP147" s="139"/>
      <c r="IQ147" s="139"/>
      <c r="IR147" s="139"/>
    </row>
    <row r="148" spans="2:252" x14ac:dyDescent="0.3">
      <c r="B148" s="5" t="s">
        <v>112</v>
      </c>
      <c r="C148" s="916" t="s">
        <v>215</v>
      </c>
      <c r="D148" s="957">
        <v>0</v>
      </c>
      <c r="E148" s="957">
        <v>0</v>
      </c>
      <c r="F148" s="957">
        <v>0</v>
      </c>
      <c r="G148" s="957">
        <v>0</v>
      </c>
      <c r="H148" s="957">
        <v>0</v>
      </c>
      <c r="I148" s="957">
        <v>0</v>
      </c>
      <c r="J148" s="957">
        <v>0</v>
      </c>
      <c r="K148" s="958">
        <v>0</v>
      </c>
      <c r="L148" s="412">
        <f t="shared" si="18"/>
        <v>0</v>
      </c>
      <c r="M148" s="416">
        <f t="shared" si="19"/>
        <v>0</v>
      </c>
      <c r="N148" s="276"/>
      <c r="O148" s="164"/>
      <c r="P148" s="139"/>
      <c r="Q148" s="139"/>
      <c r="R148" s="139"/>
      <c r="S148" s="139"/>
      <c r="T148" s="139"/>
      <c r="U148" s="139"/>
      <c r="V148" s="139"/>
      <c r="W148" s="139"/>
      <c r="X148" s="139"/>
      <c r="Y148" s="139"/>
      <c r="Z148" s="139"/>
      <c r="AA148" s="139"/>
      <c r="AB148" s="139"/>
      <c r="AC148" s="139"/>
      <c r="AD148" s="139"/>
      <c r="AE148" s="139"/>
      <c r="AF148" s="139"/>
      <c r="AG148" s="139"/>
      <c r="AH148" s="139"/>
      <c r="AI148" s="139"/>
      <c r="AJ148" s="139"/>
      <c r="AK148" s="139"/>
      <c r="AL148" s="139"/>
      <c r="AM148" s="139"/>
      <c r="AN148" s="139"/>
      <c r="AO148" s="139"/>
      <c r="AP148" s="139"/>
      <c r="AQ148" s="139"/>
      <c r="AR148" s="139"/>
      <c r="AS148" s="139"/>
      <c r="AT148" s="139"/>
      <c r="AU148" s="139"/>
      <c r="AV148" s="139"/>
      <c r="AW148" s="139"/>
      <c r="AX148" s="139"/>
      <c r="AY148" s="139"/>
      <c r="AZ148" s="139"/>
      <c r="BA148" s="139"/>
      <c r="BB148" s="139"/>
      <c r="BC148" s="139"/>
      <c r="BD148" s="139"/>
      <c r="BE148" s="139"/>
      <c r="BF148" s="139"/>
      <c r="BG148" s="139"/>
      <c r="BH148" s="139"/>
      <c r="BI148" s="139"/>
      <c r="BJ148" s="139"/>
      <c r="BK148" s="139"/>
      <c r="BL148" s="139"/>
      <c r="BM148" s="139"/>
      <c r="BN148" s="139"/>
      <c r="BO148" s="139"/>
      <c r="BP148" s="139"/>
      <c r="BQ148" s="139"/>
      <c r="BR148" s="139"/>
      <c r="BS148" s="139"/>
      <c r="BT148" s="139"/>
      <c r="BU148" s="139"/>
      <c r="BV148" s="139"/>
      <c r="BW148" s="139"/>
      <c r="BX148" s="139"/>
      <c r="BY148" s="139"/>
      <c r="BZ148" s="139"/>
      <c r="CA148" s="139"/>
      <c r="CB148" s="139"/>
      <c r="CC148" s="139"/>
      <c r="CD148" s="139"/>
      <c r="CE148" s="139"/>
      <c r="CF148" s="139"/>
      <c r="CG148" s="139"/>
      <c r="CH148" s="139"/>
      <c r="CI148" s="139"/>
      <c r="CJ148" s="139"/>
      <c r="CK148" s="139"/>
      <c r="CL148" s="139"/>
      <c r="CM148" s="139"/>
      <c r="CN148" s="139"/>
      <c r="CO148" s="139"/>
      <c r="CP148" s="139"/>
      <c r="CQ148" s="139"/>
      <c r="CR148" s="139"/>
      <c r="CS148" s="139"/>
      <c r="CT148" s="139"/>
      <c r="CU148" s="139"/>
      <c r="CV148" s="139"/>
      <c r="CW148" s="139"/>
      <c r="CX148" s="139"/>
      <c r="CY148" s="139"/>
      <c r="CZ148" s="139"/>
      <c r="DA148" s="139"/>
      <c r="DB148" s="139"/>
      <c r="DC148" s="139"/>
      <c r="DD148" s="139"/>
      <c r="DE148" s="139"/>
      <c r="DF148" s="139"/>
      <c r="DG148" s="139"/>
      <c r="DH148" s="139"/>
      <c r="DI148" s="139"/>
      <c r="DJ148" s="139"/>
      <c r="DK148" s="139"/>
      <c r="DL148" s="139"/>
      <c r="DM148" s="139"/>
      <c r="DN148" s="139"/>
      <c r="DO148" s="139"/>
      <c r="DP148" s="139"/>
      <c r="DQ148" s="139"/>
      <c r="DR148" s="139"/>
      <c r="DS148" s="139"/>
      <c r="DT148" s="139"/>
      <c r="DU148" s="139"/>
      <c r="DV148" s="139"/>
      <c r="DW148" s="139"/>
      <c r="DX148" s="139"/>
      <c r="DY148" s="139"/>
      <c r="DZ148" s="139"/>
      <c r="EA148" s="139"/>
      <c r="EB148" s="139"/>
      <c r="EC148" s="139"/>
      <c r="ED148" s="139"/>
      <c r="EE148" s="139"/>
      <c r="EF148" s="139"/>
      <c r="EG148" s="139"/>
      <c r="EH148" s="139"/>
      <c r="EI148" s="139"/>
      <c r="EJ148" s="139"/>
      <c r="EK148" s="139"/>
      <c r="EL148" s="139"/>
      <c r="EM148" s="139"/>
      <c r="EN148" s="139"/>
      <c r="EO148" s="139"/>
      <c r="EP148" s="139"/>
      <c r="EQ148" s="139"/>
      <c r="ER148" s="139"/>
      <c r="ES148" s="139"/>
      <c r="ET148" s="139"/>
      <c r="EU148" s="139"/>
      <c r="EV148" s="139"/>
      <c r="EW148" s="139"/>
      <c r="EX148" s="139"/>
      <c r="EY148" s="139"/>
      <c r="EZ148" s="139"/>
      <c r="FA148" s="139"/>
      <c r="FB148" s="139"/>
      <c r="FC148" s="139"/>
      <c r="FD148" s="139"/>
      <c r="FE148" s="139"/>
      <c r="FF148" s="139"/>
      <c r="FG148" s="139"/>
      <c r="FH148" s="139"/>
      <c r="FI148" s="139"/>
      <c r="FJ148" s="139"/>
      <c r="FK148" s="139"/>
      <c r="FL148" s="139"/>
      <c r="FM148" s="139"/>
      <c r="FN148" s="139"/>
      <c r="FO148" s="139"/>
      <c r="FP148" s="139"/>
      <c r="FQ148" s="139"/>
      <c r="FR148" s="139"/>
      <c r="FS148" s="139"/>
      <c r="FT148" s="139"/>
      <c r="FU148" s="139"/>
      <c r="FV148" s="139"/>
      <c r="FW148" s="139"/>
      <c r="FX148" s="139"/>
      <c r="FY148" s="139"/>
      <c r="FZ148" s="139"/>
      <c r="GA148" s="139"/>
      <c r="GB148" s="139"/>
      <c r="GC148" s="139"/>
      <c r="GD148" s="139"/>
      <c r="GE148" s="139"/>
      <c r="GF148" s="139"/>
      <c r="GG148" s="139"/>
      <c r="GH148" s="139"/>
      <c r="GI148" s="139"/>
      <c r="GJ148" s="139"/>
      <c r="GK148" s="139"/>
      <c r="GL148" s="139"/>
      <c r="GM148" s="139"/>
      <c r="GN148" s="139"/>
      <c r="GO148" s="139"/>
      <c r="GP148" s="139"/>
      <c r="GQ148" s="139"/>
      <c r="GR148" s="139"/>
      <c r="GS148" s="139"/>
      <c r="GT148" s="139"/>
      <c r="GU148" s="139"/>
      <c r="GV148" s="139"/>
      <c r="GW148" s="139"/>
      <c r="GX148" s="139"/>
      <c r="GY148" s="139"/>
      <c r="GZ148" s="139"/>
      <c r="HA148" s="139"/>
      <c r="HB148" s="139"/>
      <c r="HC148" s="139"/>
      <c r="HD148" s="139"/>
      <c r="HE148" s="139"/>
      <c r="HF148" s="139"/>
      <c r="HG148" s="139"/>
      <c r="HH148" s="139"/>
      <c r="HI148" s="139"/>
      <c r="HJ148" s="139"/>
      <c r="HK148" s="139"/>
      <c r="HL148" s="139"/>
      <c r="HM148" s="139"/>
      <c r="HN148" s="139"/>
      <c r="HO148" s="139"/>
      <c r="HP148" s="139"/>
      <c r="HQ148" s="139"/>
      <c r="HR148" s="139"/>
      <c r="HS148" s="139"/>
      <c r="HT148" s="139"/>
      <c r="HU148" s="139"/>
      <c r="HV148" s="139"/>
      <c r="HW148" s="139"/>
      <c r="HX148" s="139"/>
      <c r="HY148" s="139"/>
      <c r="HZ148" s="139"/>
      <c r="IA148" s="139"/>
      <c r="IB148" s="139"/>
      <c r="IC148" s="139"/>
      <c r="ID148" s="139"/>
      <c r="IE148" s="139"/>
      <c r="IF148" s="139"/>
      <c r="IG148" s="139"/>
      <c r="IH148" s="139"/>
      <c r="II148" s="139"/>
      <c r="IJ148" s="139"/>
      <c r="IK148" s="139"/>
      <c r="IL148" s="139"/>
      <c r="IM148" s="139"/>
      <c r="IN148" s="139"/>
      <c r="IO148" s="139"/>
      <c r="IP148" s="139"/>
      <c r="IQ148" s="139"/>
      <c r="IR148" s="139"/>
    </row>
    <row r="149" spans="2:252" x14ac:dyDescent="0.3">
      <c r="B149" s="5" t="s">
        <v>113</v>
      </c>
      <c r="C149" s="916" t="s">
        <v>216</v>
      </c>
      <c r="D149" s="957">
        <v>4492875.5540458169</v>
      </c>
      <c r="E149" s="957">
        <v>2826.0187234948185</v>
      </c>
      <c r="F149" s="957">
        <v>84.01082765903692</v>
      </c>
      <c r="G149" s="957">
        <v>40.399102059174645</v>
      </c>
      <c r="H149" s="957">
        <v>3159099.0556899402</v>
      </c>
      <c r="I149" s="957">
        <v>1987.0733060289724</v>
      </c>
      <c r="J149" s="957">
        <v>54.227004400986161</v>
      </c>
      <c r="K149" s="958">
        <v>28.181508129728392</v>
      </c>
      <c r="L149" s="412">
        <f t="shared" si="18"/>
        <v>7651974.6097357571</v>
      </c>
      <c r="M149" s="416">
        <f t="shared" si="19"/>
        <v>5019.9104717727168</v>
      </c>
      <c r="N149" s="276"/>
      <c r="O149" s="164"/>
      <c r="P149" s="139"/>
      <c r="Q149" s="139"/>
      <c r="R149" s="139"/>
      <c r="S149" s="139"/>
      <c r="T149" s="139"/>
      <c r="U149" s="139"/>
      <c r="V149" s="139"/>
      <c r="W149" s="139"/>
      <c r="X149" s="139"/>
      <c r="Y149" s="139"/>
      <c r="Z149" s="139"/>
      <c r="AA149" s="139"/>
      <c r="AB149" s="139"/>
      <c r="AC149" s="139"/>
      <c r="AD149" s="139"/>
      <c r="AE149" s="139"/>
      <c r="AF149" s="139"/>
      <c r="AG149" s="139"/>
      <c r="AH149" s="139"/>
      <c r="AI149" s="139"/>
      <c r="AJ149" s="139"/>
      <c r="AK149" s="139"/>
      <c r="AL149" s="139"/>
      <c r="AM149" s="139"/>
      <c r="AN149" s="139"/>
      <c r="AO149" s="139"/>
      <c r="AP149" s="139"/>
      <c r="AQ149" s="139"/>
      <c r="AR149" s="139"/>
      <c r="AS149" s="139"/>
      <c r="AT149" s="139"/>
      <c r="AU149" s="139"/>
      <c r="AV149" s="139"/>
      <c r="AW149" s="139"/>
      <c r="AX149" s="139"/>
      <c r="AY149" s="139"/>
      <c r="AZ149" s="139"/>
      <c r="BA149" s="139"/>
      <c r="BB149" s="139"/>
      <c r="BC149" s="139"/>
      <c r="BD149" s="139"/>
      <c r="BE149" s="139"/>
      <c r="BF149" s="139"/>
      <c r="BG149" s="139"/>
      <c r="BH149" s="139"/>
      <c r="BI149" s="139"/>
      <c r="BJ149" s="139"/>
      <c r="BK149" s="139"/>
      <c r="BL149" s="139"/>
      <c r="BM149" s="139"/>
      <c r="BN149" s="139"/>
      <c r="BO149" s="139"/>
      <c r="BP149" s="139"/>
      <c r="BQ149" s="139"/>
      <c r="BR149" s="139"/>
      <c r="BS149" s="139"/>
      <c r="BT149" s="139"/>
      <c r="BU149" s="139"/>
      <c r="BV149" s="139"/>
      <c r="BW149" s="139"/>
      <c r="BX149" s="139"/>
      <c r="BY149" s="139"/>
      <c r="BZ149" s="139"/>
      <c r="CA149" s="139"/>
      <c r="CB149" s="139"/>
      <c r="CC149" s="139"/>
      <c r="CD149" s="139"/>
      <c r="CE149" s="139"/>
      <c r="CF149" s="139"/>
      <c r="CG149" s="139"/>
      <c r="CH149" s="139"/>
      <c r="CI149" s="139"/>
      <c r="CJ149" s="139"/>
      <c r="CK149" s="139"/>
      <c r="CL149" s="139"/>
      <c r="CM149" s="139"/>
      <c r="CN149" s="139"/>
      <c r="CO149" s="139"/>
      <c r="CP149" s="139"/>
      <c r="CQ149" s="139"/>
      <c r="CR149" s="139"/>
      <c r="CS149" s="139"/>
      <c r="CT149" s="139"/>
      <c r="CU149" s="139"/>
      <c r="CV149" s="139"/>
      <c r="CW149" s="139"/>
      <c r="CX149" s="139"/>
      <c r="CY149" s="139"/>
      <c r="CZ149" s="139"/>
      <c r="DA149" s="139"/>
      <c r="DB149" s="139"/>
      <c r="DC149" s="139"/>
      <c r="DD149" s="139"/>
      <c r="DE149" s="139"/>
      <c r="DF149" s="139"/>
      <c r="DG149" s="139"/>
      <c r="DH149" s="139"/>
      <c r="DI149" s="139"/>
      <c r="DJ149" s="139"/>
      <c r="DK149" s="139"/>
      <c r="DL149" s="139"/>
      <c r="DM149" s="139"/>
      <c r="DN149" s="139"/>
      <c r="DO149" s="139"/>
      <c r="DP149" s="139"/>
      <c r="DQ149" s="139"/>
      <c r="DR149" s="139"/>
      <c r="DS149" s="139"/>
      <c r="DT149" s="139"/>
      <c r="DU149" s="139"/>
      <c r="DV149" s="139"/>
      <c r="DW149" s="139"/>
      <c r="DX149" s="139"/>
      <c r="DY149" s="139"/>
      <c r="DZ149" s="139"/>
      <c r="EA149" s="139"/>
      <c r="EB149" s="139"/>
      <c r="EC149" s="139"/>
      <c r="ED149" s="139"/>
      <c r="EE149" s="139"/>
      <c r="EF149" s="139"/>
      <c r="EG149" s="139"/>
      <c r="EH149" s="139"/>
      <c r="EI149" s="139"/>
      <c r="EJ149" s="139"/>
      <c r="EK149" s="139"/>
      <c r="EL149" s="139"/>
      <c r="EM149" s="139"/>
      <c r="EN149" s="139"/>
      <c r="EO149" s="139"/>
      <c r="EP149" s="139"/>
      <c r="EQ149" s="139"/>
      <c r="ER149" s="139"/>
      <c r="ES149" s="139"/>
      <c r="ET149" s="139"/>
      <c r="EU149" s="139"/>
      <c r="EV149" s="139"/>
      <c r="EW149" s="139"/>
      <c r="EX149" s="139"/>
      <c r="EY149" s="139"/>
      <c r="EZ149" s="139"/>
      <c r="FA149" s="139"/>
      <c r="FB149" s="139"/>
      <c r="FC149" s="139"/>
      <c r="FD149" s="139"/>
      <c r="FE149" s="139"/>
      <c r="FF149" s="139"/>
      <c r="FG149" s="139"/>
      <c r="FH149" s="139"/>
      <c r="FI149" s="139"/>
      <c r="FJ149" s="139"/>
      <c r="FK149" s="139"/>
      <c r="FL149" s="139"/>
      <c r="FM149" s="139"/>
      <c r="FN149" s="139"/>
      <c r="FO149" s="139"/>
      <c r="FP149" s="139"/>
      <c r="FQ149" s="139"/>
      <c r="FR149" s="139"/>
      <c r="FS149" s="139"/>
      <c r="FT149" s="139"/>
      <c r="FU149" s="139"/>
      <c r="FV149" s="139"/>
      <c r="FW149" s="139"/>
      <c r="FX149" s="139"/>
      <c r="FY149" s="139"/>
      <c r="FZ149" s="139"/>
      <c r="GA149" s="139"/>
      <c r="GB149" s="139"/>
      <c r="GC149" s="139"/>
      <c r="GD149" s="139"/>
      <c r="GE149" s="139"/>
      <c r="GF149" s="139"/>
      <c r="GG149" s="139"/>
      <c r="GH149" s="139"/>
      <c r="GI149" s="139"/>
      <c r="GJ149" s="139"/>
      <c r="GK149" s="139"/>
      <c r="GL149" s="139"/>
      <c r="GM149" s="139"/>
      <c r="GN149" s="139"/>
      <c r="GO149" s="139"/>
      <c r="GP149" s="139"/>
      <c r="GQ149" s="139"/>
      <c r="GR149" s="139"/>
      <c r="GS149" s="139"/>
      <c r="GT149" s="139"/>
      <c r="GU149" s="139"/>
      <c r="GV149" s="139"/>
      <c r="GW149" s="139"/>
      <c r="GX149" s="139"/>
      <c r="GY149" s="139"/>
      <c r="GZ149" s="139"/>
      <c r="HA149" s="139"/>
      <c r="HB149" s="139"/>
      <c r="HC149" s="139"/>
      <c r="HD149" s="139"/>
      <c r="HE149" s="139"/>
      <c r="HF149" s="139"/>
      <c r="HG149" s="139"/>
      <c r="HH149" s="139"/>
      <c r="HI149" s="139"/>
      <c r="HJ149" s="139"/>
      <c r="HK149" s="139"/>
      <c r="HL149" s="139"/>
      <c r="HM149" s="139"/>
      <c r="HN149" s="139"/>
      <c r="HO149" s="139"/>
      <c r="HP149" s="139"/>
      <c r="HQ149" s="139"/>
      <c r="HR149" s="139"/>
      <c r="HS149" s="139"/>
      <c r="HT149" s="139"/>
      <c r="HU149" s="139"/>
      <c r="HV149" s="139"/>
      <c r="HW149" s="139"/>
      <c r="HX149" s="139"/>
      <c r="HY149" s="139"/>
      <c r="HZ149" s="139"/>
      <c r="IA149" s="139"/>
      <c r="IB149" s="139"/>
      <c r="IC149" s="139"/>
      <c r="ID149" s="139"/>
      <c r="IE149" s="139"/>
      <c r="IF149" s="139"/>
      <c r="IG149" s="139"/>
      <c r="IH149" s="139"/>
      <c r="II149" s="139"/>
      <c r="IJ149" s="139"/>
      <c r="IK149" s="139"/>
      <c r="IL149" s="139"/>
      <c r="IM149" s="139"/>
      <c r="IN149" s="139"/>
      <c r="IO149" s="139"/>
      <c r="IP149" s="139"/>
      <c r="IQ149" s="139"/>
      <c r="IR149" s="139"/>
    </row>
    <row r="150" spans="2:252" x14ac:dyDescent="0.3">
      <c r="B150" s="5" t="s">
        <v>114</v>
      </c>
      <c r="C150" s="916" t="s">
        <v>217</v>
      </c>
      <c r="D150" s="957">
        <v>0</v>
      </c>
      <c r="E150" s="957">
        <v>0</v>
      </c>
      <c r="F150" s="957">
        <v>0</v>
      </c>
      <c r="G150" s="957">
        <v>0</v>
      </c>
      <c r="H150" s="957">
        <v>0</v>
      </c>
      <c r="I150" s="957">
        <v>0</v>
      </c>
      <c r="J150" s="957">
        <v>0</v>
      </c>
      <c r="K150" s="958">
        <v>0</v>
      </c>
      <c r="L150" s="412">
        <f t="shared" si="18"/>
        <v>0</v>
      </c>
      <c r="M150" s="416">
        <f t="shared" si="19"/>
        <v>0</v>
      </c>
      <c r="N150" s="276"/>
      <c r="O150" s="164"/>
      <c r="P150" s="139"/>
      <c r="Q150" s="139"/>
      <c r="R150" s="139"/>
      <c r="S150" s="139"/>
      <c r="T150" s="139"/>
      <c r="U150" s="139"/>
      <c r="V150" s="139"/>
      <c r="W150" s="139"/>
      <c r="X150" s="139"/>
      <c r="Y150" s="139"/>
      <c r="Z150" s="139"/>
      <c r="AA150" s="139"/>
      <c r="AB150" s="139"/>
      <c r="AC150" s="139"/>
      <c r="AD150" s="139"/>
      <c r="AE150" s="139"/>
      <c r="AF150" s="139"/>
      <c r="AG150" s="139"/>
      <c r="AH150" s="139"/>
      <c r="AI150" s="139"/>
      <c r="AJ150" s="139"/>
      <c r="AK150" s="139"/>
      <c r="AL150" s="139"/>
      <c r="AM150" s="139"/>
      <c r="AN150" s="139"/>
      <c r="AO150" s="139"/>
      <c r="AP150" s="139"/>
      <c r="AQ150" s="139"/>
      <c r="AR150" s="139"/>
      <c r="AS150" s="139"/>
      <c r="AT150" s="139"/>
      <c r="AU150" s="139"/>
      <c r="AV150" s="139"/>
      <c r="AW150" s="139"/>
      <c r="AX150" s="139"/>
      <c r="AY150" s="139"/>
      <c r="AZ150" s="139"/>
      <c r="BA150" s="139"/>
      <c r="BB150" s="139"/>
      <c r="BC150" s="139"/>
      <c r="BD150" s="139"/>
      <c r="BE150" s="139"/>
      <c r="BF150" s="139"/>
      <c r="BG150" s="139"/>
      <c r="BH150" s="139"/>
      <c r="BI150" s="139"/>
      <c r="BJ150" s="139"/>
      <c r="BK150" s="139"/>
      <c r="BL150" s="139"/>
      <c r="BM150" s="139"/>
      <c r="BN150" s="139"/>
      <c r="BO150" s="139"/>
      <c r="BP150" s="139"/>
      <c r="BQ150" s="139"/>
      <c r="BR150" s="139"/>
      <c r="BS150" s="139"/>
      <c r="BT150" s="139"/>
      <c r="BU150" s="139"/>
      <c r="BV150" s="139"/>
      <c r="BW150" s="139"/>
      <c r="BX150" s="139"/>
      <c r="BY150" s="139"/>
      <c r="BZ150" s="139"/>
      <c r="CA150" s="139"/>
      <c r="CB150" s="139"/>
      <c r="CC150" s="139"/>
      <c r="CD150" s="139"/>
      <c r="CE150" s="139"/>
      <c r="CF150" s="139"/>
      <c r="CG150" s="139"/>
      <c r="CH150" s="139"/>
      <c r="CI150" s="139"/>
      <c r="CJ150" s="139"/>
      <c r="CK150" s="139"/>
      <c r="CL150" s="139"/>
      <c r="CM150" s="139"/>
      <c r="CN150" s="139"/>
      <c r="CO150" s="139"/>
      <c r="CP150" s="139"/>
      <c r="CQ150" s="139"/>
      <c r="CR150" s="139"/>
      <c r="CS150" s="139"/>
      <c r="CT150" s="139"/>
      <c r="CU150" s="139"/>
      <c r="CV150" s="139"/>
      <c r="CW150" s="139"/>
      <c r="CX150" s="139"/>
      <c r="CY150" s="139"/>
      <c r="CZ150" s="139"/>
      <c r="DA150" s="139"/>
      <c r="DB150" s="139"/>
      <c r="DC150" s="139"/>
      <c r="DD150" s="139"/>
      <c r="DE150" s="139"/>
      <c r="DF150" s="139"/>
      <c r="DG150" s="139"/>
      <c r="DH150" s="139"/>
      <c r="DI150" s="139"/>
      <c r="DJ150" s="139"/>
      <c r="DK150" s="139"/>
      <c r="DL150" s="139"/>
      <c r="DM150" s="139"/>
      <c r="DN150" s="139"/>
      <c r="DO150" s="139"/>
      <c r="DP150" s="139"/>
      <c r="DQ150" s="139"/>
      <c r="DR150" s="139"/>
      <c r="DS150" s="139"/>
      <c r="DT150" s="139"/>
      <c r="DU150" s="139"/>
      <c r="DV150" s="139"/>
      <c r="DW150" s="139"/>
      <c r="DX150" s="139"/>
      <c r="DY150" s="139"/>
      <c r="DZ150" s="139"/>
      <c r="EA150" s="139"/>
      <c r="EB150" s="139"/>
      <c r="EC150" s="139"/>
      <c r="ED150" s="139"/>
      <c r="EE150" s="139"/>
      <c r="EF150" s="139"/>
      <c r="EG150" s="139"/>
      <c r="EH150" s="139"/>
      <c r="EI150" s="139"/>
      <c r="EJ150" s="139"/>
      <c r="EK150" s="139"/>
      <c r="EL150" s="139"/>
      <c r="EM150" s="139"/>
      <c r="EN150" s="139"/>
      <c r="EO150" s="139"/>
      <c r="EP150" s="139"/>
      <c r="EQ150" s="139"/>
      <c r="ER150" s="139"/>
      <c r="ES150" s="139"/>
      <c r="ET150" s="139"/>
      <c r="EU150" s="139"/>
      <c r="EV150" s="139"/>
      <c r="EW150" s="139"/>
      <c r="EX150" s="139"/>
      <c r="EY150" s="139"/>
      <c r="EZ150" s="139"/>
      <c r="FA150" s="139"/>
      <c r="FB150" s="139"/>
      <c r="FC150" s="139"/>
      <c r="FD150" s="139"/>
      <c r="FE150" s="139"/>
      <c r="FF150" s="139"/>
      <c r="FG150" s="139"/>
      <c r="FH150" s="139"/>
      <c r="FI150" s="139"/>
      <c r="FJ150" s="139"/>
      <c r="FK150" s="139"/>
      <c r="FL150" s="139"/>
      <c r="FM150" s="139"/>
      <c r="FN150" s="139"/>
      <c r="FO150" s="139"/>
      <c r="FP150" s="139"/>
      <c r="FQ150" s="139"/>
      <c r="FR150" s="139"/>
      <c r="FS150" s="139"/>
      <c r="FT150" s="139"/>
      <c r="FU150" s="139"/>
      <c r="FV150" s="139"/>
      <c r="FW150" s="139"/>
      <c r="FX150" s="139"/>
      <c r="FY150" s="139"/>
      <c r="FZ150" s="139"/>
      <c r="GA150" s="139"/>
      <c r="GB150" s="139"/>
      <c r="GC150" s="139"/>
      <c r="GD150" s="139"/>
      <c r="GE150" s="139"/>
      <c r="GF150" s="139"/>
      <c r="GG150" s="139"/>
      <c r="GH150" s="139"/>
      <c r="GI150" s="139"/>
      <c r="GJ150" s="139"/>
      <c r="GK150" s="139"/>
      <c r="GL150" s="139"/>
      <c r="GM150" s="139"/>
      <c r="GN150" s="139"/>
      <c r="GO150" s="139"/>
      <c r="GP150" s="139"/>
      <c r="GQ150" s="139"/>
      <c r="GR150" s="139"/>
      <c r="GS150" s="139"/>
      <c r="GT150" s="139"/>
      <c r="GU150" s="139"/>
      <c r="GV150" s="139"/>
      <c r="GW150" s="139"/>
      <c r="GX150" s="139"/>
      <c r="GY150" s="139"/>
      <c r="GZ150" s="139"/>
      <c r="HA150" s="139"/>
      <c r="HB150" s="139"/>
      <c r="HC150" s="139"/>
      <c r="HD150" s="139"/>
      <c r="HE150" s="139"/>
      <c r="HF150" s="139"/>
      <c r="HG150" s="139"/>
      <c r="HH150" s="139"/>
      <c r="HI150" s="139"/>
      <c r="HJ150" s="139"/>
      <c r="HK150" s="139"/>
      <c r="HL150" s="139"/>
      <c r="HM150" s="139"/>
      <c r="HN150" s="139"/>
      <c r="HO150" s="139"/>
      <c r="HP150" s="139"/>
      <c r="HQ150" s="139"/>
      <c r="HR150" s="139"/>
      <c r="HS150" s="139"/>
      <c r="HT150" s="139"/>
      <c r="HU150" s="139"/>
      <c r="HV150" s="139"/>
      <c r="HW150" s="139"/>
      <c r="HX150" s="139"/>
      <c r="HY150" s="139"/>
      <c r="HZ150" s="139"/>
      <c r="IA150" s="139"/>
      <c r="IB150" s="139"/>
      <c r="IC150" s="139"/>
      <c r="ID150" s="139"/>
      <c r="IE150" s="139"/>
      <c r="IF150" s="139"/>
      <c r="IG150" s="139"/>
      <c r="IH150" s="139"/>
      <c r="II150" s="139"/>
      <c r="IJ150" s="139"/>
      <c r="IK150" s="139"/>
      <c r="IL150" s="139"/>
      <c r="IM150" s="139"/>
      <c r="IN150" s="139"/>
      <c r="IO150" s="139"/>
      <c r="IP150" s="139"/>
      <c r="IQ150" s="139"/>
      <c r="IR150" s="139"/>
    </row>
    <row r="151" spans="2:252" x14ac:dyDescent="0.3">
      <c r="B151" s="5" t="s">
        <v>115</v>
      </c>
      <c r="C151" s="916" t="s">
        <v>218</v>
      </c>
      <c r="D151" s="957">
        <v>2636.4598989655874</v>
      </c>
      <c r="E151" s="957">
        <v>1.6583332764493546</v>
      </c>
      <c r="F151" s="957">
        <v>0.10957850059313379</v>
      </c>
      <c r="G151" s="957">
        <v>2.3519178970529232E-2</v>
      </c>
      <c r="H151" s="957">
        <v>7652.3464061802797</v>
      </c>
      <c r="I151" s="957">
        <v>4.8133258894873956</v>
      </c>
      <c r="J151" s="957">
        <v>0.22837924840407642</v>
      </c>
      <c r="K151" s="958">
        <v>6.8264609198893517E-2</v>
      </c>
      <c r="L151" s="412">
        <f t="shared" si="18"/>
        <v>10288.806305145867</v>
      </c>
      <c r="M151" s="416">
        <f t="shared" si="19"/>
        <v>6.9014007031033824</v>
      </c>
      <c r="N151" s="276"/>
      <c r="O151" s="164"/>
      <c r="P151" s="139"/>
      <c r="Q151" s="139"/>
      <c r="R151" s="139"/>
      <c r="S151" s="139"/>
      <c r="T151" s="139"/>
      <c r="U151" s="139"/>
      <c r="V151" s="139"/>
      <c r="W151" s="139"/>
      <c r="X151" s="139"/>
      <c r="Y151" s="139"/>
      <c r="Z151" s="139"/>
      <c r="AA151" s="139"/>
      <c r="AB151" s="139"/>
      <c r="AC151" s="139"/>
      <c r="AD151" s="139"/>
      <c r="AE151" s="139"/>
      <c r="AF151" s="139"/>
      <c r="AG151" s="139"/>
      <c r="AH151" s="139"/>
      <c r="AI151" s="139"/>
      <c r="AJ151" s="139"/>
      <c r="AK151" s="139"/>
      <c r="AL151" s="139"/>
      <c r="AM151" s="139"/>
      <c r="AN151" s="139"/>
      <c r="AO151" s="139"/>
      <c r="AP151" s="139"/>
      <c r="AQ151" s="139"/>
      <c r="AR151" s="139"/>
      <c r="AS151" s="139"/>
      <c r="AT151" s="139"/>
      <c r="AU151" s="139"/>
      <c r="AV151" s="139"/>
      <c r="AW151" s="139"/>
      <c r="AX151" s="139"/>
      <c r="AY151" s="139"/>
      <c r="AZ151" s="139"/>
      <c r="BA151" s="139"/>
      <c r="BB151" s="139"/>
      <c r="BC151" s="139"/>
      <c r="BD151" s="139"/>
      <c r="BE151" s="139"/>
      <c r="BF151" s="139"/>
      <c r="BG151" s="139"/>
      <c r="BH151" s="139"/>
      <c r="BI151" s="139"/>
      <c r="BJ151" s="139"/>
      <c r="BK151" s="139"/>
      <c r="BL151" s="139"/>
      <c r="BM151" s="139"/>
      <c r="BN151" s="139"/>
      <c r="BO151" s="139"/>
      <c r="BP151" s="139"/>
      <c r="BQ151" s="139"/>
      <c r="BR151" s="139"/>
      <c r="BS151" s="139"/>
      <c r="BT151" s="139"/>
      <c r="BU151" s="139"/>
      <c r="BV151" s="139"/>
      <c r="BW151" s="139"/>
      <c r="BX151" s="139"/>
      <c r="BY151" s="139"/>
      <c r="BZ151" s="139"/>
      <c r="CA151" s="139"/>
      <c r="CB151" s="139"/>
      <c r="CC151" s="139"/>
      <c r="CD151" s="139"/>
      <c r="CE151" s="139"/>
      <c r="CF151" s="139"/>
      <c r="CG151" s="139"/>
      <c r="CH151" s="139"/>
      <c r="CI151" s="139"/>
      <c r="CJ151" s="139"/>
      <c r="CK151" s="139"/>
      <c r="CL151" s="139"/>
      <c r="CM151" s="139"/>
      <c r="CN151" s="139"/>
      <c r="CO151" s="139"/>
      <c r="CP151" s="139"/>
      <c r="CQ151" s="139"/>
      <c r="CR151" s="139"/>
      <c r="CS151" s="139"/>
      <c r="CT151" s="139"/>
      <c r="CU151" s="139"/>
      <c r="CV151" s="139"/>
      <c r="CW151" s="139"/>
      <c r="CX151" s="139"/>
      <c r="CY151" s="139"/>
      <c r="CZ151" s="139"/>
      <c r="DA151" s="139"/>
      <c r="DB151" s="139"/>
      <c r="DC151" s="139"/>
      <c r="DD151" s="139"/>
      <c r="DE151" s="139"/>
      <c r="DF151" s="139"/>
      <c r="DG151" s="139"/>
      <c r="DH151" s="139"/>
      <c r="DI151" s="139"/>
      <c r="DJ151" s="139"/>
      <c r="DK151" s="139"/>
      <c r="DL151" s="139"/>
      <c r="DM151" s="139"/>
      <c r="DN151" s="139"/>
      <c r="DO151" s="139"/>
      <c r="DP151" s="139"/>
      <c r="DQ151" s="139"/>
      <c r="DR151" s="139"/>
      <c r="DS151" s="139"/>
      <c r="DT151" s="139"/>
      <c r="DU151" s="139"/>
      <c r="DV151" s="139"/>
      <c r="DW151" s="139"/>
      <c r="DX151" s="139"/>
      <c r="DY151" s="139"/>
      <c r="DZ151" s="139"/>
      <c r="EA151" s="139"/>
      <c r="EB151" s="139"/>
      <c r="EC151" s="139"/>
      <c r="ED151" s="139"/>
      <c r="EE151" s="139"/>
      <c r="EF151" s="139"/>
      <c r="EG151" s="139"/>
      <c r="EH151" s="139"/>
      <c r="EI151" s="139"/>
      <c r="EJ151" s="139"/>
      <c r="EK151" s="139"/>
      <c r="EL151" s="139"/>
      <c r="EM151" s="139"/>
      <c r="EN151" s="139"/>
      <c r="EO151" s="139"/>
      <c r="EP151" s="139"/>
      <c r="EQ151" s="139"/>
      <c r="ER151" s="139"/>
      <c r="ES151" s="139"/>
      <c r="ET151" s="139"/>
      <c r="EU151" s="139"/>
      <c r="EV151" s="139"/>
      <c r="EW151" s="139"/>
      <c r="EX151" s="139"/>
      <c r="EY151" s="139"/>
      <c r="EZ151" s="139"/>
      <c r="FA151" s="139"/>
      <c r="FB151" s="139"/>
      <c r="FC151" s="139"/>
      <c r="FD151" s="139"/>
      <c r="FE151" s="139"/>
      <c r="FF151" s="139"/>
      <c r="FG151" s="139"/>
      <c r="FH151" s="139"/>
      <c r="FI151" s="139"/>
      <c r="FJ151" s="139"/>
      <c r="FK151" s="139"/>
      <c r="FL151" s="139"/>
      <c r="FM151" s="139"/>
      <c r="FN151" s="139"/>
      <c r="FO151" s="139"/>
      <c r="FP151" s="139"/>
      <c r="FQ151" s="139"/>
      <c r="FR151" s="139"/>
      <c r="FS151" s="139"/>
      <c r="FT151" s="139"/>
      <c r="FU151" s="139"/>
      <c r="FV151" s="139"/>
      <c r="FW151" s="139"/>
      <c r="FX151" s="139"/>
      <c r="FY151" s="139"/>
      <c r="FZ151" s="139"/>
      <c r="GA151" s="139"/>
      <c r="GB151" s="139"/>
      <c r="GC151" s="139"/>
      <c r="GD151" s="139"/>
      <c r="GE151" s="139"/>
      <c r="GF151" s="139"/>
      <c r="GG151" s="139"/>
      <c r="GH151" s="139"/>
      <c r="GI151" s="139"/>
      <c r="GJ151" s="139"/>
      <c r="GK151" s="139"/>
      <c r="GL151" s="139"/>
      <c r="GM151" s="139"/>
      <c r="GN151" s="139"/>
      <c r="GO151" s="139"/>
      <c r="GP151" s="139"/>
      <c r="GQ151" s="139"/>
      <c r="GR151" s="139"/>
      <c r="GS151" s="139"/>
      <c r="GT151" s="139"/>
      <c r="GU151" s="139"/>
      <c r="GV151" s="139"/>
      <c r="GW151" s="139"/>
      <c r="GX151" s="139"/>
      <c r="GY151" s="139"/>
      <c r="GZ151" s="139"/>
      <c r="HA151" s="139"/>
      <c r="HB151" s="139"/>
      <c r="HC151" s="139"/>
      <c r="HD151" s="139"/>
      <c r="HE151" s="139"/>
      <c r="HF151" s="139"/>
      <c r="HG151" s="139"/>
      <c r="HH151" s="139"/>
      <c r="HI151" s="139"/>
      <c r="HJ151" s="139"/>
      <c r="HK151" s="139"/>
      <c r="HL151" s="139"/>
      <c r="HM151" s="139"/>
      <c r="HN151" s="139"/>
      <c r="HO151" s="139"/>
      <c r="HP151" s="139"/>
      <c r="HQ151" s="139"/>
      <c r="HR151" s="139"/>
      <c r="HS151" s="139"/>
      <c r="HT151" s="139"/>
      <c r="HU151" s="139"/>
      <c r="HV151" s="139"/>
      <c r="HW151" s="139"/>
      <c r="HX151" s="139"/>
      <c r="HY151" s="139"/>
      <c r="HZ151" s="139"/>
      <c r="IA151" s="139"/>
      <c r="IB151" s="139"/>
      <c r="IC151" s="139"/>
      <c r="ID151" s="139"/>
      <c r="IE151" s="139"/>
      <c r="IF151" s="139"/>
      <c r="IG151" s="139"/>
      <c r="IH151" s="139"/>
      <c r="II151" s="139"/>
      <c r="IJ151" s="139"/>
      <c r="IK151" s="139"/>
      <c r="IL151" s="139"/>
      <c r="IM151" s="139"/>
      <c r="IN151" s="139"/>
      <c r="IO151" s="139"/>
      <c r="IP151" s="139"/>
      <c r="IQ151" s="139"/>
      <c r="IR151" s="139"/>
    </row>
    <row r="152" spans="2:252" x14ac:dyDescent="0.3">
      <c r="B152" s="5" t="s">
        <v>116</v>
      </c>
      <c r="C152" s="916" t="s">
        <v>219</v>
      </c>
      <c r="D152" s="957">
        <v>0</v>
      </c>
      <c r="E152" s="957">
        <v>0</v>
      </c>
      <c r="F152" s="957">
        <v>0</v>
      </c>
      <c r="G152" s="957">
        <v>0</v>
      </c>
      <c r="H152" s="957">
        <v>0</v>
      </c>
      <c r="I152" s="957">
        <v>0</v>
      </c>
      <c r="J152" s="957">
        <v>0</v>
      </c>
      <c r="K152" s="958">
        <v>0</v>
      </c>
      <c r="L152" s="412">
        <f t="shared" si="18"/>
        <v>0</v>
      </c>
      <c r="M152" s="416">
        <f t="shared" si="19"/>
        <v>0</v>
      </c>
      <c r="N152" s="276"/>
      <c r="O152" s="164"/>
      <c r="P152" s="139"/>
      <c r="Q152" s="139"/>
      <c r="R152" s="139"/>
      <c r="S152" s="139"/>
      <c r="T152" s="139"/>
      <c r="U152" s="139"/>
      <c r="V152" s="139"/>
      <c r="W152" s="139"/>
      <c r="X152" s="139"/>
      <c r="Y152" s="139"/>
      <c r="Z152" s="139"/>
      <c r="AA152" s="139"/>
      <c r="AB152" s="139"/>
      <c r="AC152" s="139"/>
      <c r="AD152" s="139"/>
      <c r="AE152" s="139"/>
      <c r="AF152" s="139"/>
      <c r="AG152" s="139"/>
      <c r="AH152" s="139"/>
      <c r="AI152" s="139"/>
      <c r="AJ152" s="139"/>
      <c r="AK152" s="139"/>
      <c r="AL152" s="139"/>
      <c r="AM152" s="139"/>
      <c r="AN152" s="139"/>
      <c r="AO152" s="139"/>
      <c r="AP152" s="139"/>
      <c r="AQ152" s="139"/>
      <c r="AR152" s="139"/>
      <c r="AS152" s="139"/>
      <c r="AT152" s="139"/>
      <c r="AU152" s="139"/>
      <c r="AV152" s="139"/>
      <c r="AW152" s="139"/>
      <c r="AX152" s="139"/>
      <c r="AY152" s="139"/>
      <c r="AZ152" s="139"/>
      <c r="BA152" s="139"/>
      <c r="BB152" s="139"/>
      <c r="BC152" s="139"/>
      <c r="BD152" s="139"/>
      <c r="BE152" s="139"/>
      <c r="BF152" s="139"/>
      <c r="BG152" s="139"/>
      <c r="BH152" s="139"/>
      <c r="BI152" s="139"/>
      <c r="BJ152" s="139"/>
      <c r="BK152" s="139"/>
      <c r="BL152" s="139"/>
      <c r="BM152" s="139"/>
      <c r="BN152" s="139"/>
      <c r="BO152" s="139"/>
      <c r="BP152" s="139"/>
      <c r="BQ152" s="139"/>
      <c r="BR152" s="139"/>
      <c r="BS152" s="139"/>
      <c r="BT152" s="139"/>
      <c r="BU152" s="139"/>
      <c r="BV152" s="139"/>
      <c r="BW152" s="139"/>
      <c r="BX152" s="139"/>
      <c r="BY152" s="139"/>
      <c r="BZ152" s="139"/>
      <c r="CA152" s="139"/>
      <c r="CB152" s="139"/>
      <c r="CC152" s="139"/>
      <c r="CD152" s="139"/>
      <c r="CE152" s="139"/>
      <c r="CF152" s="139"/>
      <c r="CG152" s="139"/>
      <c r="CH152" s="139"/>
      <c r="CI152" s="139"/>
      <c r="CJ152" s="139"/>
      <c r="CK152" s="139"/>
      <c r="CL152" s="139"/>
      <c r="CM152" s="139"/>
      <c r="CN152" s="139"/>
      <c r="CO152" s="139"/>
      <c r="CP152" s="139"/>
      <c r="CQ152" s="139"/>
      <c r="CR152" s="139"/>
      <c r="CS152" s="139"/>
      <c r="CT152" s="139"/>
      <c r="CU152" s="139"/>
      <c r="CV152" s="139"/>
      <c r="CW152" s="139"/>
      <c r="CX152" s="139"/>
      <c r="CY152" s="139"/>
      <c r="CZ152" s="139"/>
      <c r="DA152" s="139"/>
      <c r="DB152" s="139"/>
      <c r="DC152" s="139"/>
      <c r="DD152" s="139"/>
      <c r="DE152" s="139"/>
      <c r="DF152" s="139"/>
      <c r="DG152" s="139"/>
      <c r="DH152" s="139"/>
      <c r="DI152" s="139"/>
      <c r="DJ152" s="139"/>
      <c r="DK152" s="139"/>
      <c r="DL152" s="139"/>
      <c r="DM152" s="139"/>
      <c r="DN152" s="139"/>
      <c r="DO152" s="139"/>
      <c r="DP152" s="139"/>
      <c r="DQ152" s="139"/>
      <c r="DR152" s="139"/>
      <c r="DS152" s="139"/>
      <c r="DT152" s="139"/>
      <c r="DU152" s="139"/>
      <c r="DV152" s="139"/>
      <c r="DW152" s="139"/>
      <c r="DX152" s="139"/>
      <c r="DY152" s="139"/>
      <c r="DZ152" s="139"/>
      <c r="EA152" s="139"/>
      <c r="EB152" s="139"/>
      <c r="EC152" s="139"/>
      <c r="ED152" s="139"/>
      <c r="EE152" s="139"/>
      <c r="EF152" s="139"/>
      <c r="EG152" s="139"/>
      <c r="EH152" s="139"/>
      <c r="EI152" s="139"/>
      <c r="EJ152" s="139"/>
      <c r="EK152" s="139"/>
      <c r="EL152" s="139"/>
      <c r="EM152" s="139"/>
      <c r="EN152" s="139"/>
      <c r="EO152" s="139"/>
      <c r="EP152" s="139"/>
      <c r="EQ152" s="139"/>
      <c r="ER152" s="139"/>
      <c r="ES152" s="139"/>
      <c r="ET152" s="139"/>
      <c r="EU152" s="139"/>
      <c r="EV152" s="139"/>
      <c r="EW152" s="139"/>
      <c r="EX152" s="139"/>
      <c r="EY152" s="139"/>
      <c r="EZ152" s="139"/>
      <c r="FA152" s="139"/>
      <c r="FB152" s="139"/>
      <c r="FC152" s="139"/>
      <c r="FD152" s="139"/>
      <c r="FE152" s="139"/>
      <c r="FF152" s="139"/>
      <c r="FG152" s="139"/>
      <c r="FH152" s="139"/>
      <c r="FI152" s="139"/>
      <c r="FJ152" s="139"/>
      <c r="FK152" s="139"/>
      <c r="FL152" s="139"/>
      <c r="FM152" s="139"/>
      <c r="FN152" s="139"/>
      <c r="FO152" s="139"/>
      <c r="FP152" s="139"/>
      <c r="FQ152" s="139"/>
      <c r="FR152" s="139"/>
      <c r="FS152" s="139"/>
      <c r="FT152" s="139"/>
      <c r="FU152" s="139"/>
      <c r="FV152" s="139"/>
      <c r="FW152" s="139"/>
      <c r="FX152" s="139"/>
      <c r="FY152" s="139"/>
      <c r="FZ152" s="139"/>
      <c r="GA152" s="139"/>
      <c r="GB152" s="139"/>
      <c r="GC152" s="139"/>
      <c r="GD152" s="139"/>
      <c r="GE152" s="139"/>
      <c r="GF152" s="139"/>
      <c r="GG152" s="139"/>
      <c r="GH152" s="139"/>
      <c r="GI152" s="139"/>
      <c r="GJ152" s="139"/>
      <c r="GK152" s="139"/>
      <c r="GL152" s="139"/>
      <c r="GM152" s="139"/>
      <c r="GN152" s="139"/>
      <c r="GO152" s="139"/>
      <c r="GP152" s="139"/>
      <c r="GQ152" s="139"/>
      <c r="GR152" s="139"/>
      <c r="GS152" s="139"/>
      <c r="GT152" s="139"/>
      <c r="GU152" s="139"/>
      <c r="GV152" s="139"/>
      <c r="GW152" s="139"/>
      <c r="GX152" s="139"/>
      <c r="GY152" s="139"/>
      <c r="GZ152" s="139"/>
      <c r="HA152" s="139"/>
      <c r="HB152" s="139"/>
      <c r="HC152" s="139"/>
      <c r="HD152" s="139"/>
      <c r="HE152" s="139"/>
      <c r="HF152" s="139"/>
      <c r="HG152" s="139"/>
      <c r="HH152" s="139"/>
      <c r="HI152" s="139"/>
      <c r="HJ152" s="139"/>
      <c r="HK152" s="139"/>
      <c r="HL152" s="139"/>
      <c r="HM152" s="139"/>
      <c r="HN152" s="139"/>
      <c r="HO152" s="139"/>
      <c r="HP152" s="139"/>
      <c r="HQ152" s="139"/>
      <c r="HR152" s="139"/>
      <c r="HS152" s="139"/>
      <c r="HT152" s="139"/>
      <c r="HU152" s="139"/>
      <c r="HV152" s="139"/>
      <c r="HW152" s="139"/>
      <c r="HX152" s="139"/>
      <c r="HY152" s="139"/>
      <c r="HZ152" s="139"/>
      <c r="IA152" s="139"/>
      <c r="IB152" s="139"/>
      <c r="IC152" s="139"/>
      <c r="ID152" s="139"/>
      <c r="IE152" s="139"/>
      <c r="IF152" s="139"/>
      <c r="IG152" s="139"/>
      <c r="IH152" s="139"/>
      <c r="II152" s="139"/>
      <c r="IJ152" s="139"/>
      <c r="IK152" s="139"/>
      <c r="IL152" s="139"/>
      <c r="IM152" s="139"/>
      <c r="IN152" s="139"/>
      <c r="IO152" s="139"/>
      <c r="IP152" s="139"/>
      <c r="IQ152" s="139"/>
      <c r="IR152" s="139"/>
    </row>
    <row r="153" spans="2:252" x14ac:dyDescent="0.3">
      <c r="B153" s="5" t="s">
        <v>117</v>
      </c>
      <c r="C153" s="916" t="s">
        <v>220</v>
      </c>
      <c r="D153" s="957">
        <v>0</v>
      </c>
      <c r="E153" s="957">
        <v>0</v>
      </c>
      <c r="F153" s="957">
        <v>0</v>
      </c>
      <c r="G153" s="957">
        <v>0</v>
      </c>
      <c r="H153" s="957">
        <v>0</v>
      </c>
      <c r="I153" s="957">
        <v>0</v>
      </c>
      <c r="J153" s="957">
        <v>0</v>
      </c>
      <c r="K153" s="958">
        <v>0</v>
      </c>
      <c r="L153" s="412">
        <f t="shared" si="18"/>
        <v>0</v>
      </c>
      <c r="M153" s="416">
        <f t="shared" si="19"/>
        <v>0</v>
      </c>
      <c r="N153" s="276"/>
      <c r="O153" s="164"/>
      <c r="P153" s="139"/>
      <c r="Q153" s="139"/>
      <c r="R153" s="139"/>
      <c r="S153" s="139"/>
      <c r="T153" s="139"/>
      <c r="U153" s="139"/>
      <c r="V153" s="139"/>
      <c r="W153" s="139"/>
      <c r="X153" s="139"/>
      <c r="Y153" s="139"/>
      <c r="Z153" s="139"/>
      <c r="AA153" s="139"/>
      <c r="AB153" s="139"/>
      <c r="AC153" s="139"/>
      <c r="AD153" s="139"/>
      <c r="AE153" s="139"/>
      <c r="AF153" s="139"/>
      <c r="AG153" s="139"/>
      <c r="AH153" s="139"/>
      <c r="AI153" s="139"/>
      <c r="AJ153" s="139"/>
      <c r="AK153" s="139"/>
      <c r="AL153" s="139"/>
      <c r="AM153" s="139"/>
      <c r="AN153" s="139"/>
      <c r="AO153" s="139"/>
      <c r="AP153" s="139"/>
      <c r="AQ153" s="139"/>
      <c r="AR153" s="139"/>
      <c r="AS153" s="139"/>
      <c r="AT153" s="139"/>
      <c r="AU153" s="139"/>
      <c r="AV153" s="139"/>
      <c r="AW153" s="139"/>
      <c r="AX153" s="139"/>
      <c r="AY153" s="139"/>
      <c r="AZ153" s="139"/>
      <c r="BA153" s="139"/>
      <c r="BB153" s="139"/>
      <c r="BC153" s="139"/>
      <c r="BD153" s="139"/>
      <c r="BE153" s="139"/>
      <c r="BF153" s="139"/>
      <c r="BG153" s="139"/>
      <c r="BH153" s="139"/>
      <c r="BI153" s="139"/>
      <c r="BJ153" s="139"/>
      <c r="BK153" s="139"/>
      <c r="BL153" s="139"/>
      <c r="BM153" s="139"/>
      <c r="BN153" s="139"/>
      <c r="BO153" s="139"/>
      <c r="BP153" s="139"/>
      <c r="BQ153" s="139"/>
      <c r="BR153" s="139"/>
      <c r="BS153" s="139"/>
      <c r="BT153" s="139"/>
      <c r="BU153" s="139"/>
      <c r="BV153" s="139"/>
      <c r="BW153" s="139"/>
      <c r="BX153" s="139"/>
      <c r="BY153" s="139"/>
      <c r="BZ153" s="139"/>
      <c r="CA153" s="139"/>
      <c r="CB153" s="139"/>
      <c r="CC153" s="139"/>
      <c r="CD153" s="139"/>
      <c r="CE153" s="139"/>
      <c r="CF153" s="139"/>
      <c r="CG153" s="139"/>
      <c r="CH153" s="139"/>
      <c r="CI153" s="139"/>
      <c r="CJ153" s="139"/>
      <c r="CK153" s="139"/>
      <c r="CL153" s="139"/>
      <c r="CM153" s="139"/>
      <c r="CN153" s="139"/>
      <c r="CO153" s="139"/>
      <c r="CP153" s="139"/>
      <c r="CQ153" s="139"/>
      <c r="CR153" s="139"/>
      <c r="CS153" s="139"/>
      <c r="CT153" s="139"/>
      <c r="CU153" s="139"/>
      <c r="CV153" s="139"/>
      <c r="CW153" s="139"/>
      <c r="CX153" s="139"/>
      <c r="CY153" s="139"/>
      <c r="CZ153" s="139"/>
      <c r="DA153" s="139"/>
      <c r="DB153" s="139"/>
      <c r="DC153" s="139"/>
      <c r="DD153" s="139"/>
      <c r="DE153" s="139"/>
      <c r="DF153" s="139"/>
      <c r="DG153" s="139"/>
      <c r="DH153" s="139"/>
      <c r="DI153" s="139"/>
      <c r="DJ153" s="139"/>
      <c r="DK153" s="139"/>
      <c r="DL153" s="139"/>
      <c r="DM153" s="139"/>
      <c r="DN153" s="139"/>
      <c r="DO153" s="139"/>
      <c r="DP153" s="139"/>
      <c r="DQ153" s="139"/>
      <c r="DR153" s="139"/>
      <c r="DS153" s="139"/>
      <c r="DT153" s="139"/>
      <c r="DU153" s="139"/>
      <c r="DV153" s="139"/>
      <c r="DW153" s="139"/>
      <c r="DX153" s="139"/>
      <c r="DY153" s="139"/>
      <c r="DZ153" s="139"/>
      <c r="EA153" s="139"/>
      <c r="EB153" s="139"/>
      <c r="EC153" s="139"/>
      <c r="ED153" s="139"/>
      <c r="EE153" s="139"/>
      <c r="EF153" s="139"/>
      <c r="EG153" s="139"/>
      <c r="EH153" s="139"/>
      <c r="EI153" s="139"/>
      <c r="EJ153" s="139"/>
      <c r="EK153" s="139"/>
      <c r="EL153" s="139"/>
      <c r="EM153" s="139"/>
      <c r="EN153" s="139"/>
      <c r="EO153" s="139"/>
      <c r="EP153" s="139"/>
      <c r="EQ153" s="139"/>
      <c r="ER153" s="139"/>
      <c r="ES153" s="139"/>
      <c r="ET153" s="139"/>
      <c r="EU153" s="139"/>
      <c r="EV153" s="139"/>
      <c r="EW153" s="139"/>
      <c r="EX153" s="139"/>
      <c r="EY153" s="139"/>
      <c r="EZ153" s="139"/>
      <c r="FA153" s="139"/>
      <c r="FB153" s="139"/>
      <c r="FC153" s="139"/>
      <c r="FD153" s="139"/>
      <c r="FE153" s="139"/>
      <c r="FF153" s="139"/>
      <c r="FG153" s="139"/>
      <c r="FH153" s="139"/>
      <c r="FI153" s="139"/>
      <c r="FJ153" s="139"/>
      <c r="FK153" s="139"/>
      <c r="FL153" s="139"/>
      <c r="FM153" s="139"/>
      <c r="FN153" s="139"/>
      <c r="FO153" s="139"/>
      <c r="FP153" s="139"/>
      <c r="FQ153" s="139"/>
      <c r="FR153" s="139"/>
      <c r="FS153" s="139"/>
      <c r="FT153" s="139"/>
      <c r="FU153" s="139"/>
      <c r="FV153" s="139"/>
      <c r="FW153" s="139"/>
      <c r="FX153" s="139"/>
      <c r="FY153" s="139"/>
      <c r="FZ153" s="139"/>
      <c r="GA153" s="139"/>
      <c r="GB153" s="139"/>
      <c r="GC153" s="139"/>
      <c r="GD153" s="139"/>
      <c r="GE153" s="139"/>
      <c r="GF153" s="139"/>
      <c r="GG153" s="139"/>
      <c r="GH153" s="139"/>
      <c r="GI153" s="139"/>
      <c r="GJ153" s="139"/>
      <c r="GK153" s="139"/>
      <c r="GL153" s="139"/>
      <c r="GM153" s="139"/>
      <c r="GN153" s="139"/>
      <c r="GO153" s="139"/>
      <c r="GP153" s="139"/>
      <c r="GQ153" s="139"/>
      <c r="GR153" s="139"/>
      <c r="GS153" s="139"/>
      <c r="GT153" s="139"/>
      <c r="GU153" s="139"/>
      <c r="GV153" s="139"/>
      <c r="GW153" s="139"/>
      <c r="GX153" s="139"/>
      <c r="GY153" s="139"/>
      <c r="GZ153" s="139"/>
      <c r="HA153" s="139"/>
      <c r="HB153" s="139"/>
      <c r="HC153" s="139"/>
      <c r="HD153" s="139"/>
      <c r="HE153" s="139"/>
      <c r="HF153" s="139"/>
      <c r="HG153" s="139"/>
      <c r="HH153" s="139"/>
      <c r="HI153" s="139"/>
      <c r="HJ153" s="139"/>
      <c r="HK153" s="139"/>
      <c r="HL153" s="139"/>
      <c r="HM153" s="139"/>
      <c r="HN153" s="139"/>
      <c r="HO153" s="139"/>
      <c r="HP153" s="139"/>
      <c r="HQ153" s="139"/>
      <c r="HR153" s="139"/>
      <c r="HS153" s="139"/>
      <c r="HT153" s="139"/>
      <c r="HU153" s="139"/>
      <c r="HV153" s="139"/>
      <c r="HW153" s="139"/>
      <c r="HX153" s="139"/>
      <c r="HY153" s="139"/>
      <c r="HZ153" s="139"/>
      <c r="IA153" s="139"/>
      <c r="IB153" s="139"/>
      <c r="IC153" s="139"/>
      <c r="ID153" s="139"/>
      <c r="IE153" s="139"/>
      <c r="IF153" s="139"/>
      <c r="IG153" s="139"/>
      <c r="IH153" s="139"/>
      <c r="II153" s="139"/>
      <c r="IJ153" s="139"/>
      <c r="IK153" s="139"/>
      <c r="IL153" s="139"/>
      <c r="IM153" s="139"/>
      <c r="IN153" s="139"/>
      <c r="IO153" s="139"/>
      <c r="IP153" s="139"/>
      <c r="IQ153" s="139"/>
      <c r="IR153" s="139"/>
    </row>
    <row r="154" spans="2:252" x14ac:dyDescent="0.3">
      <c r="B154" s="5" t="s">
        <v>118</v>
      </c>
      <c r="C154" s="916" t="s">
        <v>221</v>
      </c>
      <c r="D154" s="957">
        <v>813926.79627633293</v>
      </c>
      <c r="E154" s="957">
        <v>511.95995485781344</v>
      </c>
      <c r="F154" s="957">
        <v>25.730495048142238</v>
      </c>
      <c r="G154" s="957">
        <v>7.2610424229075186</v>
      </c>
      <c r="H154" s="957">
        <v>23326.519401809725</v>
      </c>
      <c r="I154" s="957">
        <v>14.672380703738318</v>
      </c>
      <c r="J154" s="957">
        <v>0.34054867191371618</v>
      </c>
      <c r="K154" s="958">
        <v>0.2080898650443862</v>
      </c>
      <c r="L154" s="412">
        <f t="shared" si="18"/>
        <v>837253.31567814271</v>
      </c>
      <c r="M154" s="416">
        <f t="shared" si="19"/>
        <v>560.17251156955956</v>
      </c>
      <c r="N154" s="276"/>
      <c r="O154" s="164"/>
      <c r="P154" s="139"/>
      <c r="Q154" s="139"/>
      <c r="R154" s="139"/>
      <c r="S154" s="139"/>
      <c r="T154" s="139"/>
      <c r="U154" s="139"/>
      <c r="V154" s="139"/>
      <c r="W154" s="139"/>
      <c r="X154" s="139"/>
      <c r="Y154" s="139"/>
      <c r="Z154" s="139"/>
      <c r="AA154" s="139"/>
      <c r="AB154" s="139"/>
      <c r="AC154" s="139"/>
      <c r="AD154" s="139"/>
      <c r="AE154" s="139"/>
      <c r="AF154" s="139"/>
      <c r="AG154" s="139"/>
      <c r="AH154" s="139"/>
      <c r="AI154" s="139"/>
      <c r="AJ154" s="139"/>
      <c r="AK154" s="139"/>
      <c r="AL154" s="139"/>
      <c r="AM154" s="139"/>
      <c r="AN154" s="139"/>
      <c r="AO154" s="139"/>
      <c r="AP154" s="139"/>
      <c r="AQ154" s="139"/>
      <c r="AR154" s="139"/>
      <c r="AS154" s="139"/>
      <c r="AT154" s="139"/>
      <c r="AU154" s="139"/>
      <c r="AV154" s="139"/>
      <c r="AW154" s="139"/>
      <c r="AX154" s="139"/>
      <c r="AY154" s="139"/>
      <c r="AZ154" s="139"/>
      <c r="BA154" s="139"/>
      <c r="BB154" s="139"/>
      <c r="BC154" s="139"/>
      <c r="BD154" s="139"/>
      <c r="BE154" s="139"/>
      <c r="BF154" s="139"/>
      <c r="BG154" s="139"/>
      <c r="BH154" s="139"/>
      <c r="BI154" s="139"/>
      <c r="BJ154" s="139"/>
      <c r="BK154" s="139"/>
      <c r="BL154" s="139"/>
      <c r="BM154" s="139"/>
      <c r="BN154" s="139"/>
      <c r="BO154" s="139"/>
      <c r="BP154" s="139"/>
      <c r="BQ154" s="139"/>
      <c r="BR154" s="139"/>
      <c r="BS154" s="139"/>
      <c r="BT154" s="139"/>
      <c r="BU154" s="139"/>
      <c r="BV154" s="139"/>
      <c r="BW154" s="139"/>
      <c r="BX154" s="139"/>
      <c r="BY154" s="139"/>
      <c r="BZ154" s="139"/>
      <c r="CA154" s="139"/>
      <c r="CB154" s="139"/>
      <c r="CC154" s="139"/>
      <c r="CD154" s="139"/>
      <c r="CE154" s="139"/>
      <c r="CF154" s="139"/>
      <c r="CG154" s="139"/>
      <c r="CH154" s="139"/>
      <c r="CI154" s="139"/>
      <c r="CJ154" s="139"/>
      <c r="CK154" s="139"/>
      <c r="CL154" s="139"/>
      <c r="CM154" s="139"/>
      <c r="CN154" s="139"/>
      <c r="CO154" s="139"/>
      <c r="CP154" s="139"/>
      <c r="CQ154" s="139"/>
      <c r="CR154" s="139"/>
      <c r="CS154" s="139"/>
      <c r="CT154" s="139"/>
      <c r="CU154" s="139"/>
      <c r="CV154" s="139"/>
      <c r="CW154" s="139"/>
      <c r="CX154" s="139"/>
      <c r="CY154" s="139"/>
      <c r="CZ154" s="139"/>
      <c r="DA154" s="139"/>
      <c r="DB154" s="139"/>
      <c r="DC154" s="139"/>
      <c r="DD154" s="139"/>
      <c r="DE154" s="139"/>
      <c r="DF154" s="139"/>
      <c r="DG154" s="139"/>
      <c r="DH154" s="139"/>
      <c r="DI154" s="139"/>
      <c r="DJ154" s="139"/>
      <c r="DK154" s="139"/>
      <c r="DL154" s="139"/>
      <c r="DM154" s="139"/>
      <c r="DN154" s="139"/>
      <c r="DO154" s="139"/>
      <c r="DP154" s="139"/>
      <c r="DQ154" s="139"/>
      <c r="DR154" s="139"/>
      <c r="DS154" s="139"/>
      <c r="DT154" s="139"/>
      <c r="DU154" s="139"/>
      <c r="DV154" s="139"/>
      <c r="DW154" s="139"/>
      <c r="DX154" s="139"/>
      <c r="DY154" s="139"/>
      <c r="DZ154" s="139"/>
      <c r="EA154" s="139"/>
      <c r="EB154" s="139"/>
      <c r="EC154" s="139"/>
      <c r="ED154" s="139"/>
      <c r="EE154" s="139"/>
      <c r="EF154" s="139"/>
      <c r="EG154" s="139"/>
      <c r="EH154" s="139"/>
      <c r="EI154" s="139"/>
      <c r="EJ154" s="139"/>
      <c r="EK154" s="139"/>
      <c r="EL154" s="139"/>
      <c r="EM154" s="139"/>
      <c r="EN154" s="139"/>
      <c r="EO154" s="139"/>
      <c r="EP154" s="139"/>
      <c r="EQ154" s="139"/>
      <c r="ER154" s="139"/>
      <c r="ES154" s="139"/>
      <c r="ET154" s="139"/>
      <c r="EU154" s="139"/>
      <c r="EV154" s="139"/>
      <c r="EW154" s="139"/>
      <c r="EX154" s="139"/>
      <c r="EY154" s="139"/>
      <c r="EZ154" s="139"/>
      <c r="FA154" s="139"/>
      <c r="FB154" s="139"/>
      <c r="FC154" s="139"/>
      <c r="FD154" s="139"/>
      <c r="FE154" s="139"/>
      <c r="FF154" s="139"/>
      <c r="FG154" s="139"/>
      <c r="FH154" s="139"/>
      <c r="FI154" s="139"/>
      <c r="FJ154" s="139"/>
      <c r="FK154" s="139"/>
      <c r="FL154" s="139"/>
      <c r="FM154" s="139"/>
      <c r="FN154" s="139"/>
      <c r="FO154" s="139"/>
      <c r="FP154" s="139"/>
      <c r="FQ154" s="139"/>
      <c r="FR154" s="139"/>
      <c r="FS154" s="139"/>
      <c r="FT154" s="139"/>
      <c r="FU154" s="139"/>
      <c r="FV154" s="139"/>
      <c r="FW154" s="139"/>
      <c r="FX154" s="139"/>
      <c r="FY154" s="139"/>
      <c r="FZ154" s="139"/>
      <c r="GA154" s="139"/>
      <c r="GB154" s="139"/>
      <c r="GC154" s="139"/>
      <c r="GD154" s="139"/>
      <c r="GE154" s="139"/>
      <c r="GF154" s="139"/>
      <c r="GG154" s="139"/>
      <c r="GH154" s="139"/>
      <c r="GI154" s="139"/>
      <c r="GJ154" s="139"/>
      <c r="GK154" s="139"/>
      <c r="GL154" s="139"/>
      <c r="GM154" s="139"/>
      <c r="GN154" s="139"/>
      <c r="GO154" s="139"/>
      <c r="GP154" s="139"/>
      <c r="GQ154" s="139"/>
      <c r="GR154" s="139"/>
      <c r="GS154" s="139"/>
      <c r="GT154" s="139"/>
      <c r="GU154" s="139"/>
      <c r="GV154" s="139"/>
      <c r="GW154" s="139"/>
      <c r="GX154" s="139"/>
      <c r="GY154" s="139"/>
      <c r="GZ154" s="139"/>
      <c r="HA154" s="139"/>
      <c r="HB154" s="139"/>
      <c r="HC154" s="139"/>
      <c r="HD154" s="139"/>
      <c r="HE154" s="139"/>
      <c r="HF154" s="139"/>
      <c r="HG154" s="139"/>
      <c r="HH154" s="139"/>
      <c r="HI154" s="139"/>
      <c r="HJ154" s="139"/>
      <c r="HK154" s="139"/>
      <c r="HL154" s="139"/>
      <c r="HM154" s="139"/>
      <c r="HN154" s="139"/>
      <c r="HO154" s="139"/>
      <c r="HP154" s="139"/>
      <c r="HQ154" s="139"/>
      <c r="HR154" s="139"/>
      <c r="HS154" s="139"/>
      <c r="HT154" s="139"/>
      <c r="HU154" s="139"/>
      <c r="HV154" s="139"/>
      <c r="HW154" s="139"/>
      <c r="HX154" s="139"/>
      <c r="HY154" s="139"/>
      <c r="HZ154" s="139"/>
      <c r="IA154" s="139"/>
      <c r="IB154" s="139"/>
      <c r="IC154" s="139"/>
      <c r="ID154" s="139"/>
      <c r="IE154" s="139"/>
      <c r="IF154" s="139"/>
      <c r="IG154" s="139"/>
      <c r="IH154" s="139"/>
      <c r="II154" s="139"/>
      <c r="IJ154" s="139"/>
      <c r="IK154" s="139"/>
      <c r="IL154" s="139"/>
      <c r="IM154" s="139"/>
      <c r="IN154" s="139"/>
      <c r="IO154" s="139"/>
      <c r="IP154" s="139"/>
      <c r="IQ154" s="139"/>
      <c r="IR154" s="139"/>
    </row>
    <row r="155" spans="2:252" x14ac:dyDescent="0.3">
      <c r="B155" s="5" t="s">
        <v>119</v>
      </c>
      <c r="C155" s="916" t="s">
        <v>222</v>
      </c>
      <c r="D155" s="957">
        <v>0</v>
      </c>
      <c r="E155" s="957">
        <v>0</v>
      </c>
      <c r="F155" s="957">
        <v>0</v>
      </c>
      <c r="G155" s="957">
        <v>0</v>
      </c>
      <c r="H155" s="957">
        <v>0</v>
      </c>
      <c r="I155" s="957">
        <v>0</v>
      </c>
      <c r="J155" s="957">
        <v>0</v>
      </c>
      <c r="K155" s="958">
        <v>0</v>
      </c>
      <c r="L155" s="412">
        <f t="shared" si="18"/>
        <v>0</v>
      </c>
      <c r="M155" s="416">
        <f t="shared" si="19"/>
        <v>0</v>
      </c>
      <c r="N155" s="276"/>
      <c r="O155" s="164"/>
      <c r="P155" s="139"/>
      <c r="Q155" s="139"/>
      <c r="R155" s="139"/>
      <c r="S155" s="139"/>
      <c r="T155" s="139"/>
      <c r="U155" s="139"/>
      <c r="V155" s="139"/>
      <c r="W155" s="139"/>
      <c r="X155" s="139"/>
      <c r="Y155" s="139"/>
      <c r="Z155" s="139"/>
      <c r="AA155" s="139"/>
      <c r="AB155" s="139"/>
      <c r="AC155" s="139"/>
      <c r="AD155" s="139"/>
      <c r="AE155" s="139"/>
      <c r="AF155" s="139"/>
      <c r="AG155" s="139"/>
      <c r="AH155" s="139"/>
      <c r="AI155" s="139"/>
      <c r="AJ155" s="139"/>
      <c r="AK155" s="139"/>
      <c r="AL155" s="139"/>
      <c r="AM155" s="139"/>
      <c r="AN155" s="139"/>
      <c r="AO155" s="139"/>
      <c r="AP155" s="139"/>
      <c r="AQ155" s="139"/>
      <c r="AR155" s="139"/>
      <c r="AS155" s="139"/>
      <c r="AT155" s="139"/>
      <c r="AU155" s="139"/>
      <c r="AV155" s="139"/>
      <c r="AW155" s="139"/>
      <c r="AX155" s="139"/>
      <c r="AY155" s="139"/>
      <c r="AZ155" s="139"/>
      <c r="BA155" s="139"/>
      <c r="BB155" s="139"/>
      <c r="BC155" s="139"/>
      <c r="BD155" s="139"/>
      <c r="BE155" s="139"/>
      <c r="BF155" s="139"/>
      <c r="BG155" s="139"/>
      <c r="BH155" s="139"/>
      <c r="BI155" s="139"/>
      <c r="BJ155" s="139"/>
      <c r="BK155" s="139"/>
      <c r="BL155" s="139"/>
      <c r="BM155" s="139"/>
      <c r="BN155" s="139"/>
      <c r="BO155" s="139"/>
      <c r="BP155" s="139"/>
      <c r="BQ155" s="139"/>
      <c r="BR155" s="139"/>
      <c r="BS155" s="139"/>
      <c r="BT155" s="139"/>
      <c r="BU155" s="139"/>
      <c r="BV155" s="139"/>
      <c r="BW155" s="139"/>
      <c r="BX155" s="139"/>
      <c r="BY155" s="139"/>
      <c r="BZ155" s="139"/>
      <c r="CA155" s="139"/>
      <c r="CB155" s="139"/>
      <c r="CC155" s="139"/>
      <c r="CD155" s="139"/>
      <c r="CE155" s="139"/>
      <c r="CF155" s="139"/>
      <c r="CG155" s="139"/>
      <c r="CH155" s="139"/>
      <c r="CI155" s="139"/>
      <c r="CJ155" s="139"/>
      <c r="CK155" s="139"/>
      <c r="CL155" s="139"/>
      <c r="CM155" s="139"/>
      <c r="CN155" s="139"/>
      <c r="CO155" s="139"/>
      <c r="CP155" s="139"/>
      <c r="CQ155" s="139"/>
      <c r="CR155" s="139"/>
      <c r="CS155" s="139"/>
      <c r="CT155" s="139"/>
      <c r="CU155" s="139"/>
      <c r="CV155" s="139"/>
      <c r="CW155" s="139"/>
      <c r="CX155" s="139"/>
      <c r="CY155" s="139"/>
      <c r="CZ155" s="139"/>
      <c r="DA155" s="139"/>
      <c r="DB155" s="139"/>
      <c r="DC155" s="139"/>
      <c r="DD155" s="139"/>
      <c r="DE155" s="139"/>
      <c r="DF155" s="139"/>
      <c r="DG155" s="139"/>
      <c r="DH155" s="139"/>
      <c r="DI155" s="139"/>
      <c r="DJ155" s="139"/>
      <c r="DK155" s="139"/>
      <c r="DL155" s="139"/>
      <c r="DM155" s="139"/>
      <c r="DN155" s="139"/>
      <c r="DO155" s="139"/>
      <c r="DP155" s="139"/>
      <c r="DQ155" s="139"/>
      <c r="DR155" s="139"/>
      <c r="DS155" s="139"/>
      <c r="DT155" s="139"/>
      <c r="DU155" s="139"/>
      <c r="DV155" s="139"/>
      <c r="DW155" s="139"/>
      <c r="DX155" s="139"/>
      <c r="DY155" s="139"/>
      <c r="DZ155" s="139"/>
      <c r="EA155" s="139"/>
      <c r="EB155" s="139"/>
      <c r="EC155" s="139"/>
      <c r="ED155" s="139"/>
      <c r="EE155" s="139"/>
      <c r="EF155" s="139"/>
      <c r="EG155" s="139"/>
      <c r="EH155" s="139"/>
      <c r="EI155" s="139"/>
      <c r="EJ155" s="139"/>
      <c r="EK155" s="139"/>
      <c r="EL155" s="139"/>
      <c r="EM155" s="139"/>
      <c r="EN155" s="139"/>
      <c r="EO155" s="139"/>
      <c r="EP155" s="139"/>
      <c r="EQ155" s="139"/>
      <c r="ER155" s="139"/>
      <c r="ES155" s="139"/>
      <c r="ET155" s="139"/>
      <c r="EU155" s="139"/>
      <c r="EV155" s="139"/>
      <c r="EW155" s="139"/>
      <c r="EX155" s="139"/>
      <c r="EY155" s="139"/>
      <c r="EZ155" s="139"/>
      <c r="FA155" s="139"/>
      <c r="FB155" s="139"/>
      <c r="FC155" s="139"/>
      <c r="FD155" s="139"/>
      <c r="FE155" s="139"/>
      <c r="FF155" s="139"/>
      <c r="FG155" s="139"/>
      <c r="FH155" s="139"/>
      <c r="FI155" s="139"/>
      <c r="FJ155" s="139"/>
      <c r="FK155" s="139"/>
      <c r="FL155" s="139"/>
      <c r="FM155" s="139"/>
      <c r="FN155" s="139"/>
      <c r="FO155" s="139"/>
      <c r="FP155" s="139"/>
      <c r="FQ155" s="139"/>
      <c r="FR155" s="139"/>
      <c r="FS155" s="139"/>
      <c r="FT155" s="139"/>
      <c r="FU155" s="139"/>
      <c r="FV155" s="139"/>
      <c r="FW155" s="139"/>
      <c r="FX155" s="139"/>
      <c r="FY155" s="139"/>
      <c r="FZ155" s="139"/>
      <c r="GA155" s="139"/>
      <c r="GB155" s="139"/>
      <c r="GC155" s="139"/>
      <c r="GD155" s="139"/>
      <c r="GE155" s="139"/>
      <c r="GF155" s="139"/>
      <c r="GG155" s="139"/>
      <c r="GH155" s="139"/>
      <c r="GI155" s="139"/>
      <c r="GJ155" s="139"/>
      <c r="GK155" s="139"/>
      <c r="GL155" s="139"/>
      <c r="GM155" s="139"/>
      <c r="GN155" s="139"/>
      <c r="GO155" s="139"/>
      <c r="GP155" s="139"/>
      <c r="GQ155" s="139"/>
      <c r="GR155" s="139"/>
      <c r="GS155" s="139"/>
      <c r="GT155" s="139"/>
      <c r="GU155" s="139"/>
      <c r="GV155" s="139"/>
      <c r="GW155" s="139"/>
      <c r="GX155" s="139"/>
      <c r="GY155" s="139"/>
      <c r="GZ155" s="139"/>
      <c r="HA155" s="139"/>
      <c r="HB155" s="139"/>
      <c r="HC155" s="139"/>
      <c r="HD155" s="139"/>
      <c r="HE155" s="139"/>
      <c r="HF155" s="139"/>
      <c r="HG155" s="139"/>
      <c r="HH155" s="139"/>
      <c r="HI155" s="139"/>
      <c r="HJ155" s="139"/>
      <c r="HK155" s="139"/>
      <c r="HL155" s="139"/>
      <c r="HM155" s="139"/>
      <c r="HN155" s="139"/>
      <c r="HO155" s="139"/>
      <c r="HP155" s="139"/>
      <c r="HQ155" s="139"/>
      <c r="HR155" s="139"/>
      <c r="HS155" s="139"/>
      <c r="HT155" s="139"/>
      <c r="HU155" s="139"/>
      <c r="HV155" s="139"/>
      <c r="HW155" s="139"/>
      <c r="HX155" s="139"/>
      <c r="HY155" s="139"/>
      <c r="HZ155" s="139"/>
      <c r="IA155" s="139"/>
      <c r="IB155" s="139"/>
      <c r="IC155" s="139"/>
      <c r="ID155" s="139"/>
      <c r="IE155" s="139"/>
      <c r="IF155" s="139"/>
      <c r="IG155" s="139"/>
      <c r="IH155" s="139"/>
      <c r="II155" s="139"/>
      <c r="IJ155" s="139"/>
      <c r="IK155" s="139"/>
      <c r="IL155" s="139"/>
      <c r="IM155" s="139"/>
      <c r="IN155" s="139"/>
      <c r="IO155" s="139"/>
      <c r="IP155" s="139"/>
      <c r="IQ155" s="139"/>
      <c r="IR155" s="139"/>
    </row>
    <row r="156" spans="2:252" x14ac:dyDescent="0.3">
      <c r="B156" s="5" t="s">
        <v>120</v>
      </c>
      <c r="C156" s="916" t="s">
        <v>223</v>
      </c>
      <c r="D156" s="957">
        <v>0</v>
      </c>
      <c r="E156" s="957">
        <v>0</v>
      </c>
      <c r="F156" s="957">
        <v>0</v>
      </c>
      <c r="G156" s="957">
        <v>0</v>
      </c>
      <c r="H156" s="957">
        <v>0</v>
      </c>
      <c r="I156" s="957">
        <v>0</v>
      </c>
      <c r="J156" s="957">
        <v>0</v>
      </c>
      <c r="K156" s="958">
        <v>0</v>
      </c>
      <c r="L156" s="412">
        <f t="shared" si="18"/>
        <v>0</v>
      </c>
      <c r="M156" s="416">
        <f t="shared" si="19"/>
        <v>0</v>
      </c>
      <c r="N156" s="276"/>
      <c r="O156" s="164"/>
      <c r="P156" s="139"/>
      <c r="Q156" s="139"/>
      <c r="R156" s="139"/>
      <c r="S156" s="139"/>
      <c r="T156" s="139"/>
      <c r="U156" s="139"/>
      <c r="V156" s="139"/>
      <c r="W156" s="139"/>
      <c r="X156" s="139"/>
      <c r="Y156" s="139"/>
      <c r="Z156" s="139"/>
      <c r="AA156" s="139"/>
      <c r="AB156" s="139"/>
      <c r="AC156" s="139"/>
      <c r="AD156" s="139"/>
      <c r="AE156" s="139"/>
      <c r="AF156" s="139"/>
      <c r="AG156" s="139"/>
      <c r="AH156" s="139"/>
      <c r="AI156" s="139"/>
      <c r="AJ156" s="139"/>
      <c r="AK156" s="139"/>
      <c r="AL156" s="139"/>
      <c r="AM156" s="139"/>
      <c r="AN156" s="139"/>
      <c r="AO156" s="139"/>
      <c r="AP156" s="139"/>
      <c r="AQ156" s="139"/>
      <c r="AR156" s="139"/>
      <c r="AS156" s="139"/>
      <c r="AT156" s="139"/>
      <c r="AU156" s="139"/>
      <c r="AV156" s="139"/>
      <c r="AW156" s="139"/>
      <c r="AX156" s="139"/>
      <c r="AY156" s="139"/>
      <c r="AZ156" s="139"/>
      <c r="BA156" s="139"/>
      <c r="BB156" s="139"/>
      <c r="BC156" s="139"/>
      <c r="BD156" s="139"/>
      <c r="BE156" s="139"/>
      <c r="BF156" s="139"/>
      <c r="BG156" s="139"/>
      <c r="BH156" s="139"/>
      <c r="BI156" s="139"/>
      <c r="BJ156" s="139"/>
      <c r="BK156" s="139"/>
      <c r="BL156" s="139"/>
      <c r="BM156" s="139"/>
      <c r="BN156" s="139"/>
      <c r="BO156" s="139"/>
      <c r="BP156" s="139"/>
      <c r="BQ156" s="139"/>
      <c r="BR156" s="139"/>
      <c r="BS156" s="139"/>
      <c r="BT156" s="139"/>
      <c r="BU156" s="139"/>
      <c r="BV156" s="139"/>
      <c r="BW156" s="139"/>
      <c r="BX156" s="139"/>
      <c r="BY156" s="139"/>
      <c r="BZ156" s="139"/>
      <c r="CA156" s="139"/>
      <c r="CB156" s="139"/>
      <c r="CC156" s="139"/>
      <c r="CD156" s="139"/>
      <c r="CE156" s="139"/>
      <c r="CF156" s="139"/>
      <c r="CG156" s="139"/>
      <c r="CH156" s="139"/>
      <c r="CI156" s="139"/>
      <c r="CJ156" s="139"/>
      <c r="CK156" s="139"/>
      <c r="CL156" s="139"/>
      <c r="CM156" s="139"/>
      <c r="CN156" s="139"/>
      <c r="CO156" s="139"/>
      <c r="CP156" s="139"/>
      <c r="CQ156" s="139"/>
      <c r="CR156" s="139"/>
      <c r="CS156" s="139"/>
      <c r="CT156" s="139"/>
      <c r="CU156" s="139"/>
      <c r="CV156" s="139"/>
      <c r="CW156" s="139"/>
      <c r="CX156" s="139"/>
      <c r="CY156" s="139"/>
      <c r="CZ156" s="139"/>
      <c r="DA156" s="139"/>
      <c r="DB156" s="139"/>
      <c r="DC156" s="139"/>
      <c r="DD156" s="139"/>
      <c r="DE156" s="139"/>
      <c r="DF156" s="139"/>
      <c r="DG156" s="139"/>
      <c r="DH156" s="139"/>
      <c r="DI156" s="139"/>
      <c r="DJ156" s="139"/>
      <c r="DK156" s="139"/>
      <c r="DL156" s="139"/>
      <c r="DM156" s="139"/>
      <c r="DN156" s="139"/>
      <c r="DO156" s="139"/>
      <c r="DP156" s="139"/>
      <c r="DQ156" s="139"/>
      <c r="DR156" s="139"/>
      <c r="DS156" s="139"/>
      <c r="DT156" s="139"/>
      <c r="DU156" s="139"/>
      <c r="DV156" s="139"/>
      <c r="DW156" s="139"/>
      <c r="DX156" s="139"/>
      <c r="DY156" s="139"/>
      <c r="DZ156" s="139"/>
      <c r="EA156" s="139"/>
      <c r="EB156" s="139"/>
      <c r="EC156" s="139"/>
      <c r="ED156" s="139"/>
      <c r="EE156" s="139"/>
      <c r="EF156" s="139"/>
      <c r="EG156" s="139"/>
      <c r="EH156" s="139"/>
      <c r="EI156" s="139"/>
      <c r="EJ156" s="139"/>
      <c r="EK156" s="139"/>
      <c r="EL156" s="139"/>
      <c r="EM156" s="139"/>
      <c r="EN156" s="139"/>
      <c r="EO156" s="139"/>
      <c r="EP156" s="139"/>
      <c r="EQ156" s="139"/>
      <c r="ER156" s="139"/>
      <c r="ES156" s="139"/>
      <c r="ET156" s="139"/>
      <c r="EU156" s="139"/>
      <c r="EV156" s="139"/>
      <c r="EW156" s="139"/>
      <c r="EX156" s="139"/>
      <c r="EY156" s="139"/>
      <c r="EZ156" s="139"/>
      <c r="FA156" s="139"/>
      <c r="FB156" s="139"/>
      <c r="FC156" s="139"/>
      <c r="FD156" s="139"/>
      <c r="FE156" s="139"/>
      <c r="FF156" s="139"/>
      <c r="FG156" s="139"/>
      <c r="FH156" s="139"/>
      <c r="FI156" s="139"/>
      <c r="FJ156" s="139"/>
      <c r="FK156" s="139"/>
      <c r="FL156" s="139"/>
      <c r="FM156" s="139"/>
      <c r="FN156" s="139"/>
      <c r="FO156" s="139"/>
      <c r="FP156" s="139"/>
      <c r="FQ156" s="139"/>
      <c r="FR156" s="139"/>
      <c r="FS156" s="139"/>
      <c r="FT156" s="139"/>
      <c r="FU156" s="139"/>
      <c r="FV156" s="139"/>
      <c r="FW156" s="139"/>
      <c r="FX156" s="139"/>
      <c r="FY156" s="139"/>
      <c r="FZ156" s="139"/>
      <c r="GA156" s="139"/>
      <c r="GB156" s="139"/>
      <c r="GC156" s="139"/>
      <c r="GD156" s="139"/>
      <c r="GE156" s="139"/>
      <c r="GF156" s="139"/>
      <c r="GG156" s="139"/>
      <c r="GH156" s="139"/>
      <c r="GI156" s="139"/>
      <c r="GJ156" s="139"/>
      <c r="GK156" s="139"/>
      <c r="GL156" s="139"/>
      <c r="GM156" s="139"/>
      <c r="GN156" s="139"/>
      <c r="GO156" s="139"/>
      <c r="GP156" s="139"/>
      <c r="GQ156" s="139"/>
      <c r="GR156" s="139"/>
      <c r="GS156" s="139"/>
      <c r="GT156" s="139"/>
      <c r="GU156" s="139"/>
      <c r="GV156" s="139"/>
      <c r="GW156" s="139"/>
      <c r="GX156" s="139"/>
      <c r="GY156" s="139"/>
      <c r="GZ156" s="139"/>
      <c r="HA156" s="139"/>
      <c r="HB156" s="139"/>
      <c r="HC156" s="139"/>
      <c r="HD156" s="139"/>
      <c r="HE156" s="139"/>
      <c r="HF156" s="139"/>
      <c r="HG156" s="139"/>
      <c r="HH156" s="139"/>
      <c r="HI156" s="139"/>
      <c r="HJ156" s="139"/>
      <c r="HK156" s="139"/>
      <c r="HL156" s="139"/>
      <c r="HM156" s="139"/>
      <c r="HN156" s="139"/>
      <c r="HO156" s="139"/>
      <c r="HP156" s="139"/>
      <c r="HQ156" s="139"/>
      <c r="HR156" s="139"/>
      <c r="HS156" s="139"/>
      <c r="HT156" s="139"/>
      <c r="HU156" s="139"/>
      <c r="HV156" s="139"/>
      <c r="HW156" s="139"/>
      <c r="HX156" s="139"/>
      <c r="HY156" s="139"/>
      <c r="HZ156" s="139"/>
      <c r="IA156" s="139"/>
      <c r="IB156" s="139"/>
      <c r="IC156" s="139"/>
      <c r="ID156" s="139"/>
      <c r="IE156" s="139"/>
      <c r="IF156" s="139"/>
      <c r="IG156" s="139"/>
      <c r="IH156" s="139"/>
      <c r="II156" s="139"/>
      <c r="IJ156" s="139"/>
      <c r="IK156" s="139"/>
      <c r="IL156" s="139"/>
      <c r="IM156" s="139"/>
      <c r="IN156" s="139"/>
      <c r="IO156" s="139"/>
      <c r="IP156" s="139"/>
      <c r="IQ156" s="139"/>
      <c r="IR156" s="139"/>
    </row>
    <row r="157" spans="2:252" x14ac:dyDescent="0.3">
      <c r="B157" s="5" t="s">
        <v>121</v>
      </c>
      <c r="C157" s="916" t="s">
        <v>224</v>
      </c>
      <c r="D157" s="957">
        <v>0</v>
      </c>
      <c r="E157" s="957">
        <v>0</v>
      </c>
      <c r="F157" s="957">
        <v>0</v>
      </c>
      <c r="G157" s="957">
        <v>0</v>
      </c>
      <c r="H157" s="957">
        <v>0</v>
      </c>
      <c r="I157" s="957">
        <v>0</v>
      </c>
      <c r="J157" s="957">
        <v>0</v>
      </c>
      <c r="K157" s="958">
        <v>0</v>
      </c>
      <c r="L157" s="412">
        <f t="shared" si="18"/>
        <v>0</v>
      </c>
      <c r="M157" s="416">
        <f t="shared" si="19"/>
        <v>0</v>
      </c>
      <c r="N157" s="276"/>
      <c r="O157" s="164"/>
      <c r="P157" s="139"/>
      <c r="Q157" s="139"/>
      <c r="R157" s="139"/>
      <c r="S157" s="139"/>
      <c r="T157" s="139"/>
      <c r="U157" s="139"/>
      <c r="V157" s="139"/>
      <c r="W157" s="139"/>
      <c r="X157" s="139"/>
      <c r="Y157" s="139"/>
      <c r="Z157" s="139"/>
      <c r="AA157" s="139"/>
      <c r="AB157" s="139"/>
      <c r="AC157" s="139"/>
      <c r="AD157" s="139"/>
      <c r="AE157" s="139"/>
      <c r="AF157" s="139"/>
      <c r="AG157" s="139"/>
      <c r="AH157" s="139"/>
      <c r="AI157" s="139"/>
      <c r="AJ157" s="139"/>
      <c r="AK157" s="139"/>
      <c r="AL157" s="139"/>
      <c r="AM157" s="139"/>
      <c r="AN157" s="139"/>
      <c r="AO157" s="139"/>
      <c r="AP157" s="139"/>
      <c r="AQ157" s="139"/>
      <c r="AR157" s="139"/>
      <c r="AS157" s="139"/>
      <c r="AT157" s="139"/>
      <c r="AU157" s="139"/>
      <c r="AV157" s="139"/>
      <c r="AW157" s="139"/>
      <c r="AX157" s="139"/>
      <c r="AY157" s="139"/>
      <c r="AZ157" s="139"/>
      <c r="BA157" s="139"/>
      <c r="BB157" s="139"/>
      <c r="BC157" s="139"/>
      <c r="BD157" s="139"/>
      <c r="BE157" s="139"/>
      <c r="BF157" s="139"/>
      <c r="BG157" s="139"/>
      <c r="BH157" s="139"/>
      <c r="BI157" s="139"/>
      <c r="BJ157" s="139"/>
      <c r="BK157" s="139"/>
      <c r="BL157" s="139"/>
      <c r="BM157" s="139"/>
      <c r="BN157" s="139"/>
      <c r="BO157" s="139"/>
      <c r="BP157" s="139"/>
      <c r="BQ157" s="139"/>
      <c r="BR157" s="139"/>
      <c r="BS157" s="139"/>
      <c r="BT157" s="139"/>
      <c r="BU157" s="139"/>
      <c r="BV157" s="139"/>
      <c r="BW157" s="139"/>
      <c r="BX157" s="139"/>
      <c r="BY157" s="139"/>
      <c r="BZ157" s="139"/>
      <c r="CA157" s="139"/>
      <c r="CB157" s="139"/>
      <c r="CC157" s="139"/>
      <c r="CD157" s="139"/>
      <c r="CE157" s="139"/>
      <c r="CF157" s="139"/>
      <c r="CG157" s="139"/>
      <c r="CH157" s="139"/>
      <c r="CI157" s="139"/>
      <c r="CJ157" s="139"/>
      <c r="CK157" s="139"/>
      <c r="CL157" s="139"/>
      <c r="CM157" s="139"/>
      <c r="CN157" s="139"/>
      <c r="CO157" s="139"/>
      <c r="CP157" s="139"/>
      <c r="CQ157" s="139"/>
      <c r="CR157" s="139"/>
      <c r="CS157" s="139"/>
      <c r="CT157" s="139"/>
      <c r="CU157" s="139"/>
      <c r="CV157" s="139"/>
      <c r="CW157" s="139"/>
      <c r="CX157" s="139"/>
      <c r="CY157" s="139"/>
      <c r="CZ157" s="139"/>
      <c r="DA157" s="139"/>
      <c r="DB157" s="139"/>
      <c r="DC157" s="139"/>
      <c r="DD157" s="139"/>
      <c r="DE157" s="139"/>
      <c r="DF157" s="139"/>
      <c r="DG157" s="139"/>
      <c r="DH157" s="139"/>
      <c r="DI157" s="139"/>
      <c r="DJ157" s="139"/>
      <c r="DK157" s="139"/>
      <c r="DL157" s="139"/>
      <c r="DM157" s="139"/>
      <c r="DN157" s="139"/>
      <c r="DO157" s="139"/>
      <c r="DP157" s="139"/>
      <c r="DQ157" s="139"/>
      <c r="DR157" s="139"/>
      <c r="DS157" s="139"/>
      <c r="DT157" s="139"/>
      <c r="DU157" s="139"/>
      <c r="DV157" s="139"/>
      <c r="DW157" s="139"/>
      <c r="DX157" s="139"/>
      <c r="DY157" s="139"/>
      <c r="DZ157" s="139"/>
      <c r="EA157" s="139"/>
      <c r="EB157" s="139"/>
      <c r="EC157" s="139"/>
      <c r="ED157" s="139"/>
      <c r="EE157" s="139"/>
      <c r="EF157" s="139"/>
      <c r="EG157" s="139"/>
      <c r="EH157" s="139"/>
      <c r="EI157" s="139"/>
      <c r="EJ157" s="139"/>
      <c r="EK157" s="139"/>
      <c r="EL157" s="139"/>
      <c r="EM157" s="139"/>
      <c r="EN157" s="139"/>
      <c r="EO157" s="139"/>
      <c r="EP157" s="139"/>
      <c r="EQ157" s="139"/>
      <c r="ER157" s="139"/>
      <c r="ES157" s="139"/>
      <c r="ET157" s="139"/>
      <c r="EU157" s="139"/>
      <c r="EV157" s="139"/>
      <c r="EW157" s="139"/>
      <c r="EX157" s="139"/>
      <c r="EY157" s="139"/>
      <c r="EZ157" s="139"/>
      <c r="FA157" s="139"/>
      <c r="FB157" s="139"/>
      <c r="FC157" s="139"/>
      <c r="FD157" s="139"/>
      <c r="FE157" s="139"/>
      <c r="FF157" s="139"/>
      <c r="FG157" s="139"/>
      <c r="FH157" s="139"/>
      <c r="FI157" s="139"/>
      <c r="FJ157" s="139"/>
      <c r="FK157" s="139"/>
      <c r="FL157" s="139"/>
      <c r="FM157" s="139"/>
      <c r="FN157" s="139"/>
      <c r="FO157" s="139"/>
      <c r="FP157" s="139"/>
      <c r="FQ157" s="139"/>
      <c r="FR157" s="139"/>
      <c r="FS157" s="139"/>
      <c r="FT157" s="139"/>
      <c r="FU157" s="139"/>
      <c r="FV157" s="139"/>
      <c r="FW157" s="139"/>
      <c r="FX157" s="139"/>
      <c r="FY157" s="139"/>
      <c r="FZ157" s="139"/>
      <c r="GA157" s="139"/>
      <c r="GB157" s="139"/>
      <c r="GC157" s="139"/>
      <c r="GD157" s="139"/>
      <c r="GE157" s="139"/>
      <c r="GF157" s="139"/>
      <c r="GG157" s="139"/>
      <c r="GH157" s="139"/>
      <c r="GI157" s="139"/>
      <c r="GJ157" s="139"/>
      <c r="GK157" s="139"/>
      <c r="GL157" s="139"/>
      <c r="GM157" s="139"/>
      <c r="GN157" s="139"/>
      <c r="GO157" s="139"/>
      <c r="GP157" s="139"/>
      <c r="GQ157" s="139"/>
      <c r="GR157" s="139"/>
      <c r="GS157" s="139"/>
      <c r="GT157" s="139"/>
      <c r="GU157" s="139"/>
      <c r="GV157" s="139"/>
      <c r="GW157" s="139"/>
      <c r="GX157" s="139"/>
      <c r="GY157" s="139"/>
      <c r="GZ157" s="139"/>
      <c r="HA157" s="139"/>
      <c r="HB157" s="139"/>
      <c r="HC157" s="139"/>
      <c r="HD157" s="139"/>
      <c r="HE157" s="139"/>
      <c r="HF157" s="139"/>
      <c r="HG157" s="139"/>
      <c r="HH157" s="139"/>
      <c r="HI157" s="139"/>
      <c r="HJ157" s="139"/>
      <c r="HK157" s="139"/>
      <c r="HL157" s="139"/>
      <c r="HM157" s="139"/>
      <c r="HN157" s="139"/>
      <c r="HO157" s="139"/>
      <c r="HP157" s="139"/>
      <c r="HQ157" s="139"/>
      <c r="HR157" s="139"/>
      <c r="HS157" s="139"/>
      <c r="HT157" s="139"/>
      <c r="HU157" s="139"/>
      <c r="HV157" s="139"/>
      <c r="HW157" s="139"/>
      <c r="HX157" s="139"/>
      <c r="HY157" s="139"/>
      <c r="HZ157" s="139"/>
      <c r="IA157" s="139"/>
      <c r="IB157" s="139"/>
      <c r="IC157" s="139"/>
      <c r="ID157" s="139"/>
      <c r="IE157" s="139"/>
      <c r="IF157" s="139"/>
      <c r="IG157" s="139"/>
      <c r="IH157" s="139"/>
      <c r="II157" s="139"/>
      <c r="IJ157" s="139"/>
      <c r="IK157" s="139"/>
      <c r="IL157" s="139"/>
      <c r="IM157" s="139"/>
      <c r="IN157" s="139"/>
      <c r="IO157" s="139"/>
      <c r="IP157" s="139"/>
      <c r="IQ157" s="139"/>
      <c r="IR157" s="139"/>
    </row>
    <row r="158" spans="2:252" x14ac:dyDescent="0.3">
      <c r="B158" s="5" t="s">
        <v>122</v>
      </c>
      <c r="C158" s="916" t="s">
        <v>225</v>
      </c>
      <c r="D158" s="957">
        <v>6209.8476667066343</v>
      </c>
      <c r="E158" s="957">
        <v>3.905994182358473</v>
      </c>
      <c r="F158" s="957">
        <v>0.20763729744904658</v>
      </c>
      <c r="G158" s="957">
        <v>5.539644987974196E-2</v>
      </c>
      <c r="H158" s="957">
        <v>19108.565066104435</v>
      </c>
      <c r="I158" s="957">
        <v>12.019287426579689</v>
      </c>
      <c r="J158" s="957">
        <v>0.45833824043693661</v>
      </c>
      <c r="K158" s="958">
        <v>0.17046258197822073</v>
      </c>
      <c r="L158" s="412">
        <f t="shared" si="18"/>
        <v>25318.41273281107</v>
      </c>
      <c r="M158" s="416">
        <f t="shared" si="19"/>
        <v>16.81711617868211</v>
      </c>
      <c r="N158" s="276"/>
      <c r="O158" s="164"/>
      <c r="P158" s="139"/>
      <c r="Q158" s="139"/>
      <c r="R158" s="139"/>
      <c r="S158" s="139"/>
      <c r="T158" s="139"/>
      <c r="U158" s="139"/>
      <c r="V158" s="139"/>
      <c r="W158" s="139"/>
      <c r="X158" s="139"/>
      <c r="Y158" s="139"/>
      <c r="Z158" s="139"/>
      <c r="AA158" s="139"/>
      <c r="AB158" s="139"/>
      <c r="AC158" s="139"/>
      <c r="AD158" s="139"/>
      <c r="AE158" s="139"/>
      <c r="AF158" s="139"/>
      <c r="AG158" s="139"/>
      <c r="AH158" s="139"/>
      <c r="AI158" s="139"/>
      <c r="AJ158" s="139"/>
      <c r="AK158" s="139"/>
      <c r="AL158" s="139"/>
      <c r="AM158" s="139"/>
      <c r="AN158" s="139"/>
      <c r="AO158" s="139"/>
      <c r="AP158" s="139"/>
      <c r="AQ158" s="139"/>
      <c r="AR158" s="139"/>
      <c r="AS158" s="139"/>
      <c r="AT158" s="139"/>
      <c r="AU158" s="139"/>
      <c r="AV158" s="139"/>
      <c r="AW158" s="139"/>
      <c r="AX158" s="139"/>
      <c r="AY158" s="139"/>
      <c r="AZ158" s="139"/>
      <c r="BA158" s="139"/>
      <c r="BB158" s="139"/>
      <c r="BC158" s="139"/>
      <c r="BD158" s="139"/>
      <c r="BE158" s="139"/>
      <c r="BF158" s="139"/>
      <c r="BG158" s="139"/>
      <c r="BH158" s="139"/>
      <c r="BI158" s="139"/>
      <c r="BJ158" s="139"/>
      <c r="BK158" s="139"/>
      <c r="BL158" s="139"/>
      <c r="BM158" s="139"/>
      <c r="BN158" s="139"/>
      <c r="BO158" s="139"/>
      <c r="BP158" s="139"/>
      <c r="BQ158" s="139"/>
      <c r="BR158" s="139"/>
      <c r="BS158" s="139"/>
      <c r="BT158" s="139"/>
      <c r="BU158" s="139"/>
      <c r="BV158" s="139"/>
      <c r="BW158" s="139"/>
      <c r="BX158" s="139"/>
      <c r="BY158" s="139"/>
      <c r="BZ158" s="139"/>
      <c r="CA158" s="139"/>
      <c r="CB158" s="139"/>
      <c r="CC158" s="139"/>
      <c r="CD158" s="139"/>
      <c r="CE158" s="139"/>
      <c r="CF158" s="139"/>
      <c r="CG158" s="139"/>
      <c r="CH158" s="139"/>
      <c r="CI158" s="139"/>
      <c r="CJ158" s="139"/>
      <c r="CK158" s="139"/>
      <c r="CL158" s="139"/>
      <c r="CM158" s="139"/>
      <c r="CN158" s="139"/>
      <c r="CO158" s="139"/>
      <c r="CP158" s="139"/>
      <c r="CQ158" s="139"/>
      <c r="CR158" s="139"/>
      <c r="CS158" s="139"/>
      <c r="CT158" s="139"/>
      <c r="CU158" s="139"/>
      <c r="CV158" s="139"/>
      <c r="CW158" s="139"/>
      <c r="CX158" s="139"/>
      <c r="CY158" s="139"/>
      <c r="CZ158" s="139"/>
      <c r="DA158" s="139"/>
      <c r="DB158" s="139"/>
      <c r="DC158" s="139"/>
      <c r="DD158" s="139"/>
      <c r="DE158" s="139"/>
      <c r="DF158" s="139"/>
      <c r="DG158" s="139"/>
      <c r="DH158" s="139"/>
      <c r="DI158" s="139"/>
      <c r="DJ158" s="139"/>
      <c r="DK158" s="139"/>
      <c r="DL158" s="139"/>
      <c r="DM158" s="139"/>
      <c r="DN158" s="139"/>
      <c r="DO158" s="139"/>
      <c r="DP158" s="139"/>
      <c r="DQ158" s="139"/>
      <c r="DR158" s="139"/>
      <c r="DS158" s="139"/>
      <c r="DT158" s="139"/>
      <c r="DU158" s="139"/>
      <c r="DV158" s="139"/>
      <c r="DW158" s="139"/>
      <c r="DX158" s="139"/>
      <c r="DY158" s="139"/>
      <c r="DZ158" s="139"/>
      <c r="EA158" s="139"/>
      <c r="EB158" s="139"/>
      <c r="EC158" s="139"/>
      <c r="ED158" s="139"/>
      <c r="EE158" s="139"/>
      <c r="EF158" s="139"/>
      <c r="EG158" s="139"/>
      <c r="EH158" s="139"/>
      <c r="EI158" s="139"/>
      <c r="EJ158" s="139"/>
      <c r="EK158" s="139"/>
      <c r="EL158" s="139"/>
      <c r="EM158" s="139"/>
      <c r="EN158" s="139"/>
      <c r="EO158" s="139"/>
      <c r="EP158" s="139"/>
      <c r="EQ158" s="139"/>
      <c r="ER158" s="139"/>
      <c r="ES158" s="139"/>
      <c r="ET158" s="139"/>
      <c r="EU158" s="139"/>
      <c r="EV158" s="139"/>
      <c r="EW158" s="139"/>
      <c r="EX158" s="139"/>
      <c r="EY158" s="139"/>
      <c r="EZ158" s="139"/>
      <c r="FA158" s="139"/>
      <c r="FB158" s="139"/>
      <c r="FC158" s="139"/>
      <c r="FD158" s="139"/>
      <c r="FE158" s="139"/>
      <c r="FF158" s="139"/>
      <c r="FG158" s="139"/>
      <c r="FH158" s="139"/>
      <c r="FI158" s="139"/>
      <c r="FJ158" s="139"/>
      <c r="FK158" s="139"/>
      <c r="FL158" s="139"/>
      <c r="FM158" s="139"/>
      <c r="FN158" s="139"/>
      <c r="FO158" s="139"/>
      <c r="FP158" s="139"/>
      <c r="FQ158" s="139"/>
      <c r="FR158" s="139"/>
      <c r="FS158" s="139"/>
      <c r="FT158" s="139"/>
      <c r="FU158" s="139"/>
      <c r="FV158" s="139"/>
      <c r="FW158" s="139"/>
      <c r="FX158" s="139"/>
      <c r="FY158" s="139"/>
      <c r="FZ158" s="139"/>
      <c r="GA158" s="139"/>
      <c r="GB158" s="139"/>
      <c r="GC158" s="139"/>
      <c r="GD158" s="139"/>
      <c r="GE158" s="139"/>
      <c r="GF158" s="139"/>
      <c r="GG158" s="139"/>
      <c r="GH158" s="139"/>
      <c r="GI158" s="139"/>
      <c r="GJ158" s="139"/>
      <c r="GK158" s="139"/>
      <c r="GL158" s="139"/>
      <c r="GM158" s="139"/>
      <c r="GN158" s="139"/>
      <c r="GO158" s="139"/>
      <c r="GP158" s="139"/>
      <c r="GQ158" s="139"/>
      <c r="GR158" s="139"/>
      <c r="GS158" s="139"/>
      <c r="GT158" s="139"/>
      <c r="GU158" s="139"/>
      <c r="GV158" s="139"/>
      <c r="GW158" s="139"/>
      <c r="GX158" s="139"/>
      <c r="GY158" s="139"/>
      <c r="GZ158" s="139"/>
      <c r="HA158" s="139"/>
      <c r="HB158" s="139"/>
      <c r="HC158" s="139"/>
      <c r="HD158" s="139"/>
      <c r="HE158" s="139"/>
      <c r="HF158" s="139"/>
      <c r="HG158" s="139"/>
      <c r="HH158" s="139"/>
      <c r="HI158" s="139"/>
      <c r="HJ158" s="139"/>
      <c r="HK158" s="139"/>
      <c r="HL158" s="139"/>
      <c r="HM158" s="139"/>
      <c r="HN158" s="139"/>
      <c r="HO158" s="139"/>
      <c r="HP158" s="139"/>
      <c r="HQ158" s="139"/>
      <c r="HR158" s="139"/>
      <c r="HS158" s="139"/>
      <c r="HT158" s="139"/>
      <c r="HU158" s="139"/>
      <c r="HV158" s="139"/>
      <c r="HW158" s="139"/>
      <c r="HX158" s="139"/>
      <c r="HY158" s="139"/>
      <c r="HZ158" s="139"/>
      <c r="IA158" s="139"/>
      <c r="IB158" s="139"/>
      <c r="IC158" s="139"/>
      <c r="ID158" s="139"/>
      <c r="IE158" s="139"/>
      <c r="IF158" s="139"/>
      <c r="IG158" s="139"/>
      <c r="IH158" s="139"/>
      <c r="II158" s="139"/>
      <c r="IJ158" s="139"/>
      <c r="IK158" s="139"/>
      <c r="IL158" s="139"/>
      <c r="IM158" s="139"/>
      <c r="IN158" s="139"/>
      <c r="IO158" s="139"/>
      <c r="IP158" s="139"/>
      <c r="IQ158" s="139"/>
      <c r="IR158" s="139"/>
    </row>
    <row r="159" spans="2:252" x14ac:dyDescent="0.3">
      <c r="B159" s="5" t="s">
        <v>226</v>
      </c>
      <c r="C159" s="916" t="s">
        <v>227</v>
      </c>
      <c r="D159" s="957">
        <v>0</v>
      </c>
      <c r="E159" s="957">
        <v>0</v>
      </c>
      <c r="F159" s="957">
        <v>0</v>
      </c>
      <c r="G159" s="957">
        <v>0</v>
      </c>
      <c r="H159" s="957">
        <v>0</v>
      </c>
      <c r="I159" s="957">
        <v>0</v>
      </c>
      <c r="J159" s="957">
        <v>0</v>
      </c>
      <c r="K159" s="958">
        <v>0</v>
      </c>
      <c r="L159" s="412">
        <f t="shared" si="18"/>
        <v>0</v>
      </c>
      <c r="M159" s="416">
        <f t="shared" si="19"/>
        <v>0</v>
      </c>
      <c r="N159" s="276"/>
      <c r="O159" s="164"/>
      <c r="P159" s="139"/>
      <c r="Q159" s="139"/>
      <c r="R159" s="139"/>
      <c r="S159" s="139"/>
      <c r="T159" s="139"/>
      <c r="U159" s="139"/>
      <c r="V159" s="139"/>
      <c r="W159" s="139"/>
      <c r="X159" s="139"/>
      <c r="Y159" s="139"/>
      <c r="Z159" s="139"/>
      <c r="AA159" s="139"/>
      <c r="AB159" s="139"/>
      <c r="AC159" s="139"/>
      <c r="AD159" s="139"/>
      <c r="AE159" s="139"/>
      <c r="AF159" s="139"/>
      <c r="AG159" s="139"/>
      <c r="AH159" s="139"/>
      <c r="AI159" s="139"/>
      <c r="AJ159" s="139"/>
      <c r="AK159" s="139"/>
      <c r="AL159" s="139"/>
      <c r="AM159" s="139"/>
      <c r="AN159" s="139"/>
      <c r="AO159" s="139"/>
      <c r="AP159" s="139"/>
      <c r="AQ159" s="139"/>
      <c r="AR159" s="139"/>
      <c r="AS159" s="139"/>
      <c r="AT159" s="139"/>
      <c r="AU159" s="139"/>
      <c r="AV159" s="139"/>
      <c r="AW159" s="139"/>
      <c r="AX159" s="139"/>
      <c r="AY159" s="139"/>
      <c r="AZ159" s="139"/>
      <c r="BA159" s="139"/>
      <c r="BB159" s="139"/>
      <c r="BC159" s="139"/>
      <c r="BD159" s="139"/>
      <c r="BE159" s="139"/>
      <c r="BF159" s="139"/>
      <c r="BG159" s="139"/>
      <c r="BH159" s="139"/>
      <c r="BI159" s="139"/>
      <c r="BJ159" s="139"/>
      <c r="BK159" s="139"/>
      <c r="BL159" s="139"/>
      <c r="BM159" s="139"/>
      <c r="BN159" s="139"/>
      <c r="BO159" s="139"/>
      <c r="BP159" s="139"/>
      <c r="BQ159" s="139"/>
      <c r="BR159" s="139"/>
      <c r="BS159" s="139"/>
      <c r="BT159" s="139"/>
      <c r="BU159" s="139"/>
      <c r="BV159" s="139"/>
      <c r="BW159" s="139"/>
      <c r="BX159" s="139"/>
      <c r="BY159" s="139"/>
      <c r="BZ159" s="139"/>
      <c r="CA159" s="139"/>
      <c r="CB159" s="139"/>
      <c r="CC159" s="139"/>
      <c r="CD159" s="139"/>
      <c r="CE159" s="139"/>
      <c r="CF159" s="139"/>
      <c r="CG159" s="139"/>
      <c r="CH159" s="139"/>
      <c r="CI159" s="139"/>
      <c r="CJ159" s="139"/>
      <c r="CK159" s="139"/>
      <c r="CL159" s="139"/>
      <c r="CM159" s="139"/>
      <c r="CN159" s="139"/>
      <c r="CO159" s="139"/>
      <c r="CP159" s="139"/>
      <c r="CQ159" s="139"/>
      <c r="CR159" s="139"/>
      <c r="CS159" s="139"/>
      <c r="CT159" s="139"/>
      <c r="CU159" s="139"/>
      <c r="CV159" s="139"/>
      <c r="CW159" s="139"/>
      <c r="CX159" s="139"/>
      <c r="CY159" s="139"/>
      <c r="CZ159" s="139"/>
      <c r="DA159" s="139"/>
      <c r="DB159" s="139"/>
      <c r="DC159" s="139"/>
      <c r="DD159" s="139"/>
      <c r="DE159" s="139"/>
      <c r="DF159" s="139"/>
      <c r="DG159" s="139"/>
      <c r="DH159" s="139"/>
      <c r="DI159" s="139"/>
      <c r="DJ159" s="139"/>
      <c r="DK159" s="139"/>
      <c r="DL159" s="139"/>
      <c r="DM159" s="139"/>
      <c r="DN159" s="139"/>
      <c r="DO159" s="139"/>
      <c r="DP159" s="139"/>
      <c r="DQ159" s="139"/>
      <c r="DR159" s="139"/>
      <c r="DS159" s="139"/>
      <c r="DT159" s="139"/>
      <c r="DU159" s="139"/>
      <c r="DV159" s="139"/>
      <c r="DW159" s="139"/>
      <c r="DX159" s="139"/>
      <c r="DY159" s="139"/>
      <c r="DZ159" s="139"/>
      <c r="EA159" s="139"/>
      <c r="EB159" s="139"/>
      <c r="EC159" s="139"/>
      <c r="ED159" s="139"/>
      <c r="EE159" s="139"/>
      <c r="EF159" s="139"/>
      <c r="EG159" s="139"/>
      <c r="EH159" s="139"/>
      <c r="EI159" s="139"/>
      <c r="EJ159" s="139"/>
      <c r="EK159" s="139"/>
      <c r="EL159" s="139"/>
      <c r="EM159" s="139"/>
      <c r="EN159" s="139"/>
      <c r="EO159" s="139"/>
      <c r="EP159" s="139"/>
      <c r="EQ159" s="139"/>
      <c r="ER159" s="139"/>
      <c r="ES159" s="139"/>
      <c r="ET159" s="139"/>
      <c r="EU159" s="139"/>
      <c r="EV159" s="139"/>
      <c r="EW159" s="139"/>
      <c r="EX159" s="139"/>
      <c r="EY159" s="139"/>
      <c r="EZ159" s="139"/>
      <c r="FA159" s="139"/>
      <c r="FB159" s="139"/>
      <c r="FC159" s="139"/>
      <c r="FD159" s="139"/>
      <c r="FE159" s="139"/>
      <c r="FF159" s="139"/>
      <c r="FG159" s="139"/>
      <c r="FH159" s="139"/>
      <c r="FI159" s="139"/>
      <c r="FJ159" s="139"/>
      <c r="FK159" s="139"/>
      <c r="FL159" s="139"/>
      <c r="FM159" s="139"/>
      <c r="FN159" s="139"/>
      <c r="FO159" s="139"/>
      <c r="FP159" s="139"/>
      <c r="FQ159" s="139"/>
      <c r="FR159" s="139"/>
      <c r="FS159" s="139"/>
      <c r="FT159" s="139"/>
      <c r="FU159" s="139"/>
      <c r="FV159" s="139"/>
      <c r="FW159" s="139"/>
      <c r="FX159" s="139"/>
      <c r="FY159" s="139"/>
      <c r="FZ159" s="139"/>
      <c r="GA159" s="139"/>
      <c r="GB159" s="139"/>
      <c r="GC159" s="139"/>
      <c r="GD159" s="139"/>
      <c r="GE159" s="139"/>
      <c r="GF159" s="139"/>
      <c r="GG159" s="139"/>
      <c r="GH159" s="139"/>
      <c r="GI159" s="139"/>
      <c r="GJ159" s="139"/>
      <c r="GK159" s="139"/>
      <c r="GL159" s="139"/>
      <c r="GM159" s="139"/>
      <c r="GN159" s="139"/>
      <c r="GO159" s="139"/>
      <c r="GP159" s="139"/>
      <c r="GQ159" s="139"/>
      <c r="GR159" s="139"/>
      <c r="GS159" s="139"/>
      <c r="GT159" s="139"/>
      <c r="GU159" s="139"/>
      <c r="GV159" s="139"/>
      <c r="GW159" s="139"/>
      <c r="GX159" s="139"/>
      <c r="GY159" s="139"/>
      <c r="GZ159" s="139"/>
      <c r="HA159" s="139"/>
      <c r="HB159" s="139"/>
      <c r="HC159" s="139"/>
      <c r="HD159" s="139"/>
      <c r="HE159" s="139"/>
      <c r="HF159" s="139"/>
      <c r="HG159" s="139"/>
      <c r="HH159" s="139"/>
      <c r="HI159" s="139"/>
      <c r="HJ159" s="139"/>
      <c r="HK159" s="139"/>
      <c r="HL159" s="139"/>
      <c r="HM159" s="139"/>
      <c r="HN159" s="139"/>
      <c r="HO159" s="139"/>
      <c r="HP159" s="139"/>
      <c r="HQ159" s="139"/>
      <c r="HR159" s="139"/>
      <c r="HS159" s="139"/>
      <c r="HT159" s="139"/>
      <c r="HU159" s="139"/>
      <c r="HV159" s="139"/>
      <c r="HW159" s="139"/>
      <c r="HX159" s="139"/>
      <c r="HY159" s="139"/>
      <c r="HZ159" s="139"/>
      <c r="IA159" s="139"/>
      <c r="IB159" s="139"/>
      <c r="IC159" s="139"/>
      <c r="ID159" s="139"/>
      <c r="IE159" s="139"/>
      <c r="IF159" s="139"/>
      <c r="IG159" s="139"/>
      <c r="IH159" s="139"/>
      <c r="II159" s="139"/>
      <c r="IJ159" s="139"/>
      <c r="IK159" s="139"/>
      <c r="IL159" s="139"/>
      <c r="IM159" s="139"/>
      <c r="IN159" s="139"/>
      <c r="IO159" s="139"/>
      <c r="IP159" s="139"/>
      <c r="IQ159" s="139"/>
      <c r="IR159" s="139"/>
    </row>
    <row r="160" spans="2:252" x14ac:dyDescent="0.3">
      <c r="B160" s="5" t="s">
        <v>124</v>
      </c>
      <c r="C160" s="916" t="s">
        <v>228</v>
      </c>
      <c r="D160" s="957">
        <v>3273.644894161373</v>
      </c>
      <c r="E160" s="957">
        <v>2.0591226384275036</v>
      </c>
      <c r="F160" s="957">
        <v>0.16578228385733507</v>
      </c>
      <c r="G160" s="957">
        <v>2.9203342020088702E-2</v>
      </c>
      <c r="H160" s="957">
        <v>49084.794628000331</v>
      </c>
      <c r="I160" s="957">
        <v>30.874335821012206</v>
      </c>
      <c r="J160" s="957">
        <v>1.6091216609210541</v>
      </c>
      <c r="K160" s="958">
        <v>0.43787279679108809</v>
      </c>
      <c r="L160" s="412">
        <f t="shared" si="18"/>
        <v>52358.439522161701</v>
      </c>
      <c r="M160" s="416">
        <f t="shared" si="19"/>
        <v>35.17543854302928</v>
      </c>
      <c r="N160" s="276"/>
      <c r="O160" s="164"/>
      <c r="P160" s="139"/>
      <c r="Q160" s="139"/>
      <c r="R160" s="139"/>
      <c r="S160" s="139"/>
      <c r="T160" s="139"/>
      <c r="U160" s="139"/>
      <c r="V160" s="139"/>
      <c r="W160" s="139"/>
      <c r="X160" s="139"/>
      <c r="Y160" s="139"/>
      <c r="Z160" s="139"/>
      <c r="AA160" s="139"/>
      <c r="AB160" s="139"/>
      <c r="AC160" s="139"/>
      <c r="AD160" s="139"/>
      <c r="AE160" s="139"/>
      <c r="AF160" s="139"/>
      <c r="AG160" s="139"/>
      <c r="AH160" s="139"/>
      <c r="AI160" s="139"/>
      <c r="AJ160" s="139"/>
      <c r="AK160" s="139"/>
      <c r="AL160" s="139"/>
      <c r="AM160" s="139"/>
      <c r="AN160" s="139"/>
      <c r="AO160" s="139"/>
      <c r="AP160" s="139"/>
      <c r="AQ160" s="139"/>
      <c r="AR160" s="139"/>
      <c r="AS160" s="139"/>
      <c r="AT160" s="139"/>
      <c r="AU160" s="139"/>
      <c r="AV160" s="139"/>
      <c r="AW160" s="139"/>
      <c r="AX160" s="139"/>
      <c r="AY160" s="139"/>
      <c r="AZ160" s="139"/>
      <c r="BA160" s="139"/>
      <c r="BB160" s="139"/>
      <c r="BC160" s="139"/>
      <c r="BD160" s="139"/>
      <c r="BE160" s="139"/>
      <c r="BF160" s="139"/>
      <c r="BG160" s="139"/>
      <c r="BH160" s="139"/>
      <c r="BI160" s="139"/>
      <c r="BJ160" s="139"/>
      <c r="BK160" s="139"/>
      <c r="BL160" s="139"/>
      <c r="BM160" s="139"/>
      <c r="BN160" s="139"/>
      <c r="BO160" s="139"/>
      <c r="BP160" s="139"/>
      <c r="BQ160" s="139"/>
      <c r="BR160" s="139"/>
      <c r="BS160" s="139"/>
      <c r="BT160" s="139"/>
      <c r="BU160" s="139"/>
      <c r="BV160" s="139"/>
      <c r="BW160" s="139"/>
      <c r="BX160" s="139"/>
      <c r="BY160" s="139"/>
      <c r="BZ160" s="139"/>
      <c r="CA160" s="139"/>
      <c r="CB160" s="139"/>
      <c r="CC160" s="139"/>
      <c r="CD160" s="139"/>
      <c r="CE160" s="139"/>
      <c r="CF160" s="139"/>
      <c r="CG160" s="139"/>
      <c r="CH160" s="139"/>
      <c r="CI160" s="139"/>
      <c r="CJ160" s="139"/>
      <c r="CK160" s="139"/>
      <c r="CL160" s="139"/>
      <c r="CM160" s="139"/>
      <c r="CN160" s="139"/>
      <c r="CO160" s="139"/>
      <c r="CP160" s="139"/>
      <c r="CQ160" s="139"/>
      <c r="CR160" s="139"/>
      <c r="CS160" s="139"/>
      <c r="CT160" s="139"/>
      <c r="CU160" s="139"/>
      <c r="CV160" s="139"/>
      <c r="CW160" s="139"/>
      <c r="CX160" s="139"/>
      <c r="CY160" s="139"/>
      <c r="CZ160" s="139"/>
      <c r="DA160" s="139"/>
      <c r="DB160" s="139"/>
      <c r="DC160" s="139"/>
      <c r="DD160" s="139"/>
      <c r="DE160" s="139"/>
      <c r="DF160" s="139"/>
      <c r="DG160" s="139"/>
      <c r="DH160" s="139"/>
      <c r="DI160" s="139"/>
      <c r="DJ160" s="139"/>
      <c r="DK160" s="139"/>
      <c r="DL160" s="139"/>
      <c r="DM160" s="139"/>
      <c r="DN160" s="139"/>
      <c r="DO160" s="139"/>
      <c r="DP160" s="139"/>
      <c r="DQ160" s="139"/>
      <c r="DR160" s="139"/>
      <c r="DS160" s="139"/>
      <c r="DT160" s="139"/>
      <c r="DU160" s="139"/>
      <c r="DV160" s="139"/>
      <c r="DW160" s="139"/>
      <c r="DX160" s="139"/>
      <c r="DY160" s="139"/>
      <c r="DZ160" s="139"/>
      <c r="EA160" s="139"/>
      <c r="EB160" s="139"/>
      <c r="EC160" s="139"/>
      <c r="ED160" s="139"/>
      <c r="EE160" s="139"/>
      <c r="EF160" s="139"/>
      <c r="EG160" s="139"/>
      <c r="EH160" s="139"/>
      <c r="EI160" s="139"/>
      <c r="EJ160" s="139"/>
      <c r="EK160" s="139"/>
      <c r="EL160" s="139"/>
      <c r="EM160" s="139"/>
      <c r="EN160" s="139"/>
      <c r="EO160" s="139"/>
      <c r="EP160" s="139"/>
      <c r="EQ160" s="139"/>
      <c r="ER160" s="139"/>
      <c r="ES160" s="139"/>
      <c r="ET160" s="139"/>
      <c r="EU160" s="139"/>
      <c r="EV160" s="139"/>
      <c r="EW160" s="139"/>
      <c r="EX160" s="139"/>
      <c r="EY160" s="139"/>
      <c r="EZ160" s="139"/>
      <c r="FA160" s="139"/>
      <c r="FB160" s="139"/>
      <c r="FC160" s="139"/>
      <c r="FD160" s="139"/>
      <c r="FE160" s="139"/>
      <c r="FF160" s="139"/>
      <c r="FG160" s="139"/>
      <c r="FH160" s="139"/>
      <c r="FI160" s="139"/>
      <c r="FJ160" s="139"/>
      <c r="FK160" s="139"/>
      <c r="FL160" s="139"/>
      <c r="FM160" s="139"/>
      <c r="FN160" s="139"/>
      <c r="FO160" s="139"/>
      <c r="FP160" s="139"/>
      <c r="FQ160" s="139"/>
      <c r="FR160" s="139"/>
      <c r="FS160" s="139"/>
      <c r="FT160" s="139"/>
      <c r="FU160" s="139"/>
      <c r="FV160" s="139"/>
      <c r="FW160" s="139"/>
      <c r="FX160" s="139"/>
      <c r="FY160" s="139"/>
      <c r="FZ160" s="139"/>
      <c r="GA160" s="139"/>
      <c r="GB160" s="139"/>
      <c r="GC160" s="139"/>
      <c r="GD160" s="139"/>
      <c r="GE160" s="139"/>
      <c r="GF160" s="139"/>
      <c r="GG160" s="139"/>
      <c r="GH160" s="139"/>
      <c r="GI160" s="139"/>
      <c r="GJ160" s="139"/>
      <c r="GK160" s="139"/>
      <c r="GL160" s="139"/>
      <c r="GM160" s="139"/>
      <c r="GN160" s="139"/>
      <c r="GO160" s="139"/>
      <c r="GP160" s="139"/>
      <c r="GQ160" s="139"/>
      <c r="GR160" s="139"/>
      <c r="GS160" s="139"/>
      <c r="GT160" s="139"/>
      <c r="GU160" s="139"/>
      <c r="GV160" s="139"/>
      <c r="GW160" s="139"/>
      <c r="GX160" s="139"/>
      <c r="GY160" s="139"/>
      <c r="GZ160" s="139"/>
      <c r="HA160" s="139"/>
      <c r="HB160" s="139"/>
      <c r="HC160" s="139"/>
      <c r="HD160" s="139"/>
      <c r="HE160" s="139"/>
      <c r="HF160" s="139"/>
      <c r="HG160" s="139"/>
      <c r="HH160" s="139"/>
      <c r="HI160" s="139"/>
      <c r="HJ160" s="139"/>
      <c r="HK160" s="139"/>
      <c r="HL160" s="139"/>
      <c r="HM160" s="139"/>
      <c r="HN160" s="139"/>
      <c r="HO160" s="139"/>
      <c r="HP160" s="139"/>
      <c r="HQ160" s="139"/>
      <c r="HR160" s="139"/>
      <c r="HS160" s="139"/>
      <c r="HT160" s="139"/>
      <c r="HU160" s="139"/>
      <c r="HV160" s="139"/>
      <c r="HW160" s="139"/>
      <c r="HX160" s="139"/>
      <c r="HY160" s="139"/>
      <c r="HZ160" s="139"/>
      <c r="IA160" s="139"/>
      <c r="IB160" s="139"/>
      <c r="IC160" s="139"/>
      <c r="ID160" s="139"/>
      <c r="IE160" s="139"/>
      <c r="IF160" s="139"/>
      <c r="IG160" s="139"/>
      <c r="IH160" s="139"/>
      <c r="II160" s="139"/>
      <c r="IJ160" s="139"/>
      <c r="IK160" s="139"/>
      <c r="IL160" s="139"/>
      <c r="IM160" s="139"/>
      <c r="IN160" s="139"/>
      <c r="IO160" s="139"/>
      <c r="IP160" s="139"/>
      <c r="IQ160" s="139"/>
      <c r="IR160" s="139"/>
    </row>
    <row r="161" spans="2:253" x14ac:dyDescent="0.3">
      <c r="B161" s="5" t="s">
        <v>125</v>
      </c>
      <c r="C161" s="916" t="s">
        <v>229</v>
      </c>
      <c r="D161" s="957">
        <v>112227.71916932125</v>
      </c>
      <c r="E161" s="957">
        <v>70.591235357503066</v>
      </c>
      <c r="F161" s="957">
        <v>16.489281730834026</v>
      </c>
      <c r="G161" s="957">
        <v>3.1577614933491942</v>
      </c>
      <c r="H161" s="957">
        <v>1635539.8973615828</v>
      </c>
      <c r="I161" s="957">
        <v>1028.7545954404357</v>
      </c>
      <c r="J161" s="957">
        <v>16.489281730834026</v>
      </c>
      <c r="K161" s="958">
        <v>14.590229714694464</v>
      </c>
      <c r="L161" s="412">
        <f t="shared" si="18"/>
        <v>1747767.6165309041</v>
      </c>
      <c r="M161" s="416">
        <f t="shared" si="19"/>
        <v>1150.0723854676505</v>
      </c>
      <c r="N161" s="276"/>
      <c r="O161" s="164"/>
      <c r="P161" s="139"/>
      <c r="Q161" s="139"/>
      <c r="R161" s="139"/>
      <c r="S161" s="139"/>
      <c r="T161" s="139"/>
      <c r="U161" s="139"/>
      <c r="V161" s="139"/>
      <c r="W161" s="139"/>
      <c r="X161" s="139"/>
      <c r="Y161" s="139"/>
      <c r="Z161" s="139"/>
      <c r="AA161" s="139"/>
      <c r="AB161" s="139"/>
      <c r="AC161" s="139"/>
      <c r="AD161" s="139"/>
      <c r="AE161" s="139"/>
      <c r="AF161" s="139"/>
      <c r="AG161" s="139"/>
      <c r="AH161" s="139"/>
      <c r="AI161" s="139"/>
      <c r="AJ161" s="139"/>
      <c r="AK161" s="139"/>
      <c r="AL161" s="139"/>
      <c r="AM161" s="139"/>
      <c r="AN161" s="139"/>
      <c r="AO161" s="139"/>
      <c r="AP161" s="139"/>
      <c r="AQ161" s="139"/>
      <c r="AR161" s="139"/>
      <c r="AS161" s="139"/>
      <c r="AT161" s="139"/>
      <c r="AU161" s="139"/>
      <c r="AV161" s="139"/>
      <c r="AW161" s="139"/>
      <c r="AX161" s="139"/>
      <c r="AY161" s="139"/>
      <c r="AZ161" s="139"/>
      <c r="BA161" s="139"/>
      <c r="BB161" s="139"/>
      <c r="BC161" s="139"/>
      <c r="BD161" s="139"/>
      <c r="BE161" s="139"/>
      <c r="BF161" s="139"/>
      <c r="BG161" s="139"/>
      <c r="BH161" s="139"/>
      <c r="BI161" s="139"/>
      <c r="BJ161" s="139"/>
      <c r="BK161" s="139"/>
      <c r="BL161" s="139"/>
      <c r="BM161" s="139"/>
      <c r="BN161" s="139"/>
      <c r="BO161" s="139"/>
      <c r="BP161" s="139"/>
      <c r="BQ161" s="139"/>
      <c r="BR161" s="139"/>
      <c r="BS161" s="139"/>
      <c r="BT161" s="139"/>
      <c r="BU161" s="139"/>
      <c r="BV161" s="139"/>
      <c r="BW161" s="139"/>
      <c r="BX161" s="139"/>
      <c r="BY161" s="139"/>
      <c r="BZ161" s="139"/>
      <c r="CA161" s="139"/>
      <c r="CB161" s="139"/>
      <c r="CC161" s="139"/>
      <c r="CD161" s="139"/>
      <c r="CE161" s="139"/>
      <c r="CF161" s="139"/>
      <c r="CG161" s="139"/>
      <c r="CH161" s="139"/>
      <c r="CI161" s="139"/>
      <c r="CJ161" s="139"/>
      <c r="CK161" s="139"/>
      <c r="CL161" s="139"/>
      <c r="CM161" s="139"/>
      <c r="CN161" s="139"/>
      <c r="CO161" s="139"/>
      <c r="CP161" s="139"/>
      <c r="CQ161" s="139"/>
      <c r="CR161" s="139"/>
      <c r="CS161" s="139"/>
      <c r="CT161" s="139"/>
      <c r="CU161" s="139"/>
      <c r="CV161" s="139"/>
      <c r="CW161" s="139"/>
      <c r="CX161" s="139"/>
      <c r="CY161" s="139"/>
      <c r="CZ161" s="139"/>
      <c r="DA161" s="139"/>
      <c r="DB161" s="139"/>
      <c r="DC161" s="139"/>
      <c r="DD161" s="139"/>
      <c r="DE161" s="139"/>
      <c r="DF161" s="139"/>
      <c r="DG161" s="139"/>
      <c r="DH161" s="139"/>
      <c r="DI161" s="139"/>
      <c r="DJ161" s="139"/>
      <c r="DK161" s="139"/>
      <c r="DL161" s="139"/>
      <c r="DM161" s="139"/>
      <c r="DN161" s="139"/>
      <c r="DO161" s="139"/>
      <c r="DP161" s="139"/>
      <c r="DQ161" s="139"/>
      <c r="DR161" s="139"/>
      <c r="DS161" s="139"/>
      <c r="DT161" s="139"/>
      <c r="DU161" s="139"/>
      <c r="DV161" s="139"/>
      <c r="DW161" s="139"/>
      <c r="DX161" s="139"/>
      <c r="DY161" s="139"/>
      <c r="DZ161" s="139"/>
      <c r="EA161" s="139"/>
      <c r="EB161" s="139"/>
      <c r="EC161" s="139"/>
      <c r="ED161" s="139"/>
      <c r="EE161" s="139"/>
      <c r="EF161" s="139"/>
      <c r="EG161" s="139"/>
      <c r="EH161" s="139"/>
      <c r="EI161" s="139"/>
      <c r="EJ161" s="139"/>
      <c r="EK161" s="139"/>
      <c r="EL161" s="139"/>
      <c r="EM161" s="139"/>
      <c r="EN161" s="139"/>
      <c r="EO161" s="139"/>
      <c r="EP161" s="139"/>
      <c r="EQ161" s="139"/>
      <c r="ER161" s="139"/>
      <c r="ES161" s="139"/>
      <c r="ET161" s="139"/>
      <c r="EU161" s="139"/>
      <c r="EV161" s="139"/>
      <c r="EW161" s="139"/>
      <c r="EX161" s="139"/>
      <c r="EY161" s="139"/>
      <c r="EZ161" s="139"/>
      <c r="FA161" s="139"/>
      <c r="FB161" s="139"/>
      <c r="FC161" s="139"/>
      <c r="FD161" s="139"/>
      <c r="FE161" s="139"/>
      <c r="FF161" s="139"/>
      <c r="FG161" s="139"/>
      <c r="FH161" s="139"/>
      <c r="FI161" s="139"/>
      <c r="FJ161" s="139"/>
      <c r="FK161" s="139"/>
      <c r="FL161" s="139"/>
      <c r="FM161" s="139"/>
      <c r="FN161" s="139"/>
      <c r="FO161" s="139"/>
      <c r="FP161" s="139"/>
      <c r="FQ161" s="139"/>
      <c r="FR161" s="139"/>
      <c r="FS161" s="139"/>
      <c r="FT161" s="139"/>
      <c r="FU161" s="139"/>
      <c r="FV161" s="139"/>
      <c r="FW161" s="139"/>
      <c r="FX161" s="139"/>
      <c r="FY161" s="139"/>
      <c r="FZ161" s="139"/>
      <c r="GA161" s="139"/>
      <c r="GB161" s="139"/>
      <c r="GC161" s="139"/>
      <c r="GD161" s="139"/>
      <c r="GE161" s="139"/>
      <c r="GF161" s="139"/>
      <c r="GG161" s="139"/>
      <c r="GH161" s="139"/>
      <c r="GI161" s="139"/>
      <c r="GJ161" s="139"/>
      <c r="GK161" s="139"/>
      <c r="GL161" s="139"/>
      <c r="GM161" s="139"/>
      <c r="GN161" s="139"/>
      <c r="GO161" s="139"/>
      <c r="GP161" s="139"/>
      <c r="GQ161" s="139"/>
      <c r="GR161" s="139"/>
      <c r="GS161" s="139"/>
      <c r="GT161" s="139"/>
      <c r="GU161" s="139"/>
      <c r="GV161" s="139"/>
      <c r="GW161" s="139"/>
      <c r="GX161" s="139"/>
      <c r="GY161" s="139"/>
      <c r="GZ161" s="139"/>
      <c r="HA161" s="139"/>
      <c r="HB161" s="139"/>
      <c r="HC161" s="139"/>
      <c r="HD161" s="139"/>
      <c r="HE161" s="139"/>
      <c r="HF161" s="139"/>
      <c r="HG161" s="139"/>
      <c r="HH161" s="139"/>
      <c r="HI161" s="139"/>
      <c r="HJ161" s="139"/>
      <c r="HK161" s="139"/>
      <c r="HL161" s="139"/>
      <c r="HM161" s="139"/>
      <c r="HN161" s="139"/>
      <c r="HO161" s="139"/>
      <c r="HP161" s="139"/>
      <c r="HQ161" s="139"/>
      <c r="HR161" s="139"/>
      <c r="HS161" s="139"/>
      <c r="HT161" s="139"/>
      <c r="HU161" s="139"/>
      <c r="HV161" s="139"/>
      <c r="HW161" s="139"/>
      <c r="HX161" s="139"/>
      <c r="HY161" s="139"/>
      <c r="HZ161" s="139"/>
      <c r="IA161" s="139"/>
      <c r="IB161" s="139"/>
      <c r="IC161" s="139"/>
      <c r="ID161" s="139"/>
      <c r="IE161" s="139"/>
      <c r="IF161" s="139"/>
      <c r="IG161" s="139"/>
      <c r="IH161" s="139"/>
      <c r="II161" s="139"/>
      <c r="IJ161" s="139"/>
      <c r="IK161" s="139"/>
      <c r="IL161" s="139"/>
      <c r="IM161" s="139"/>
      <c r="IN161" s="139"/>
      <c r="IO161" s="139"/>
      <c r="IP161" s="139"/>
      <c r="IQ161" s="139"/>
      <c r="IR161" s="139"/>
    </row>
    <row r="162" spans="2:253" x14ac:dyDescent="0.3">
      <c r="B162" s="5" t="s">
        <v>126</v>
      </c>
      <c r="C162" s="916" t="s">
        <v>230</v>
      </c>
      <c r="D162" s="957">
        <v>0</v>
      </c>
      <c r="E162" s="957">
        <v>0</v>
      </c>
      <c r="F162" s="957">
        <v>0</v>
      </c>
      <c r="G162" s="957">
        <v>0</v>
      </c>
      <c r="H162" s="957">
        <v>0</v>
      </c>
      <c r="I162" s="957">
        <v>0</v>
      </c>
      <c r="J162" s="957">
        <v>0</v>
      </c>
      <c r="K162" s="958">
        <v>0</v>
      </c>
      <c r="L162" s="412">
        <f t="shared" si="18"/>
        <v>0</v>
      </c>
      <c r="M162" s="416">
        <f t="shared" si="19"/>
        <v>0</v>
      </c>
      <c r="N162" s="276"/>
      <c r="O162" s="164"/>
      <c r="P162" s="139"/>
      <c r="Q162" s="139"/>
      <c r="R162" s="139"/>
      <c r="S162" s="139"/>
      <c r="T162" s="139"/>
      <c r="U162" s="139"/>
      <c r="V162" s="139"/>
      <c r="W162" s="139"/>
      <c r="X162" s="139"/>
      <c r="Y162" s="139"/>
      <c r="Z162" s="139"/>
      <c r="AA162" s="139"/>
      <c r="AB162" s="139"/>
      <c r="AC162" s="139"/>
      <c r="AD162" s="139"/>
      <c r="AE162" s="139"/>
      <c r="AF162" s="139"/>
      <c r="AG162" s="139"/>
      <c r="AH162" s="139"/>
      <c r="AI162" s="139"/>
      <c r="AJ162" s="139"/>
      <c r="AK162" s="139"/>
      <c r="AL162" s="139"/>
      <c r="AM162" s="139"/>
      <c r="AN162" s="139"/>
      <c r="AO162" s="139"/>
      <c r="AP162" s="139"/>
      <c r="AQ162" s="139"/>
      <c r="AR162" s="139"/>
      <c r="AS162" s="139"/>
      <c r="AT162" s="139"/>
      <c r="AU162" s="139"/>
      <c r="AV162" s="139"/>
      <c r="AW162" s="139"/>
      <c r="AX162" s="139"/>
      <c r="AY162" s="139"/>
      <c r="AZ162" s="139"/>
      <c r="BA162" s="139"/>
      <c r="BB162" s="139"/>
      <c r="BC162" s="139"/>
      <c r="BD162" s="139"/>
      <c r="BE162" s="139"/>
      <c r="BF162" s="139"/>
      <c r="BG162" s="139"/>
      <c r="BH162" s="139"/>
      <c r="BI162" s="139"/>
      <c r="BJ162" s="139"/>
      <c r="BK162" s="139"/>
      <c r="BL162" s="139"/>
      <c r="BM162" s="139"/>
      <c r="BN162" s="139"/>
      <c r="BO162" s="139"/>
      <c r="BP162" s="139"/>
      <c r="BQ162" s="139"/>
      <c r="BR162" s="139"/>
      <c r="BS162" s="139"/>
      <c r="BT162" s="139"/>
      <c r="BU162" s="139"/>
      <c r="BV162" s="139"/>
      <c r="BW162" s="139"/>
      <c r="BX162" s="139"/>
      <c r="BY162" s="139"/>
      <c r="BZ162" s="139"/>
      <c r="CA162" s="139"/>
      <c r="CB162" s="139"/>
      <c r="CC162" s="139"/>
      <c r="CD162" s="139"/>
      <c r="CE162" s="139"/>
      <c r="CF162" s="139"/>
      <c r="CG162" s="139"/>
      <c r="CH162" s="139"/>
      <c r="CI162" s="139"/>
      <c r="CJ162" s="139"/>
      <c r="CK162" s="139"/>
      <c r="CL162" s="139"/>
      <c r="CM162" s="139"/>
      <c r="CN162" s="139"/>
      <c r="CO162" s="139"/>
      <c r="CP162" s="139"/>
      <c r="CQ162" s="139"/>
      <c r="CR162" s="139"/>
      <c r="CS162" s="139"/>
      <c r="CT162" s="139"/>
      <c r="CU162" s="139"/>
      <c r="CV162" s="139"/>
      <c r="CW162" s="139"/>
      <c r="CX162" s="139"/>
      <c r="CY162" s="139"/>
      <c r="CZ162" s="139"/>
      <c r="DA162" s="139"/>
      <c r="DB162" s="139"/>
      <c r="DC162" s="139"/>
      <c r="DD162" s="139"/>
      <c r="DE162" s="139"/>
      <c r="DF162" s="139"/>
      <c r="DG162" s="139"/>
      <c r="DH162" s="139"/>
      <c r="DI162" s="139"/>
      <c r="DJ162" s="139"/>
      <c r="DK162" s="139"/>
      <c r="DL162" s="139"/>
      <c r="DM162" s="139"/>
      <c r="DN162" s="139"/>
      <c r="DO162" s="139"/>
      <c r="DP162" s="139"/>
      <c r="DQ162" s="139"/>
      <c r="DR162" s="139"/>
      <c r="DS162" s="139"/>
      <c r="DT162" s="139"/>
      <c r="DU162" s="139"/>
      <c r="DV162" s="139"/>
      <c r="DW162" s="139"/>
      <c r="DX162" s="139"/>
      <c r="DY162" s="139"/>
      <c r="DZ162" s="139"/>
      <c r="EA162" s="139"/>
      <c r="EB162" s="139"/>
      <c r="EC162" s="139"/>
      <c r="ED162" s="139"/>
      <c r="EE162" s="139"/>
      <c r="EF162" s="139"/>
      <c r="EG162" s="139"/>
      <c r="EH162" s="139"/>
      <c r="EI162" s="139"/>
      <c r="EJ162" s="139"/>
      <c r="EK162" s="139"/>
      <c r="EL162" s="139"/>
      <c r="EM162" s="139"/>
      <c r="EN162" s="139"/>
      <c r="EO162" s="139"/>
      <c r="EP162" s="139"/>
      <c r="EQ162" s="139"/>
      <c r="ER162" s="139"/>
      <c r="ES162" s="139"/>
      <c r="ET162" s="139"/>
      <c r="EU162" s="139"/>
      <c r="EV162" s="139"/>
      <c r="EW162" s="139"/>
      <c r="EX162" s="139"/>
      <c r="EY162" s="139"/>
      <c r="EZ162" s="139"/>
      <c r="FA162" s="139"/>
      <c r="FB162" s="139"/>
      <c r="FC162" s="139"/>
      <c r="FD162" s="139"/>
      <c r="FE162" s="139"/>
      <c r="FF162" s="139"/>
      <c r="FG162" s="139"/>
      <c r="FH162" s="139"/>
      <c r="FI162" s="139"/>
      <c r="FJ162" s="139"/>
      <c r="FK162" s="139"/>
      <c r="FL162" s="139"/>
      <c r="FM162" s="139"/>
      <c r="FN162" s="139"/>
      <c r="FO162" s="139"/>
      <c r="FP162" s="139"/>
      <c r="FQ162" s="139"/>
      <c r="FR162" s="139"/>
      <c r="FS162" s="139"/>
      <c r="FT162" s="139"/>
      <c r="FU162" s="139"/>
      <c r="FV162" s="139"/>
      <c r="FW162" s="139"/>
      <c r="FX162" s="139"/>
      <c r="FY162" s="139"/>
      <c r="FZ162" s="139"/>
      <c r="GA162" s="139"/>
      <c r="GB162" s="139"/>
      <c r="GC162" s="139"/>
      <c r="GD162" s="139"/>
      <c r="GE162" s="139"/>
      <c r="GF162" s="139"/>
      <c r="GG162" s="139"/>
      <c r="GH162" s="139"/>
      <c r="GI162" s="139"/>
      <c r="GJ162" s="139"/>
      <c r="GK162" s="139"/>
      <c r="GL162" s="139"/>
      <c r="GM162" s="139"/>
      <c r="GN162" s="139"/>
      <c r="GO162" s="139"/>
      <c r="GP162" s="139"/>
      <c r="GQ162" s="139"/>
      <c r="GR162" s="139"/>
      <c r="GS162" s="139"/>
      <c r="GT162" s="139"/>
      <c r="GU162" s="139"/>
      <c r="GV162" s="139"/>
      <c r="GW162" s="139"/>
      <c r="GX162" s="139"/>
      <c r="GY162" s="139"/>
      <c r="GZ162" s="139"/>
      <c r="HA162" s="139"/>
      <c r="HB162" s="139"/>
      <c r="HC162" s="139"/>
      <c r="HD162" s="139"/>
      <c r="HE162" s="139"/>
      <c r="HF162" s="139"/>
      <c r="HG162" s="139"/>
      <c r="HH162" s="139"/>
      <c r="HI162" s="139"/>
      <c r="HJ162" s="139"/>
      <c r="HK162" s="139"/>
      <c r="HL162" s="139"/>
      <c r="HM162" s="139"/>
      <c r="HN162" s="139"/>
      <c r="HO162" s="139"/>
      <c r="HP162" s="139"/>
      <c r="HQ162" s="139"/>
      <c r="HR162" s="139"/>
      <c r="HS162" s="139"/>
      <c r="HT162" s="139"/>
      <c r="HU162" s="139"/>
      <c r="HV162" s="139"/>
      <c r="HW162" s="139"/>
      <c r="HX162" s="139"/>
      <c r="HY162" s="139"/>
      <c r="HZ162" s="139"/>
      <c r="IA162" s="139"/>
      <c r="IB162" s="139"/>
      <c r="IC162" s="139"/>
      <c r="ID162" s="139"/>
      <c r="IE162" s="139"/>
      <c r="IF162" s="139"/>
      <c r="IG162" s="139"/>
      <c r="IH162" s="139"/>
      <c r="II162" s="139"/>
      <c r="IJ162" s="139"/>
      <c r="IK162" s="139"/>
      <c r="IL162" s="139"/>
      <c r="IM162" s="139"/>
      <c r="IN162" s="139"/>
      <c r="IO162" s="139"/>
      <c r="IP162" s="139"/>
      <c r="IQ162" s="139"/>
      <c r="IR162" s="139"/>
    </row>
    <row r="163" spans="2:253" x14ac:dyDescent="0.3">
      <c r="B163" s="5" t="s">
        <v>127</v>
      </c>
      <c r="C163" s="916" t="s">
        <v>231</v>
      </c>
      <c r="D163" s="957">
        <v>2399964.0101515376</v>
      </c>
      <c r="E163" s="957">
        <v>1509.5773623853172</v>
      </c>
      <c r="F163" s="957">
        <v>78.330613655344933</v>
      </c>
      <c r="G163" s="957">
        <v>21.409460124817098</v>
      </c>
      <c r="H163" s="957">
        <v>3878662.8831863715</v>
      </c>
      <c r="I163" s="957">
        <v>2439.6789535242278</v>
      </c>
      <c r="J163" s="957">
        <v>44.519382440667322</v>
      </c>
      <c r="K163" s="958">
        <v>34.600551501579993</v>
      </c>
      <c r="L163" s="412">
        <f t="shared" si="18"/>
        <v>6278626.8933379091</v>
      </c>
      <c r="M163" s="416">
        <f t="shared" si="19"/>
        <v>4128.1163236319544</v>
      </c>
      <c r="N163" s="276"/>
      <c r="O163" s="164"/>
      <c r="P163" s="139"/>
      <c r="Q163" s="139"/>
      <c r="R163" s="139"/>
      <c r="S163" s="139"/>
      <c r="T163" s="139"/>
      <c r="U163" s="139"/>
      <c r="V163" s="139"/>
      <c r="W163" s="139"/>
      <c r="X163" s="139"/>
      <c r="Y163" s="139"/>
      <c r="Z163" s="139"/>
      <c r="AA163" s="139"/>
      <c r="AB163" s="139"/>
      <c r="AC163" s="139"/>
      <c r="AD163" s="139"/>
      <c r="AE163" s="139"/>
      <c r="AF163" s="139"/>
      <c r="AG163" s="139"/>
      <c r="AH163" s="139"/>
      <c r="AI163" s="139"/>
      <c r="AJ163" s="139"/>
      <c r="AK163" s="139"/>
      <c r="AL163" s="139"/>
      <c r="AM163" s="139"/>
      <c r="AN163" s="139"/>
      <c r="AO163" s="139"/>
      <c r="AP163" s="139"/>
      <c r="AQ163" s="139"/>
      <c r="AR163" s="139"/>
      <c r="AS163" s="139"/>
      <c r="AT163" s="139"/>
      <c r="AU163" s="139"/>
      <c r="AV163" s="139"/>
      <c r="AW163" s="139"/>
      <c r="AX163" s="139"/>
      <c r="AY163" s="139"/>
      <c r="AZ163" s="139"/>
      <c r="BA163" s="139"/>
      <c r="BB163" s="139"/>
      <c r="BC163" s="139"/>
      <c r="BD163" s="139"/>
      <c r="BE163" s="139"/>
      <c r="BF163" s="139"/>
      <c r="BG163" s="139"/>
      <c r="BH163" s="139"/>
      <c r="BI163" s="139"/>
      <c r="BJ163" s="139"/>
      <c r="BK163" s="139"/>
      <c r="BL163" s="139"/>
      <c r="BM163" s="139"/>
      <c r="BN163" s="139"/>
      <c r="BO163" s="139"/>
      <c r="BP163" s="139"/>
      <c r="BQ163" s="139"/>
      <c r="BR163" s="139"/>
      <c r="BS163" s="139"/>
      <c r="BT163" s="139"/>
      <c r="BU163" s="139"/>
      <c r="BV163" s="139"/>
      <c r="BW163" s="139"/>
      <c r="BX163" s="139"/>
      <c r="BY163" s="139"/>
      <c r="BZ163" s="139"/>
      <c r="CA163" s="139"/>
      <c r="CB163" s="139"/>
      <c r="CC163" s="139"/>
      <c r="CD163" s="139"/>
      <c r="CE163" s="139"/>
      <c r="CF163" s="139"/>
      <c r="CG163" s="139"/>
      <c r="CH163" s="139"/>
      <c r="CI163" s="139"/>
      <c r="CJ163" s="139"/>
      <c r="CK163" s="139"/>
      <c r="CL163" s="139"/>
      <c r="CM163" s="139"/>
      <c r="CN163" s="139"/>
      <c r="CO163" s="139"/>
      <c r="CP163" s="139"/>
      <c r="CQ163" s="139"/>
      <c r="CR163" s="139"/>
      <c r="CS163" s="139"/>
      <c r="CT163" s="139"/>
      <c r="CU163" s="139"/>
      <c r="CV163" s="139"/>
      <c r="CW163" s="139"/>
      <c r="CX163" s="139"/>
      <c r="CY163" s="139"/>
      <c r="CZ163" s="139"/>
      <c r="DA163" s="139"/>
      <c r="DB163" s="139"/>
      <c r="DC163" s="139"/>
      <c r="DD163" s="139"/>
      <c r="DE163" s="139"/>
      <c r="DF163" s="139"/>
      <c r="DG163" s="139"/>
      <c r="DH163" s="139"/>
      <c r="DI163" s="139"/>
      <c r="DJ163" s="139"/>
      <c r="DK163" s="139"/>
      <c r="DL163" s="139"/>
      <c r="DM163" s="139"/>
      <c r="DN163" s="139"/>
      <c r="DO163" s="139"/>
      <c r="DP163" s="139"/>
      <c r="DQ163" s="139"/>
      <c r="DR163" s="139"/>
      <c r="DS163" s="139"/>
      <c r="DT163" s="139"/>
      <c r="DU163" s="139"/>
      <c r="DV163" s="139"/>
      <c r="DW163" s="139"/>
      <c r="DX163" s="139"/>
      <c r="DY163" s="139"/>
      <c r="DZ163" s="139"/>
      <c r="EA163" s="139"/>
      <c r="EB163" s="139"/>
      <c r="EC163" s="139"/>
      <c r="ED163" s="139"/>
      <c r="EE163" s="139"/>
      <c r="EF163" s="139"/>
      <c r="EG163" s="139"/>
      <c r="EH163" s="139"/>
      <c r="EI163" s="139"/>
      <c r="EJ163" s="139"/>
      <c r="EK163" s="139"/>
      <c r="EL163" s="139"/>
      <c r="EM163" s="139"/>
      <c r="EN163" s="139"/>
      <c r="EO163" s="139"/>
      <c r="EP163" s="139"/>
      <c r="EQ163" s="139"/>
      <c r="ER163" s="139"/>
      <c r="ES163" s="139"/>
      <c r="ET163" s="139"/>
      <c r="EU163" s="139"/>
      <c r="EV163" s="139"/>
      <c r="EW163" s="139"/>
      <c r="EX163" s="139"/>
      <c r="EY163" s="139"/>
      <c r="EZ163" s="139"/>
      <c r="FA163" s="139"/>
      <c r="FB163" s="139"/>
      <c r="FC163" s="139"/>
      <c r="FD163" s="139"/>
      <c r="FE163" s="139"/>
      <c r="FF163" s="139"/>
      <c r="FG163" s="139"/>
      <c r="FH163" s="139"/>
      <c r="FI163" s="139"/>
      <c r="FJ163" s="139"/>
      <c r="FK163" s="139"/>
      <c r="FL163" s="139"/>
      <c r="FM163" s="139"/>
      <c r="FN163" s="139"/>
      <c r="FO163" s="139"/>
      <c r="FP163" s="139"/>
      <c r="FQ163" s="139"/>
      <c r="FR163" s="139"/>
      <c r="FS163" s="139"/>
      <c r="FT163" s="139"/>
      <c r="FU163" s="139"/>
      <c r="FV163" s="139"/>
      <c r="FW163" s="139"/>
      <c r="FX163" s="139"/>
      <c r="FY163" s="139"/>
      <c r="FZ163" s="139"/>
      <c r="GA163" s="139"/>
      <c r="GB163" s="139"/>
      <c r="GC163" s="139"/>
      <c r="GD163" s="139"/>
      <c r="GE163" s="139"/>
      <c r="GF163" s="139"/>
      <c r="GG163" s="139"/>
      <c r="GH163" s="139"/>
      <c r="GI163" s="139"/>
      <c r="GJ163" s="139"/>
      <c r="GK163" s="139"/>
      <c r="GL163" s="139"/>
      <c r="GM163" s="139"/>
      <c r="GN163" s="139"/>
      <c r="GO163" s="139"/>
      <c r="GP163" s="139"/>
      <c r="GQ163" s="139"/>
      <c r="GR163" s="139"/>
      <c r="GS163" s="139"/>
      <c r="GT163" s="139"/>
      <c r="GU163" s="139"/>
      <c r="GV163" s="139"/>
      <c r="GW163" s="139"/>
      <c r="GX163" s="139"/>
      <c r="GY163" s="139"/>
      <c r="GZ163" s="139"/>
      <c r="HA163" s="139"/>
      <c r="HB163" s="139"/>
      <c r="HC163" s="139"/>
      <c r="HD163" s="139"/>
      <c r="HE163" s="139"/>
      <c r="HF163" s="139"/>
      <c r="HG163" s="139"/>
      <c r="HH163" s="139"/>
      <c r="HI163" s="139"/>
      <c r="HJ163" s="139"/>
      <c r="HK163" s="139"/>
      <c r="HL163" s="139"/>
      <c r="HM163" s="139"/>
      <c r="HN163" s="139"/>
      <c r="HO163" s="139"/>
      <c r="HP163" s="139"/>
      <c r="HQ163" s="139"/>
      <c r="HR163" s="139"/>
      <c r="HS163" s="139"/>
      <c r="HT163" s="139"/>
      <c r="HU163" s="139"/>
      <c r="HV163" s="139"/>
      <c r="HW163" s="139"/>
      <c r="HX163" s="139"/>
      <c r="HY163" s="139"/>
      <c r="HZ163" s="139"/>
      <c r="IA163" s="139"/>
      <c r="IB163" s="139"/>
      <c r="IC163" s="139"/>
      <c r="ID163" s="139"/>
      <c r="IE163" s="139"/>
      <c r="IF163" s="139"/>
      <c r="IG163" s="139"/>
      <c r="IH163" s="139"/>
      <c r="II163" s="139"/>
      <c r="IJ163" s="139"/>
      <c r="IK163" s="139"/>
      <c r="IL163" s="139"/>
      <c r="IM163" s="139"/>
      <c r="IN163" s="139"/>
      <c r="IO163" s="139"/>
      <c r="IP163" s="139"/>
      <c r="IQ163" s="139"/>
      <c r="IR163" s="139"/>
    </row>
    <row r="164" spans="2:253" x14ac:dyDescent="0.3">
      <c r="B164" s="5" t="s">
        <v>128</v>
      </c>
      <c r="C164" s="916" t="s">
        <v>232</v>
      </c>
      <c r="D164" s="957">
        <v>0</v>
      </c>
      <c r="E164" s="957">
        <v>0</v>
      </c>
      <c r="F164" s="957">
        <v>0</v>
      </c>
      <c r="G164" s="957">
        <v>0</v>
      </c>
      <c r="H164" s="957">
        <v>0</v>
      </c>
      <c r="I164" s="957">
        <v>0</v>
      </c>
      <c r="J164" s="957">
        <v>0</v>
      </c>
      <c r="K164" s="958">
        <v>0</v>
      </c>
      <c r="L164" s="412">
        <f t="shared" si="18"/>
        <v>0</v>
      </c>
      <c r="M164" s="416">
        <f t="shared" si="19"/>
        <v>0</v>
      </c>
      <c r="N164" s="276"/>
      <c r="O164" s="164"/>
      <c r="P164" s="139"/>
      <c r="Q164" s="139"/>
      <c r="R164" s="139"/>
      <c r="S164" s="139"/>
      <c r="T164" s="139"/>
      <c r="U164" s="139"/>
      <c r="V164" s="139"/>
      <c r="W164" s="139"/>
      <c r="X164" s="139"/>
      <c r="Y164" s="139"/>
      <c r="Z164" s="139"/>
      <c r="AA164" s="139"/>
      <c r="AB164" s="139"/>
      <c r="AC164" s="139"/>
      <c r="AD164" s="139"/>
      <c r="AE164" s="139"/>
      <c r="AF164" s="139"/>
      <c r="AG164" s="139"/>
      <c r="AH164" s="139"/>
      <c r="AI164" s="139"/>
      <c r="AJ164" s="139"/>
      <c r="AK164" s="139"/>
      <c r="AL164" s="139"/>
      <c r="AM164" s="139"/>
      <c r="AN164" s="139"/>
      <c r="AO164" s="139"/>
      <c r="AP164" s="139"/>
      <c r="AQ164" s="139"/>
      <c r="AR164" s="139"/>
      <c r="AS164" s="139"/>
      <c r="AT164" s="139"/>
      <c r="AU164" s="139"/>
      <c r="AV164" s="139"/>
      <c r="AW164" s="139"/>
      <c r="AX164" s="139"/>
      <c r="AY164" s="139"/>
      <c r="AZ164" s="139"/>
      <c r="BA164" s="139"/>
      <c r="BB164" s="139"/>
      <c r="BC164" s="139"/>
      <c r="BD164" s="139"/>
      <c r="BE164" s="139"/>
      <c r="BF164" s="139"/>
      <c r="BG164" s="139"/>
      <c r="BH164" s="139"/>
      <c r="BI164" s="139"/>
      <c r="BJ164" s="139"/>
      <c r="BK164" s="139"/>
      <c r="BL164" s="139"/>
      <c r="BM164" s="139"/>
      <c r="BN164" s="139"/>
      <c r="BO164" s="139"/>
      <c r="BP164" s="139"/>
      <c r="BQ164" s="139"/>
      <c r="BR164" s="139"/>
      <c r="BS164" s="139"/>
      <c r="BT164" s="139"/>
      <c r="BU164" s="139"/>
      <c r="BV164" s="139"/>
      <c r="BW164" s="139"/>
      <c r="BX164" s="139"/>
      <c r="BY164" s="139"/>
      <c r="BZ164" s="139"/>
      <c r="CA164" s="139"/>
      <c r="CB164" s="139"/>
      <c r="CC164" s="139"/>
      <c r="CD164" s="139"/>
      <c r="CE164" s="139"/>
      <c r="CF164" s="139"/>
      <c r="CG164" s="139"/>
      <c r="CH164" s="139"/>
      <c r="CI164" s="139"/>
      <c r="CJ164" s="139"/>
      <c r="CK164" s="139"/>
      <c r="CL164" s="139"/>
      <c r="CM164" s="139"/>
      <c r="CN164" s="139"/>
      <c r="CO164" s="139"/>
      <c r="CP164" s="139"/>
      <c r="CQ164" s="139"/>
      <c r="CR164" s="139"/>
      <c r="CS164" s="139"/>
      <c r="CT164" s="139"/>
      <c r="CU164" s="139"/>
      <c r="CV164" s="139"/>
      <c r="CW164" s="139"/>
      <c r="CX164" s="139"/>
      <c r="CY164" s="139"/>
      <c r="CZ164" s="139"/>
      <c r="DA164" s="139"/>
      <c r="DB164" s="139"/>
      <c r="DC164" s="139"/>
      <c r="DD164" s="139"/>
      <c r="DE164" s="139"/>
      <c r="DF164" s="139"/>
      <c r="DG164" s="139"/>
      <c r="DH164" s="139"/>
      <c r="DI164" s="139"/>
      <c r="DJ164" s="139"/>
      <c r="DK164" s="139"/>
      <c r="DL164" s="139"/>
      <c r="DM164" s="139"/>
      <c r="DN164" s="139"/>
      <c r="DO164" s="139"/>
      <c r="DP164" s="139"/>
      <c r="DQ164" s="139"/>
      <c r="DR164" s="139"/>
      <c r="DS164" s="139"/>
      <c r="DT164" s="139"/>
      <c r="DU164" s="139"/>
      <c r="DV164" s="139"/>
      <c r="DW164" s="139"/>
      <c r="DX164" s="139"/>
      <c r="DY164" s="139"/>
      <c r="DZ164" s="139"/>
      <c r="EA164" s="139"/>
      <c r="EB164" s="139"/>
      <c r="EC164" s="139"/>
      <c r="ED164" s="139"/>
      <c r="EE164" s="139"/>
      <c r="EF164" s="139"/>
      <c r="EG164" s="139"/>
      <c r="EH164" s="139"/>
      <c r="EI164" s="139"/>
      <c r="EJ164" s="139"/>
      <c r="EK164" s="139"/>
      <c r="EL164" s="139"/>
      <c r="EM164" s="139"/>
      <c r="EN164" s="139"/>
      <c r="EO164" s="139"/>
      <c r="EP164" s="139"/>
      <c r="EQ164" s="139"/>
      <c r="ER164" s="139"/>
      <c r="ES164" s="139"/>
      <c r="ET164" s="139"/>
      <c r="EU164" s="139"/>
      <c r="EV164" s="139"/>
      <c r="EW164" s="139"/>
      <c r="EX164" s="139"/>
      <c r="EY164" s="139"/>
      <c r="EZ164" s="139"/>
      <c r="FA164" s="139"/>
      <c r="FB164" s="139"/>
      <c r="FC164" s="139"/>
      <c r="FD164" s="139"/>
      <c r="FE164" s="139"/>
      <c r="FF164" s="139"/>
      <c r="FG164" s="139"/>
      <c r="FH164" s="139"/>
      <c r="FI164" s="139"/>
      <c r="FJ164" s="139"/>
      <c r="FK164" s="139"/>
      <c r="FL164" s="139"/>
      <c r="FM164" s="139"/>
      <c r="FN164" s="139"/>
      <c r="FO164" s="139"/>
      <c r="FP164" s="139"/>
      <c r="FQ164" s="139"/>
      <c r="FR164" s="139"/>
      <c r="FS164" s="139"/>
      <c r="FT164" s="139"/>
      <c r="FU164" s="139"/>
      <c r="FV164" s="139"/>
      <c r="FW164" s="139"/>
      <c r="FX164" s="139"/>
      <c r="FY164" s="139"/>
      <c r="FZ164" s="139"/>
      <c r="GA164" s="139"/>
      <c r="GB164" s="139"/>
      <c r="GC164" s="139"/>
      <c r="GD164" s="139"/>
      <c r="GE164" s="139"/>
      <c r="GF164" s="139"/>
      <c r="GG164" s="139"/>
      <c r="GH164" s="139"/>
      <c r="GI164" s="139"/>
      <c r="GJ164" s="139"/>
      <c r="GK164" s="139"/>
      <c r="GL164" s="139"/>
      <c r="GM164" s="139"/>
      <c r="GN164" s="139"/>
      <c r="GO164" s="139"/>
      <c r="GP164" s="139"/>
      <c r="GQ164" s="139"/>
      <c r="GR164" s="139"/>
      <c r="GS164" s="139"/>
      <c r="GT164" s="139"/>
      <c r="GU164" s="139"/>
      <c r="GV164" s="139"/>
      <c r="GW164" s="139"/>
      <c r="GX164" s="139"/>
      <c r="GY164" s="139"/>
      <c r="GZ164" s="139"/>
      <c r="HA164" s="139"/>
      <c r="HB164" s="139"/>
      <c r="HC164" s="139"/>
      <c r="HD164" s="139"/>
      <c r="HE164" s="139"/>
      <c r="HF164" s="139"/>
      <c r="HG164" s="139"/>
      <c r="HH164" s="139"/>
      <c r="HI164" s="139"/>
      <c r="HJ164" s="139"/>
      <c r="HK164" s="139"/>
      <c r="HL164" s="139"/>
      <c r="HM164" s="139"/>
      <c r="HN164" s="139"/>
      <c r="HO164" s="139"/>
      <c r="HP164" s="139"/>
      <c r="HQ164" s="139"/>
      <c r="HR164" s="139"/>
      <c r="HS164" s="139"/>
      <c r="HT164" s="139"/>
      <c r="HU164" s="139"/>
      <c r="HV164" s="139"/>
      <c r="HW164" s="139"/>
      <c r="HX164" s="139"/>
      <c r="HY164" s="139"/>
      <c r="HZ164" s="139"/>
      <c r="IA164" s="139"/>
      <c r="IB164" s="139"/>
      <c r="IC164" s="139"/>
      <c r="ID164" s="139"/>
      <c r="IE164" s="139"/>
      <c r="IF164" s="139"/>
      <c r="IG164" s="139"/>
      <c r="IH164" s="139"/>
      <c r="II164" s="139"/>
      <c r="IJ164" s="139"/>
      <c r="IK164" s="139"/>
      <c r="IL164" s="139"/>
      <c r="IM164" s="139"/>
      <c r="IN164" s="139"/>
      <c r="IO164" s="139"/>
      <c r="IP164" s="139"/>
      <c r="IQ164" s="139"/>
      <c r="IR164" s="139"/>
    </row>
    <row r="165" spans="2:253" x14ac:dyDescent="0.3">
      <c r="B165" s="5" t="s">
        <v>129</v>
      </c>
      <c r="C165" s="916" t="s">
        <v>234</v>
      </c>
      <c r="D165" s="957">
        <v>0</v>
      </c>
      <c r="E165" s="957">
        <v>0</v>
      </c>
      <c r="F165" s="957">
        <v>0</v>
      </c>
      <c r="G165" s="957">
        <v>0</v>
      </c>
      <c r="H165" s="957">
        <v>0</v>
      </c>
      <c r="I165" s="957">
        <v>0</v>
      </c>
      <c r="J165" s="957">
        <v>0</v>
      </c>
      <c r="K165" s="958">
        <v>0</v>
      </c>
      <c r="L165" s="412">
        <f t="shared" si="18"/>
        <v>0</v>
      </c>
      <c r="M165" s="416">
        <f t="shared" si="19"/>
        <v>0</v>
      </c>
      <c r="N165" s="276"/>
      <c r="O165" s="164"/>
      <c r="P165" s="139"/>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c r="BV165" s="139"/>
      <c r="BW165" s="139"/>
      <c r="BX165" s="139"/>
      <c r="BY165" s="139"/>
      <c r="BZ165" s="139"/>
      <c r="CA165" s="139"/>
      <c r="CB165" s="139"/>
      <c r="CC165" s="139"/>
      <c r="CD165" s="139"/>
      <c r="CE165" s="139"/>
      <c r="CF165" s="139"/>
      <c r="CG165" s="139"/>
      <c r="CH165" s="139"/>
      <c r="CI165" s="139"/>
      <c r="CJ165" s="139"/>
      <c r="CK165" s="139"/>
      <c r="CL165" s="139"/>
      <c r="CM165" s="139"/>
      <c r="CN165" s="139"/>
      <c r="CO165" s="139"/>
      <c r="CP165" s="139"/>
      <c r="CQ165" s="139"/>
      <c r="CR165" s="139"/>
      <c r="CS165" s="139"/>
      <c r="CT165" s="139"/>
      <c r="CU165" s="139"/>
      <c r="CV165" s="139"/>
      <c r="CW165" s="139"/>
      <c r="CX165" s="139"/>
      <c r="CY165" s="139"/>
      <c r="CZ165" s="139"/>
      <c r="DA165" s="139"/>
      <c r="DB165" s="139"/>
      <c r="DC165" s="139"/>
      <c r="DD165" s="139"/>
      <c r="DE165" s="139"/>
      <c r="DF165" s="139"/>
      <c r="DG165" s="139"/>
      <c r="DH165" s="139"/>
      <c r="DI165" s="139"/>
      <c r="DJ165" s="139"/>
      <c r="DK165" s="139"/>
      <c r="DL165" s="139"/>
      <c r="DM165" s="139"/>
      <c r="DN165" s="139"/>
      <c r="DO165" s="139"/>
      <c r="DP165" s="139"/>
      <c r="DQ165" s="139"/>
      <c r="DR165" s="139"/>
      <c r="DS165" s="139"/>
      <c r="DT165" s="139"/>
      <c r="DU165" s="139"/>
      <c r="DV165" s="139"/>
      <c r="DW165" s="139"/>
      <c r="DX165" s="139"/>
      <c r="DY165" s="139"/>
      <c r="DZ165" s="139"/>
      <c r="EA165" s="139"/>
      <c r="EB165" s="139"/>
      <c r="EC165" s="139"/>
      <c r="ED165" s="139"/>
      <c r="EE165" s="139"/>
      <c r="EF165" s="139"/>
      <c r="EG165" s="139"/>
      <c r="EH165" s="139"/>
      <c r="EI165" s="139"/>
      <c r="EJ165" s="139"/>
      <c r="EK165" s="139"/>
      <c r="EL165" s="139"/>
      <c r="EM165" s="139"/>
      <c r="EN165" s="139"/>
      <c r="EO165" s="139"/>
      <c r="EP165" s="139"/>
      <c r="EQ165" s="139"/>
      <c r="ER165" s="139"/>
      <c r="ES165" s="139"/>
      <c r="ET165" s="139"/>
      <c r="EU165" s="139"/>
      <c r="EV165" s="139"/>
      <c r="EW165" s="139"/>
      <c r="EX165" s="139"/>
      <c r="EY165" s="139"/>
      <c r="EZ165" s="139"/>
      <c r="FA165" s="139"/>
      <c r="FB165" s="139"/>
      <c r="FC165" s="139"/>
      <c r="FD165" s="139"/>
      <c r="FE165" s="139"/>
      <c r="FF165" s="139"/>
      <c r="FG165" s="139"/>
      <c r="FH165" s="139"/>
      <c r="FI165" s="139"/>
      <c r="FJ165" s="139"/>
      <c r="FK165" s="139"/>
      <c r="FL165" s="139"/>
      <c r="FM165" s="139"/>
      <c r="FN165" s="139"/>
      <c r="FO165" s="139"/>
      <c r="FP165" s="139"/>
      <c r="FQ165" s="139"/>
      <c r="FR165" s="139"/>
      <c r="FS165" s="139"/>
      <c r="FT165" s="139"/>
      <c r="FU165" s="139"/>
      <c r="FV165" s="139"/>
      <c r="FW165" s="139"/>
      <c r="FX165" s="139"/>
      <c r="FY165" s="139"/>
      <c r="FZ165" s="139"/>
      <c r="GA165" s="139"/>
      <c r="GB165" s="139"/>
      <c r="GC165" s="139"/>
      <c r="GD165" s="139"/>
      <c r="GE165" s="139"/>
      <c r="GF165" s="139"/>
      <c r="GG165" s="139"/>
      <c r="GH165" s="139"/>
      <c r="GI165" s="139"/>
      <c r="GJ165" s="139"/>
      <c r="GK165" s="139"/>
      <c r="GL165" s="139"/>
      <c r="GM165" s="139"/>
      <c r="GN165" s="139"/>
      <c r="GO165" s="139"/>
      <c r="GP165" s="139"/>
      <c r="GQ165" s="139"/>
      <c r="GR165" s="139"/>
      <c r="GS165" s="139"/>
      <c r="GT165" s="139"/>
      <c r="GU165" s="139"/>
      <c r="GV165" s="139"/>
      <c r="GW165" s="139"/>
      <c r="GX165" s="139"/>
      <c r="GY165" s="139"/>
      <c r="GZ165" s="139"/>
      <c r="HA165" s="139"/>
      <c r="HB165" s="139"/>
      <c r="HC165" s="139"/>
      <c r="HD165" s="139"/>
      <c r="HE165" s="139"/>
      <c r="HF165" s="139"/>
      <c r="HG165" s="139"/>
      <c r="HH165" s="139"/>
      <c r="HI165" s="139"/>
      <c r="HJ165" s="139"/>
      <c r="HK165" s="139"/>
      <c r="HL165" s="139"/>
      <c r="HM165" s="139"/>
      <c r="HN165" s="139"/>
      <c r="HO165" s="139"/>
      <c r="HP165" s="139"/>
      <c r="HQ165" s="139"/>
      <c r="HR165" s="139"/>
      <c r="HS165" s="139"/>
      <c r="HT165" s="139"/>
      <c r="HU165" s="139"/>
      <c r="HV165" s="139"/>
      <c r="HW165" s="139"/>
      <c r="HX165" s="139"/>
      <c r="HY165" s="139"/>
      <c r="HZ165" s="139"/>
      <c r="IA165" s="139"/>
      <c r="IB165" s="139"/>
      <c r="IC165" s="139"/>
      <c r="ID165" s="139"/>
      <c r="IE165" s="139"/>
      <c r="IF165" s="139"/>
      <c r="IG165" s="139"/>
      <c r="IH165" s="139"/>
      <c r="II165" s="139"/>
      <c r="IJ165" s="139"/>
      <c r="IK165" s="139"/>
      <c r="IL165" s="139"/>
      <c r="IM165" s="139"/>
      <c r="IN165" s="139"/>
      <c r="IO165" s="139"/>
      <c r="IP165" s="139"/>
      <c r="IQ165" s="139"/>
      <c r="IR165" s="139"/>
    </row>
    <row r="166" spans="2:253" x14ac:dyDescent="0.3">
      <c r="B166" s="5" t="s">
        <v>130</v>
      </c>
      <c r="C166" s="916" t="s">
        <v>235</v>
      </c>
      <c r="D166" s="957">
        <v>3011018.2191153751</v>
      </c>
      <c r="E166" s="957">
        <v>1893.930459823571</v>
      </c>
      <c r="F166" s="957">
        <v>42.047366372903049</v>
      </c>
      <c r="G166" s="957">
        <v>26.860517167996196</v>
      </c>
      <c r="H166" s="957">
        <v>10828154.642326992</v>
      </c>
      <c r="I166" s="957">
        <v>6810.9092700236779</v>
      </c>
      <c r="J166" s="957">
        <v>229.76481042344707</v>
      </c>
      <c r="K166" s="958">
        <v>96.595175619160628</v>
      </c>
      <c r="L166" s="412">
        <f t="shared" si="18"/>
        <v>13839172.861442367</v>
      </c>
      <c r="M166" s="416">
        <f t="shared" si="19"/>
        <v>9100.1075994307557</v>
      </c>
      <c r="N166" s="276"/>
      <c r="O166" s="164"/>
      <c r="P166" s="139"/>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c r="BV166" s="139"/>
      <c r="BW166" s="139"/>
      <c r="BX166" s="139"/>
      <c r="BY166" s="139"/>
      <c r="BZ166" s="139"/>
      <c r="CA166" s="139"/>
      <c r="CB166" s="139"/>
      <c r="CC166" s="139"/>
      <c r="CD166" s="139"/>
      <c r="CE166" s="139"/>
      <c r="CF166" s="139"/>
      <c r="CG166" s="139"/>
      <c r="CH166" s="139"/>
      <c r="CI166" s="139"/>
      <c r="CJ166" s="139"/>
      <c r="CK166" s="139"/>
      <c r="CL166" s="139"/>
      <c r="CM166" s="139"/>
      <c r="CN166" s="139"/>
      <c r="CO166" s="139"/>
      <c r="CP166" s="139"/>
      <c r="CQ166" s="139"/>
      <c r="CR166" s="139"/>
      <c r="CS166" s="139"/>
      <c r="CT166" s="139"/>
      <c r="CU166" s="139"/>
      <c r="CV166" s="139"/>
      <c r="CW166" s="139"/>
      <c r="CX166" s="139"/>
      <c r="CY166" s="139"/>
      <c r="CZ166" s="139"/>
      <c r="DA166" s="139"/>
      <c r="DB166" s="139"/>
      <c r="DC166" s="139"/>
      <c r="DD166" s="139"/>
      <c r="DE166" s="139"/>
      <c r="DF166" s="139"/>
      <c r="DG166" s="139"/>
      <c r="DH166" s="139"/>
      <c r="DI166" s="139"/>
      <c r="DJ166" s="139"/>
      <c r="DK166" s="139"/>
      <c r="DL166" s="139"/>
      <c r="DM166" s="139"/>
      <c r="DN166" s="139"/>
      <c r="DO166" s="139"/>
      <c r="DP166" s="139"/>
      <c r="DQ166" s="139"/>
      <c r="DR166" s="139"/>
      <c r="DS166" s="139"/>
      <c r="DT166" s="139"/>
      <c r="DU166" s="139"/>
      <c r="DV166" s="139"/>
      <c r="DW166" s="139"/>
      <c r="DX166" s="139"/>
      <c r="DY166" s="139"/>
      <c r="DZ166" s="139"/>
      <c r="EA166" s="139"/>
      <c r="EB166" s="139"/>
      <c r="EC166" s="139"/>
      <c r="ED166" s="139"/>
      <c r="EE166" s="139"/>
      <c r="EF166" s="139"/>
      <c r="EG166" s="139"/>
      <c r="EH166" s="139"/>
      <c r="EI166" s="139"/>
      <c r="EJ166" s="139"/>
      <c r="EK166" s="139"/>
      <c r="EL166" s="139"/>
      <c r="EM166" s="139"/>
      <c r="EN166" s="139"/>
      <c r="EO166" s="139"/>
      <c r="EP166" s="139"/>
      <c r="EQ166" s="139"/>
      <c r="ER166" s="139"/>
      <c r="ES166" s="139"/>
      <c r="ET166" s="139"/>
      <c r="EU166" s="139"/>
      <c r="EV166" s="139"/>
      <c r="EW166" s="139"/>
      <c r="EX166" s="139"/>
      <c r="EY166" s="139"/>
      <c r="EZ166" s="139"/>
      <c r="FA166" s="139"/>
      <c r="FB166" s="139"/>
      <c r="FC166" s="139"/>
      <c r="FD166" s="139"/>
      <c r="FE166" s="139"/>
      <c r="FF166" s="139"/>
      <c r="FG166" s="139"/>
      <c r="FH166" s="139"/>
      <c r="FI166" s="139"/>
      <c r="FJ166" s="139"/>
      <c r="FK166" s="139"/>
      <c r="FL166" s="139"/>
      <c r="FM166" s="139"/>
      <c r="FN166" s="139"/>
      <c r="FO166" s="139"/>
      <c r="FP166" s="139"/>
      <c r="FQ166" s="139"/>
      <c r="FR166" s="139"/>
      <c r="FS166" s="139"/>
      <c r="FT166" s="139"/>
      <c r="FU166" s="139"/>
      <c r="FV166" s="139"/>
      <c r="FW166" s="139"/>
      <c r="FX166" s="139"/>
      <c r="FY166" s="139"/>
      <c r="FZ166" s="139"/>
      <c r="GA166" s="139"/>
      <c r="GB166" s="139"/>
      <c r="GC166" s="139"/>
      <c r="GD166" s="139"/>
      <c r="GE166" s="139"/>
      <c r="GF166" s="139"/>
      <c r="GG166" s="139"/>
      <c r="GH166" s="139"/>
      <c r="GI166" s="139"/>
      <c r="GJ166" s="139"/>
      <c r="GK166" s="139"/>
      <c r="GL166" s="139"/>
      <c r="GM166" s="139"/>
      <c r="GN166" s="139"/>
      <c r="GO166" s="139"/>
      <c r="GP166" s="139"/>
      <c r="GQ166" s="139"/>
      <c r="GR166" s="139"/>
      <c r="GS166" s="139"/>
      <c r="GT166" s="139"/>
      <c r="GU166" s="139"/>
      <c r="GV166" s="139"/>
      <c r="GW166" s="139"/>
      <c r="GX166" s="139"/>
      <c r="GY166" s="139"/>
      <c r="GZ166" s="139"/>
      <c r="HA166" s="139"/>
      <c r="HB166" s="139"/>
      <c r="HC166" s="139"/>
      <c r="HD166" s="139"/>
      <c r="HE166" s="139"/>
      <c r="HF166" s="139"/>
      <c r="HG166" s="139"/>
      <c r="HH166" s="139"/>
      <c r="HI166" s="139"/>
      <c r="HJ166" s="139"/>
      <c r="HK166" s="139"/>
      <c r="HL166" s="139"/>
      <c r="HM166" s="139"/>
      <c r="HN166" s="139"/>
      <c r="HO166" s="139"/>
      <c r="HP166" s="139"/>
      <c r="HQ166" s="139"/>
      <c r="HR166" s="139"/>
      <c r="HS166" s="139"/>
      <c r="HT166" s="139"/>
      <c r="HU166" s="139"/>
      <c r="HV166" s="139"/>
      <c r="HW166" s="139"/>
      <c r="HX166" s="139"/>
      <c r="HY166" s="139"/>
      <c r="HZ166" s="139"/>
      <c r="IA166" s="139"/>
      <c r="IB166" s="139"/>
      <c r="IC166" s="139"/>
      <c r="ID166" s="139"/>
      <c r="IE166" s="139"/>
      <c r="IF166" s="139"/>
      <c r="IG166" s="139"/>
      <c r="IH166" s="139"/>
      <c r="II166" s="139"/>
      <c r="IJ166" s="139"/>
      <c r="IK166" s="139"/>
      <c r="IL166" s="139"/>
      <c r="IM166" s="139"/>
      <c r="IN166" s="139"/>
      <c r="IO166" s="139"/>
      <c r="IP166" s="139"/>
      <c r="IQ166" s="139"/>
      <c r="IR166" s="139"/>
    </row>
    <row r="167" spans="2:253" x14ac:dyDescent="0.3">
      <c r="B167" s="5" t="s">
        <v>131</v>
      </c>
      <c r="C167" s="916" t="s">
        <v>236</v>
      </c>
      <c r="D167" s="957">
        <v>0</v>
      </c>
      <c r="E167" s="957">
        <v>0</v>
      </c>
      <c r="F167" s="957">
        <v>0</v>
      </c>
      <c r="G167" s="957">
        <v>0</v>
      </c>
      <c r="H167" s="957">
        <v>0</v>
      </c>
      <c r="I167" s="957">
        <v>0</v>
      </c>
      <c r="J167" s="957">
        <v>0</v>
      </c>
      <c r="K167" s="958">
        <v>0</v>
      </c>
      <c r="L167" s="412">
        <f t="shared" si="18"/>
        <v>0</v>
      </c>
      <c r="M167" s="416">
        <f t="shared" si="19"/>
        <v>0</v>
      </c>
      <c r="N167" s="276"/>
      <c r="O167" s="164"/>
      <c r="P167" s="139"/>
      <c r="Q167" s="139"/>
      <c r="R167" s="139"/>
      <c r="S167" s="139"/>
      <c r="T167" s="139"/>
      <c r="U167" s="139"/>
      <c r="V167" s="139"/>
      <c r="W167" s="139"/>
      <c r="X167" s="139"/>
      <c r="Y167" s="139"/>
      <c r="Z167" s="139"/>
      <c r="AA167" s="139"/>
      <c r="AB167" s="139"/>
      <c r="AC167" s="139"/>
      <c r="AD167" s="139"/>
      <c r="AE167" s="139"/>
      <c r="AF167" s="139"/>
      <c r="AG167" s="139"/>
      <c r="AH167" s="139"/>
      <c r="AI167" s="139"/>
      <c r="AJ167" s="139"/>
      <c r="AK167" s="139"/>
      <c r="AL167" s="139"/>
      <c r="AM167" s="139"/>
      <c r="AN167" s="139"/>
      <c r="AO167" s="139"/>
      <c r="AP167" s="139"/>
      <c r="AQ167" s="139"/>
      <c r="AR167" s="139"/>
      <c r="AS167" s="139"/>
      <c r="AT167" s="139"/>
      <c r="AU167" s="139"/>
      <c r="AV167" s="139"/>
      <c r="AW167" s="139"/>
      <c r="AX167" s="139"/>
      <c r="AY167" s="139"/>
      <c r="AZ167" s="139"/>
      <c r="BA167" s="139"/>
      <c r="BB167" s="139"/>
      <c r="BC167" s="139"/>
      <c r="BD167" s="139"/>
      <c r="BE167" s="139"/>
      <c r="BF167" s="139"/>
      <c r="BG167" s="139"/>
      <c r="BH167" s="139"/>
      <c r="BI167" s="139"/>
      <c r="BJ167" s="139"/>
      <c r="BK167" s="139"/>
      <c r="BL167" s="139"/>
      <c r="BM167" s="139"/>
      <c r="BN167" s="139"/>
      <c r="BO167" s="139"/>
      <c r="BP167" s="139"/>
      <c r="BQ167" s="139"/>
      <c r="BR167" s="139"/>
      <c r="BS167" s="139"/>
      <c r="BT167" s="139"/>
      <c r="BU167" s="139"/>
      <c r="BV167" s="139"/>
      <c r="BW167" s="139"/>
      <c r="BX167" s="139"/>
      <c r="BY167" s="139"/>
      <c r="BZ167" s="139"/>
      <c r="CA167" s="139"/>
      <c r="CB167" s="139"/>
      <c r="CC167" s="139"/>
      <c r="CD167" s="139"/>
      <c r="CE167" s="139"/>
      <c r="CF167" s="139"/>
      <c r="CG167" s="139"/>
      <c r="CH167" s="139"/>
      <c r="CI167" s="139"/>
      <c r="CJ167" s="139"/>
      <c r="CK167" s="139"/>
      <c r="CL167" s="139"/>
      <c r="CM167" s="139"/>
      <c r="CN167" s="139"/>
      <c r="CO167" s="139"/>
      <c r="CP167" s="139"/>
      <c r="CQ167" s="139"/>
      <c r="CR167" s="139"/>
      <c r="CS167" s="139"/>
      <c r="CT167" s="139"/>
      <c r="CU167" s="139"/>
      <c r="CV167" s="139"/>
      <c r="CW167" s="139"/>
      <c r="CX167" s="139"/>
      <c r="CY167" s="139"/>
      <c r="CZ167" s="139"/>
      <c r="DA167" s="139"/>
      <c r="DB167" s="139"/>
      <c r="DC167" s="139"/>
      <c r="DD167" s="139"/>
      <c r="DE167" s="139"/>
      <c r="DF167" s="139"/>
      <c r="DG167" s="139"/>
      <c r="DH167" s="139"/>
      <c r="DI167" s="139"/>
      <c r="DJ167" s="139"/>
      <c r="DK167" s="139"/>
      <c r="DL167" s="139"/>
      <c r="DM167" s="139"/>
      <c r="DN167" s="139"/>
      <c r="DO167" s="139"/>
      <c r="DP167" s="139"/>
      <c r="DQ167" s="139"/>
      <c r="DR167" s="139"/>
      <c r="DS167" s="139"/>
      <c r="DT167" s="139"/>
      <c r="DU167" s="139"/>
      <c r="DV167" s="139"/>
      <c r="DW167" s="139"/>
      <c r="DX167" s="139"/>
      <c r="DY167" s="139"/>
      <c r="DZ167" s="139"/>
      <c r="EA167" s="139"/>
      <c r="EB167" s="139"/>
      <c r="EC167" s="139"/>
      <c r="ED167" s="139"/>
      <c r="EE167" s="139"/>
      <c r="EF167" s="139"/>
      <c r="EG167" s="139"/>
      <c r="EH167" s="139"/>
      <c r="EI167" s="139"/>
      <c r="EJ167" s="139"/>
      <c r="EK167" s="139"/>
      <c r="EL167" s="139"/>
      <c r="EM167" s="139"/>
      <c r="EN167" s="139"/>
      <c r="EO167" s="139"/>
      <c r="EP167" s="139"/>
      <c r="EQ167" s="139"/>
      <c r="ER167" s="139"/>
      <c r="ES167" s="139"/>
      <c r="ET167" s="139"/>
      <c r="EU167" s="139"/>
      <c r="EV167" s="139"/>
      <c r="EW167" s="139"/>
      <c r="EX167" s="139"/>
      <c r="EY167" s="139"/>
      <c r="EZ167" s="139"/>
      <c r="FA167" s="139"/>
      <c r="FB167" s="139"/>
      <c r="FC167" s="139"/>
      <c r="FD167" s="139"/>
      <c r="FE167" s="139"/>
      <c r="FF167" s="139"/>
      <c r="FG167" s="139"/>
      <c r="FH167" s="139"/>
      <c r="FI167" s="139"/>
      <c r="FJ167" s="139"/>
      <c r="FK167" s="139"/>
      <c r="FL167" s="139"/>
      <c r="FM167" s="139"/>
      <c r="FN167" s="139"/>
      <c r="FO167" s="139"/>
      <c r="FP167" s="139"/>
      <c r="FQ167" s="139"/>
      <c r="FR167" s="139"/>
      <c r="FS167" s="139"/>
      <c r="FT167" s="139"/>
      <c r="FU167" s="139"/>
      <c r="FV167" s="139"/>
      <c r="FW167" s="139"/>
      <c r="FX167" s="139"/>
      <c r="FY167" s="139"/>
      <c r="FZ167" s="139"/>
      <c r="GA167" s="139"/>
      <c r="GB167" s="139"/>
      <c r="GC167" s="139"/>
      <c r="GD167" s="139"/>
      <c r="GE167" s="139"/>
      <c r="GF167" s="139"/>
      <c r="GG167" s="139"/>
      <c r="GH167" s="139"/>
      <c r="GI167" s="139"/>
      <c r="GJ167" s="139"/>
      <c r="GK167" s="139"/>
      <c r="GL167" s="139"/>
      <c r="GM167" s="139"/>
      <c r="GN167" s="139"/>
      <c r="GO167" s="139"/>
      <c r="GP167" s="139"/>
      <c r="GQ167" s="139"/>
      <c r="GR167" s="139"/>
      <c r="GS167" s="139"/>
      <c r="GT167" s="139"/>
      <c r="GU167" s="139"/>
      <c r="GV167" s="139"/>
      <c r="GW167" s="139"/>
      <c r="GX167" s="139"/>
      <c r="GY167" s="139"/>
      <c r="GZ167" s="139"/>
      <c r="HA167" s="139"/>
      <c r="HB167" s="139"/>
      <c r="HC167" s="139"/>
      <c r="HD167" s="139"/>
      <c r="HE167" s="139"/>
      <c r="HF167" s="139"/>
      <c r="HG167" s="139"/>
      <c r="HH167" s="139"/>
      <c r="HI167" s="139"/>
      <c r="HJ167" s="139"/>
      <c r="HK167" s="139"/>
      <c r="HL167" s="139"/>
      <c r="HM167" s="139"/>
      <c r="HN167" s="139"/>
      <c r="HO167" s="139"/>
      <c r="HP167" s="139"/>
      <c r="HQ167" s="139"/>
      <c r="HR167" s="139"/>
      <c r="HS167" s="139"/>
      <c r="HT167" s="139"/>
      <c r="HU167" s="139"/>
      <c r="HV167" s="139"/>
      <c r="HW167" s="139"/>
      <c r="HX167" s="139"/>
      <c r="HY167" s="139"/>
      <c r="HZ167" s="139"/>
      <c r="IA167" s="139"/>
      <c r="IB167" s="139"/>
      <c r="IC167" s="139"/>
      <c r="ID167" s="139"/>
      <c r="IE167" s="139"/>
      <c r="IF167" s="139"/>
      <c r="IG167" s="139"/>
      <c r="IH167" s="139"/>
      <c r="II167" s="139"/>
      <c r="IJ167" s="139"/>
      <c r="IK167" s="139"/>
      <c r="IL167" s="139"/>
      <c r="IM167" s="139"/>
      <c r="IN167" s="139"/>
      <c r="IO167" s="139"/>
      <c r="IP167" s="139"/>
      <c r="IQ167" s="139"/>
      <c r="IR167" s="139"/>
    </row>
    <row r="168" spans="2:253" x14ac:dyDescent="0.3">
      <c r="B168" s="5" t="s">
        <v>132</v>
      </c>
      <c r="C168" s="916" t="s">
        <v>237</v>
      </c>
      <c r="D168" s="957">
        <v>1733508.5435861128</v>
      </c>
      <c r="E168" s="957">
        <v>1090.3768739156649</v>
      </c>
      <c r="F168" s="957">
        <v>54.048889464904775</v>
      </c>
      <c r="G168" s="957">
        <v>15.464182747304292</v>
      </c>
      <c r="H168" s="957">
        <v>25150419.599693209</v>
      </c>
      <c r="I168" s="957">
        <v>15819.613928207029</v>
      </c>
      <c r="J168" s="957">
        <v>312.02486357091163</v>
      </c>
      <c r="K168" s="958">
        <v>224.36040843297926</v>
      </c>
      <c r="L168" s="412">
        <f t="shared" si="18"/>
        <v>26883928.143279321</v>
      </c>
      <c r="M168" s="416">
        <f t="shared" si="19"/>
        <v>17515.889146338792</v>
      </c>
      <c r="N168" s="276"/>
      <c r="O168" s="164"/>
      <c r="P168" s="139"/>
      <c r="Q168" s="139"/>
      <c r="R168" s="139"/>
      <c r="S168" s="139"/>
      <c r="T168" s="139"/>
      <c r="U168" s="139"/>
      <c r="V168" s="139"/>
      <c r="W168" s="139"/>
      <c r="X168" s="139"/>
      <c r="Y168" s="139"/>
      <c r="Z168" s="139"/>
      <c r="AA168" s="139"/>
      <c r="AB168" s="139"/>
      <c r="AC168" s="139"/>
      <c r="AD168" s="139"/>
      <c r="AE168" s="139"/>
      <c r="AF168" s="139"/>
      <c r="AG168" s="139"/>
      <c r="AH168" s="139"/>
      <c r="AI168" s="139"/>
      <c r="AJ168" s="139"/>
      <c r="AK168" s="139"/>
      <c r="AL168" s="139"/>
      <c r="AM168" s="139"/>
      <c r="AN168" s="139"/>
      <c r="AO168" s="139"/>
      <c r="AP168" s="139"/>
      <c r="AQ168" s="139"/>
      <c r="AR168" s="139"/>
      <c r="AS168" s="139"/>
      <c r="AT168" s="139"/>
      <c r="AU168" s="139"/>
      <c r="AV168" s="139"/>
      <c r="AW168" s="139"/>
      <c r="AX168" s="139"/>
      <c r="AY168" s="139"/>
      <c r="AZ168" s="139"/>
      <c r="BA168" s="139"/>
      <c r="BB168" s="139"/>
      <c r="BC168" s="139"/>
      <c r="BD168" s="139"/>
      <c r="BE168" s="139"/>
      <c r="BF168" s="139"/>
      <c r="BG168" s="139"/>
      <c r="BH168" s="139"/>
      <c r="BI168" s="139"/>
      <c r="BJ168" s="139"/>
      <c r="BK168" s="139"/>
      <c r="BL168" s="139"/>
      <c r="BM168" s="139"/>
      <c r="BN168" s="139"/>
      <c r="BO168" s="139"/>
      <c r="BP168" s="139"/>
      <c r="BQ168" s="139"/>
      <c r="BR168" s="139"/>
      <c r="BS168" s="139"/>
      <c r="BT168" s="139"/>
      <c r="BU168" s="139"/>
      <c r="BV168" s="139"/>
      <c r="BW168" s="139"/>
      <c r="BX168" s="139"/>
      <c r="BY168" s="139"/>
      <c r="BZ168" s="139"/>
      <c r="CA168" s="139"/>
      <c r="CB168" s="139"/>
      <c r="CC168" s="139"/>
      <c r="CD168" s="139"/>
      <c r="CE168" s="139"/>
      <c r="CF168" s="139"/>
      <c r="CG168" s="139"/>
      <c r="CH168" s="139"/>
      <c r="CI168" s="139"/>
      <c r="CJ168" s="139"/>
      <c r="CK168" s="139"/>
      <c r="CL168" s="139"/>
      <c r="CM168" s="139"/>
      <c r="CN168" s="139"/>
      <c r="CO168" s="139"/>
      <c r="CP168" s="139"/>
      <c r="CQ168" s="139"/>
      <c r="CR168" s="139"/>
      <c r="CS168" s="139"/>
      <c r="CT168" s="139"/>
      <c r="CU168" s="139"/>
      <c r="CV168" s="139"/>
      <c r="CW168" s="139"/>
      <c r="CX168" s="139"/>
      <c r="CY168" s="139"/>
      <c r="CZ168" s="139"/>
      <c r="DA168" s="139"/>
      <c r="DB168" s="139"/>
      <c r="DC168" s="139"/>
      <c r="DD168" s="139"/>
      <c r="DE168" s="139"/>
      <c r="DF168" s="139"/>
      <c r="DG168" s="139"/>
      <c r="DH168" s="139"/>
      <c r="DI168" s="139"/>
      <c r="DJ168" s="139"/>
      <c r="DK168" s="139"/>
      <c r="DL168" s="139"/>
      <c r="DM168" s="139"/>
      <c r="DN168" s="139"/>
      <c r="DO168" s="139"/>
      <c r="DP168" s="139"/>
      <c r="DQ168" s="139"/>
      <c r="DR168" s="139"/>
      <c r="DS168" s="139"/>
      <c r="DT168" s="139"/>
      <c r="DU168" s="139"/>
      <c r="DV168" s="139"/>
      <c r="DW168" s="139"/>
      <c r="DX168" s="139"/>
      <c r="DY168" s="139"/>
      <c r="DZ168" s="139"/>
      <c r="EA168" s="139"/>
      <c r="EB168" s="139"/>
      <c r="EC168" s="139"/>
      <c r="ED168" s="139"/>
      <c r="EE168" s="139"/>
      <c r="EF168" s="139"/>
      <c r="EG168" s="139"/>
      <c r="EH168" s="139"/>
      <c r="EI168" s="139"/>
      <c r="EJ168" s="139"/>
      <c r="EK168" s="139"/>
      <c r="EL168" s="139"/>
      <c r="EM168" s="139"/>
      <c r="EN168" s="139"/>
      <c r="EO168" s="139"/>
      <c r="EP168" s="139"/>
      <c r="EQ168" s="139"/>
      <c r="ER168" s="139"/>
      <c r="ES168" s="139"/>
      <c r="ET168" s="139"/>
      <c r="EU168" s="139"/>
      <c r="EV168" s="139"/>
      <c r="EW168" s="139"/>
      <c r="EX168" s="139"/>
      <c r="EY168" s="139"/>
      <c r="EZ168" s="139"/>
      <c r="FA168" s="139"/>
      <c r="FB168" s="139"/>
      <c r="FC168" s="139"/>
      <c r="FD168" s="139"/>
      <c r="FE168" s="139"/>
      <c r="FF168" s="139"/>
      <c r="FG168" s="139"/>
      <c r="FH168" s="139"/>
      <c r="FI168" s="139"/>
      <c r="FJ168" s="139"/>
      <c r="FK168" s="139"/>
      <c r="FL168" s="139"/>
      <c r="FM168" s="139"/>
      <c r="FN168" s="139"/>
      <c r="FO168" s="139"/>
      <c r="FP168" s="139"/>
      <c r="FQ168" s="139"/>
      <c r="FR168" s="139"/>
      <c r="FS168" s="139"/>
      <c r="FT168" s="139"/>
      <c r="FU168" s="139"/>
      <c r="FV168" s="139"/>
      <c r="FW168" s="139"/>
      <c r="FX168" s="139"/>
      <c r="FY168" s="139"/>
      <c r="FZ168" s="139"/>
      <c r="GA168" s="139"/>
      <c r="GB168" s="139"/>
      <c r="GC168" s="139"/>
      <c r="GD168" s="139"/>
      <c r="GE168" s="139"/>
      <c r="GF168" s="139"/>
      <c r="GG168" s="139"/>
      <c r="GH168" s="139"/>
      <c r="GI168" s="139"/>
      <c r="GJ168" s="139"/>
      <c r="GK168" s="139"/>
      <c r="GL168" s="139"/>
      <c r="GM168" s="139"/>
      <c r="GN168" s="139"/>
      <c r="GO168" s="139"/>
      <c r="GP168" s="139"/>
      <c r="GQ168" s="139"/>
      <c r="GR168" s="139"/>
      <c r="GS168" s="139"/>
      <c r="GT168" s="139"/>
      <c r="GU168" s="139"/>
      <c r="GV168" s="139"/>
      <c r="GW168" s="139"/>
      <c r="GX168" s="139"/>
      <c r="GY168" s="139"/>
      <c r="GZ168" s="139"/>
      <c r="HA168" s="139"/>
      <c r="HB168" s="139"/>
      <c r="HC168" s="139"/>
      <c r="HD168" s="139"/>
      <c r="HE168" s="139"/>
      <c r="HF168" s="139"/>
      <c r="HG168" s="139"/>
      <c r="HH168" s="139"/>
      <c r="HI168" s="139"/>
      <c r="HJ168" s="139"/>
      <c r="HK168" s="139"/>
      <c r="HL168" s="139"/>
      <c r="HM168" s="139"/>
      <c r="HN168" s="139"/>
      <c r="HO168" s="139"/>
      <c r="HP168" s="139"/>
      <c r="HQ168" s="139"/>
      <c r="HR168" s="139"/>
      <c r="HS168" s="139"/>
      <c r="HT168" s="139"/>
      <c r="HU168" s="139"/>
      <c r="HV168" s="139"/>
      <c r="HW168" s="139"/>
      <c r="HX168" s="139"/>
      <c r="HY168" s="139"/>
      <c r="HZ168" s="139"/>
      <c r="IA168" s="139"/>
      <c r="IB168" s="139"/>
      <c r="IC168" s="139"/>
      <c r="ID168" s="139"/>
      <c r="IE168" s="139"/>
      <c r="IF168" s="139"/>
      <c r="IG168" s="139"/>
      <c r="IH168" s="139"/>
      <c r="II168" s="139"/>
      <c r="IJ168" s="139"/>
      <c r="IK168" s="139"/>
      <c r="IL168" s="139"/>
      <c r="IM168" s="139"/>
      <c r="IN168" s="139"/>
      <c r="IO168" s="139"/>
      <c r="IP168" s="139"/>
      <c r="IQ168" s="139"/>
      <c r="IR168" s="139"/>
    </row>
    <row r="169" spans="2:253" x14ac:dyDescent="0.3">
      <c r="B169" s="5" t="s">
        <v>133</v>
      </c>
      <c r="C169" s="916" t="s">
        <v>238</v>
      </c>
      <c r="D169" s="957">
        <v>0</v>
      </c>
      <c r="E169" s="957">
        <v>0</v>
      </c>
      <c r="F169" s="957">
        <v>0</v>
      </c>
      <c r="G169" s="957">
        <v>0</v>
      </c>
      <c r="H169" s="957">
        <v>0</v>
      </c>
      <c r="I169" s="957">
        <v>0</v>
      </c>
      <c r="J169" s="957">
        <v>0</v>
      </c>
      <c r="K169" s="958">
        <v>0</v>
      </c>
      <c r="L169" s="412">
        <f t="shared" si="18"/>
        <v>0</v>
      </c>
      <c r="M169" s="416">
        <f t="shared" si="19"/>
        <v>0</v>
      </c>
      <c r="N169" s="276"/>
      <c r="O169" s="164"/>
      <c r="P169" s="139"/>
      <c r="Q169" s="139"/>
      <c r="R169" s="139"/>
      <c r="S169" s="139"/>
      <c r="T169" s="139"/>
      <c r="U169" s="139"/>
      <c r="V169" s="139"/>
      <c r="W169" s="139"/>
      <c r="X169" s="139"/>
      <c r="Y169" s="139"/>
      <c r="Z169" s="139"/>
      <c r="AA169" s="139"/>
      <c r="AB169" s="139"/>
      <c r="AC169" s="139"/>
      <c r="AD169" s="139"/>
      <c r="AE169" s="139"/>
      <c r="AF169" s="139"/>
      <c r="AG169" s="139"/>
      <c r="AH169" s="139"/>
      <c r="AI169" s="139"/>
      <c r="AJ169" s="139"/>
      <c r="AK169" s="139"/>
      <c r="AL169" s="139"/>
      <c r="AM169" s="139"/>
      <c r="AN169" s="139"/>
      <c r="AO169" s="139"/>
      <c r="AP169" s="139"/>
      <c r="AQ169" s="139"/>
      <c r="AR169" s="139"/>
      <c r="AS169" s="139"/>
      <c r="AT169" s="139"/>
      <c r="AU169" s="139"/>
      <c r="AV169" s="139"/>
      <c r="AW169" s="139"/>
      <c r="AX169" s="139"/>
      <c r="AY169" s="139"/>
      <c r="AZ169" s="139"/>
      <c r="BA169" s="139"/>
      <c r="BB169" s="139"/>
      <c r="BC169" s="139"/>
      <c r="BD169" s="139"/>
      <c r="BE169" s="139"/>
      <c r="BF169" s="139"/>
      <c r="BG169" s="139"/>
      <c r="BH169" s="139"/>
      <c r="BI169" s="139"/>
      <c r="BJ169" s="139"/>
      <c r="BK169" s="139"/>
      <c r="BL169" s="139"/>
      <c r="BM169" s="139"/>
      <c r="BN169" s="139"/>
      <c r="BO169" s="139"/>
      <c r="BP169" s="139"/>
      <c r="BQ169" s="139"/>
      <c r="BR169" s="139"/>
      <c r="BS169" s="139"/>
      <c r="BT169" s="139"/>
      <c r="BU169" s="139"/>
      <c r="BV169" s="139"/>
      <c r="BW169" s="139"/>
      <c r="BX169" s="139"/>
      <c r="BY169" s="139"/>
      <c r="BZ169" s="139"/>
      <c r="CA169" s="139"/>
      <c r="CB169" s="139"/>
      <c r="CC169" s="139"/>
      <c r="CD169" s="139"/>
      <c r="CE169" s="139"/>
      <c r="CF169" s="139"/>
      <c r="CG169" s="139"/>
      <c r="CH169" s="139"/>
      <c r="CI169" s="139"/>
      <c r="CJ169" s="139"/>
      <c r="CK169" s="139"/>
      <c r="CL169" s="139"/>
      <c r="CM169" s="139"/>
      <c r="CN169" s="139"/>
      <c r="CO169" s="139"/>
      <c r="CP169" s="139"/>
      <c r="CQ169" s="139"/>
      <c r="CR169" s="139"/>
      <c r="CS169" s="139"/>
      <c r="CT169" s="139"/>
      <c r="CU169" s="139"/>
      <c r="CV169" s="139"/>
      <c r="CW169" s="139"/>
      <c r="CX169" s="139"/>
      <c r="CY169" s="139"/>
      <c r="CZ169" s="139"/>
      <c r="DA169" s="139"/>
      <c r="DB169" s="139"/>
      <c r="DC169" s="139"/>
      <c r="DD169" s="139"/>
      <c r="DE169" s="139"/>
      <c r="DF169" s="139"/>
      <c r="DG169" s="139"/>
      <c r="DH169" s="139"/>
      <c r="DI169" s="139"/>
      <c r="DJ169" s="139"/>
      <c r="DK169" s="139"/>
      <c r="DL169" s="139"/>
      <c r="DM169" s="139"/>
      <c r="DN169" s="139"/>
      <c r="DO169" s="139"/>
      <c r="DP169" s="139"/>
      <c r="DQ169" s="139"/>
      <c r="DR169" s="139"/>
      <c r="DS169" s="139"/>
      <c r="DT169" s="139"/>
      <c r="DU169" s="139"/>
      <c r="DV169" s="139"/>
      <c r="DW169" s="139"/>
      <c r="DX169" s="139"/>
      <c r="DY169" s="139"/>
      <c r="DZ169" s="139"/>
      <c r="EA169" s="139"/>
      <c r="EB169" s="139"/>
      <c r="EC169" s="139"/>
      <c r="ED169" s="139"/>
      <c r="EE169" s="139"/>
      <c r="EF169" s="139"/>
      <c r="EG169" s="139"/>
      <c r="EH169" s="139"/>
      <c r="EI169" s="139"/>
      <c r="EJ169" s="139"/>
      <c r="EK169" s="139"/>
      <c r="EL169" s="139"/>
      <c r="EM169" s="139"/>
      <c r="EN169" s="139"/>
      <c r="EO169" s="139"/>
      <c r="EP169" s="139"/>
      <c r="EQ169" s="139"/>
      <c r="ER169" s="139"/>
      <c r="ES169" s="139"/>
      <c r="ET169" s="139"/>
      <c r="EU169" s="139"/>
      <c r="EV169" s="139"/>
      <c r="EW169" s="139"/>
      <c r="EX169" s="139"/>
      <c r="EY169" s="139"/>
      <c r="EZ169" s="139"/>
      <c r="FA169" s="139"/>
      <c r="FB169" s="139"/>
      <c r="FC169" s="139"/>
      <c r="FD169" s="139"/>
      <c r="FE169" s="139"/>
      <c r="FF169" s="139"/>
      <c r="FG169" s="139"/>
      <c r="FH169" s="139"/>
      <c r="FI169" s="139"/>
      <c r="FJ169" s="139"/>
      <c r="FK169" s="139"/>
      <c r="FL169" s="139"/>
      <c r="FM169" s="139"/>
      <c r="FN169" s="139"/>
      <c r="FO169" s="139"/>
      <c r="FP169" s="139"/>
      <c r="FQ169" s="139"/>
      <c r="FR169" s="139"/>
      <c r="FS169" s="139"/>
      <c r="FT169" s="139"/>
      <c r="FU169" s="139"/>
      <c r="FV169" s="139"/>
      <c r="FW169" s="139"/>
      <c r="FX169" s="139"/>
      <c r="FY169" s="139"/>
      <c r="FZ169" s="139"/>
      <c r="GA169" s="139"/>
      <c r="GB169" s="139"/>
      <c r="GC169" s="139"/>
      <c r="GD169" s="139"/>
      <c r="GE169" s="139"/>
      <c r="GF169" s="139"/>
      <c r="GG169" s="139"/>
      <c r="GH169" s="139"/>
      <c r="GI169" s="139"/>
      <c r="GJ169" s="139"/>
      <c r="GK169" s="139"/>
      <c r="GL169" s="139"/>
      <c r="GM169" s="139"/>
      <c r="GN169" s="139"/>
      <c r="GO169" s="139"/>
      <c r="GP169" s="139"/>
      <c r="GQ169" s="139"/>
      <c r="GR169" s="139"/>
      <c r="GS169" s="139"/>
      <c r="GT169" s="139"/>
      <c r="GU169" s="139"/>
      <c r="GV169" s="139"/>
      <c r="GW169" s="139"/>
      <c r="GX169" s="139"/>
      <c r="GY169" s="139"/>
      <c r="GZ169" s="139"/>
      <c r="HA169" s="139"/>
      <c r="HB169" s="139"/>
      <c r="HC169" s="139"/>
      <c r="HD169" s="139"/>
      <c r="HE169" s="139"/>
      <c r="HF169" s="139"/>
      <c r="HG169" s="139"/>
      <c r="HH169" s="139"/>
      <c r="HI169" s="139"/>
      <c r="HJ169" s="139"/>
      <c r="HK169" s="139"/>
      <c r="HL169" s="139"/>
      <c r="HM169" s="139"/>
      <c r="HN169" s="139"/>
      <c r="HO169" s="139"/>
      <c r="HP169" s="139"/>
      <c r="HQ169" s="139"/>
      <c r="HR169" s="139"/>
      <c r="HS169" s="139"/>
      <c r="HT169" s="139"/>
      <c r="HU169" s="139"/>
      <c r="HV169" s="139"/>
      <c r="HW169" s="139"/>
      <c r="HX169" s="139"/>
      <c r="HY169" s="139"/>
      <c r="HZ169" s="139"/>
      <c r="IA169" s="139"/>
      <c r="IB169" s="139"/>
      <c r="IC169" s="139"/>
      <c r="ID169" s="139"/>
      <c r="IE169" s="139"/>
      <c r="IF169" s="139"/>
      <c r="IG169" s="139"/>
      <c r="IH169" s="139"/>
      <c r="II169" s="139"/>
      <c r="IJ169" s="139"/>
      <c r="IK169" s="139"/>
      <c r="IL169" s="139"/>
      <c r="IM169" s="139"/>
      <c r="IN169" s="139"/>
      <c r="IO169" s="139"/>
      <c r="IP169" s="139"/>
      <c r="IQ169" s="139"/>
      <c r="IR169" s="139"/>
    </row>
    <row r="170" spans="2:253" x14ac:dyDescent="0.3">
      <c r="B170" s="5" t="s">
        <v>134</v>
      </c>
      <c r="C170" s="916" t="s">
        <v>239</v>
      </c>
      <c r="D170" s="957">
        <v>4486.7319284322393</v>
      </c>
      <c r="E170" s="957">
        <v>2.8221543829838787</v>
      </c>
      <c r="F170" s="957">
        <v>0.24005319938201944</v>
      </c>
      <c r="G170" s="957">
        <v>4.0024978668929477E-2</v>
      </c>
      <c r="H170" s="957">
        <v>1752.4271163514145</v>
      </c>
      <c r="I170" s="957">
        <v>1.1022766561850399</v>
      </c>
      <c r="J170" s="957">
        <v>5.0963709255289681E-2</v>
      </c>
      <c r="K170" s="958">
        <v>1.5632950456954908E-2</v>
      </c>
      <c r="L170" s="412">
        <f t="shared" si="18"/>
        <v>6239.1590447836534</v>
      </c>
      <c r="M170" s="416">
        <f t="shared" si="19"/>
        <v>4.2711058769321113</v>
      </c>
      <c r="N170" s="276"/>
      <c r="O170" s="164"/>
      <c r="P170" s="139"/>
      <c r="Q170" s="139"/>
      <c r="R170" s="139"/>
      <c r="S170" s="139"/>
      <c r="T170" s="139"/>
      <c r="U170" s="139"/>
      <c r="V170" s="139"/>
      <c r="W170" s="139"/>
      <c r="X170" s="139"/>
      <c r="Y170" s="139"/>
      <c r="Z170" s="139"/>
      <c r="AA170" s="139"/>
      <c r="AB170" s="139"/>
      <c r="AC170" s="139"/>
      <c r="AD170" s="139"/>
      <c r="AE170" s="139"/>
      <c r="AF170" s="139"/>
      <c r="AG170" s="139"/>
      <c r="AH170" s="139"/>
      <c r="AI170" s="139"/>
      <c r="AJ170" s="139"/>
      <c r="AK170" s="139"/>
      <c r="AL170" s="139"/>
      <c r="AM170" s="139"/>
      <c r="AN170" s="139"/>
      <c r="AO170" s="139"/>
      <c r="AP170" s="139"/>
      <c r="AQ170" s="139"/>
      <c r="AR170" s="139"/>
      <c r="AS170" s="139"/>
      <c r="AT170" s="139"/>
      <c r="AU170" s="139"/>
      <c r="AV170" s="139"/>
      <c r="AW170" s="139"/>
      <c r="AX170" s="139"/>
      <c r="AY170" s="139"/>
      <c r="AZ170" s="139"/>
      <c r="BA170" s="139"/>
      <c r="BB170" s="139"/>
      <c r="BC170" s="139"/>
      <c r="BD170" s="139"/>
      <c r="BE170" s="139"/>
      <c r="BF170" s="139"/>
      <c r="BG170" s="139"/>
      <c r="BH170" s="139"/>
      <c r="BI170" s="139"/>
      <c r="BJ170" s="139"/>
      <c r="BK170" s="139"/>
      <c r="BL170" s="139"/>
      <c r="BM170" s="139"/>
      <c r="BN170" s="139"/>
      <c r="BO170" s="139"/>
      <c r="BP170" s="139"/>
      <c r="BQ170" s="139"/>
      <c r="BR170" s="139"/>
      <c r="BS170" s="139"/>
      <c r="BT170" s="139"/>
      <c r="BU170" s="139"/>
      <c r="BV170" s="139"/>
      <c r="BW170" s="139"/>
      <c r="BX170" s="139"/>
      <c r="BY170" s="139"/>
      <c r="BZ170" s="139"/>
      <c r="CA170" s="139"/>
      <c r="CB170" s="139"/>
      <c r="CC170" s="139"/>
      <c r="CD170" s="139"/>
      <c r="CE170" s="139"/>
      <c r="CF170" s="139"/>
      <c r="CG170" s="139"/>
      <c r="CH170" s="139"/>
      <c r="CI170" s="139"/>
      <c r="CJ170" s="139"/>
      <c r="CK170" s="139"/>
      <c r="CL170" s="139"/>
      <c r="CM170" s="139"/>
      <c r="CN170" s="139"/>
      <c r="CO170" s="139"/>
      <c r="CP170" s="139"/>
      <c r="CQ170" s="139"/>
      <c r="CR170" s="139"/>
      <c r="CS170" s="139"/>
      <c r="CT170" s="139"/>
      <c r="CU170" s="139"/>
      <c r="CV170" s="139"/>
      <c r="CW170" s="139"/>
      <c r="CX170" s="139"/>
      <c r="CY170" s="139"/>
      <c r="CZ170" s="139"/>
      <c r="DA170" s="139"/>
      <c r="DB170" s="139"/>
      <c r="DC170" s="139"/>
      <c r="DD170" s="139"/>
      <c r="DE170" s="139"/>
      <c r="DF170" s="139"/>
      <c r="DG170" s="139"/>
      <c r="DH170" s="139"/>
      <c r="DI170" s="139"/>
      <c r="DJ170" s="139"/>
      <c r="DK170" s="139"/>
      <c r="DL170" s="139"/>
      <c r="DM170" s="139"/>
      <c r="DN170" s="139"/>
      <c r="DO170" s="139"/>
      <c r="DP170" s="139"/>
      <c r="DQ170" s="139"/>
      <c r="DR170" s="139"/>
      <c r="DS170" s="139"/>
      <c r="DT170" s="139"/>
      <c r="DU170" s="139"/>
      <c r="DV170" s="139"/>
      <c r="DW170" s="139"/>
      <c r="DX170" s="139"/>
      <c r="DY170" s="139"/>
      <c r="DZ170" s="139"/>
      <c r="EA170" s="139"/>
      <c r="EB170" s="139"/>
      <c r="EC170" s="139"/>
      <c r="ED170" s="139"/>
      <c r="EE170" s="139"/>
      <c r="EF170" s="139"/>
      <c r="EG170" s="139"/>
      <c r="EH170" s="139"/>
      <c r="EI170" s="139"/>
      <c r="EJ170" s="139"/>
      <c r="EK170" s="139"/>
      <c r="EL170" s="139"/>
      <c r="EM170" s="139"/>
      <c r="EN170" s="139"/>
      <c r="EO170" s="139"/>
      <c r="EP170" s="139"/>
      <c r="EQ170" s="139"/>
      <c r="ER170" s="139"/>
      <c r="ES170" s="139"/>
      <c r="ET170" s="139"/>
      <c r="EU170" s="139"/>
      <c r="EV170" s="139"/>
      <c r="EW170" s="139"/>
      <c r="EX170" s="139"/>
      <c r="EY170" s="139"/>
      <c r="EZ170" s="139"/>
      <c r="FA170" s="139"/>
      <c r="FB170" s="139"/>
      <c r="FC170" s="139"/>
      <c r="FD170" s="139"/>
      <c r="FE170" s="139"/>
      <c r="FF170" s="139"/>
      <c r="FG170" s="139"/>
      <c r="FH170" s="139"/>
      <c r="FI170" s="139"/>
      <c r="FJ170" s="139"/>
      <c r="FK170" s="139"/>
      <c r="FL170" s="139"/>
      <c r="FM170" s="139"/>
      <c r="FN170" s="139"/>
      <c r="FO170" s="139"/>
      <c r="FP170" s="139"/>
      <c r="FQ170" s="139"/>
      <c r="FR170" s="139"/>
      <c r="FS170" s="139"/>
      <c r="FT170" s="139"/>
      <c r="FU170" s="139"/>
      <c r="FV170" s="139"/>
      <c r="FW170" s="139"/>
      <c r="FX170" s="139"/>
      <c r="FY170" s="139"/>
      <c r="FZ170" s="139"/>
      <c r="GA170" s="139"/>
      <c r="GB170" s="139"/>
      <c r="GC170" s="139"/>
      <c r="GD170" s="139"/>
      <c r="GE170" s="139"/>
      <c r="GF170" s="139"/>
      <c r="GG170" s="139"/>
      <c r="GH170" s="139"/>
      <c r="GI170" s="139"/>
      <c r="GJ170" s="139"/>
      <c r="GK170" s="139"/>
      <c r="GL170" s="139"/>
      <c r="GM170" s="139"/>
      <c r="GN170" s="139"/>
      <c r="GO170" s="139"/>
      <c r="GP170" s="139"/>
      <c r="GQ170" s="139"/>
      <c r="GR170" s="139"/>
      <c r="GS170" s="139"/>
      <c r="GT170" s="139"/>
      <c r="GU170" s="139"/>
      <c r="GV170" s="139"/>
      <c r="GW170" s="139"/>
      <c r="GX170" s="139"/>
      <c r="GY170" s="139"/>
      <c r="GZ170" s="139"/>
      <c r="HA170" s="139"/>
      <c r="HB170" s="139"/>
      <c r="HC170" s="139"/>
      <c r="HD170" s="139"/>
      <c r="HE170" s="139"/>
      <c r="HF170" s="139"/>
      <c r="HG170" s="139"/>
      <c r="HH170" s="139"/>
      <c r="HI170" s="139"/>
      <c r="HJ170" s="139"/>
      <c r="HK170" s="139"/>
      <c r="HL170" s="139"/>
      <c r="HM170" s="139"/>
      <c r="HN170" s="139"/>
      <c r="HO170" s="139"/>
      <c r="HP170" s="139"/>
      <c r="HQ170" s="139"/>
      <c r="HR170" s="139"/>
      <c r="HS170" s="139"/>
      <c r="HT170" s="139"/>
      <c r="HU170" s="139"/>
      <c r="HV170" s="139"/>
      <c r="HW170" s="139"/>
      <c r="HX170" s="139"/>
      <c r="HY170" s="139"/>
      <c r="HZ170" s="139"/>
      <c r="IA170" s="139"/>
      <c r="IB170" s="139"/>
      <c r="IC170" s="139"/>
      <c r="ID170" s="139"/>
      <c r="IE170" s="139"/>
      <c r="IF170" s="139"/>
      <c r="IG170" s="139"/>
      <c r="IH170" s="139"/>
      <c r="II170" s="139"/>
      <c r="IJ170" s="139"/>
      <c r="IK170" s="139"/>
      <c r="IL170" s="139"/>
      <c r="IM170" s="139"/>
      <c r="IN170" s="139"/>
      <c r="IO170" s="139"/>
      <c r="IP170" s="139"/>
      <c r="IQ170" s="139"/>
      <c r="IR170" s="139"/>
    </row>
    <row r="171" spans="2:253" ht="15" thickBot="1" x14ac:dyDescent="0.35">
      <c r="B171" s="5" t="s">
        <v>135</v>
      </c>
      <c r="C171" s="916" t="s">
        <v>240</v>
      </c>
      <c r="D171" s="957">
        <v>523357.43013968511</v>
      </c>
      <c r="E171" s="957">
        <v>329.19182355786194</v>
      </c>
      <c r="F171" s="957">
        <v>18.79953946068656</v>
      </c>
      <c r="G171" s="957">
        <v>4.6687366911368162</v>
      </c>
      <c r="H171" s="957">
        <v>10491690.986174092</v>
      </c>
      <c r="I171" s="957">
        <v>6599.2736303035044</v>
      </c>
      <c r="J171" s="957">
        <v>139.59862847280957</v>
      </c>
      <c r="K171" s="958">
        <v>93.593670096833691</v>
      </c>
      <c r="L171" s="413">
        <f t="shared" si="18"/>
        <v>11015048.416313777</v>
      </c>
      <c r="M171" s="696">
        <f t="shared" si="19"/>
        <v>7185.1260285828339</v>
      </c>
      <c r="N171" s="276"/>
      <c r="O171" s="164"/>
      <c r="P171" s="139"/>
      <c r="Q171" s="139"/>
      <c r="R171" s="139"/>
      <c r="S171" s="139"/>
      <c r="T171" s="139"/>
      <c r="U171" s="139"/>
      <c r="V171" s="139"/>
      <c r="W171" s="139"/>
      <c r="X171" s="139"/>
      <c r="Y171" s="139"/>
      <c r="Z171" s="139"/>
      <c r="AA171" s="139"/>
      <c r="AB171" s="139"/>
      <c r="AC171" s="139"/>
      <c r="AD171" s="139"/>
      <c r="AE171" s="139"/>
      <c r="AF171" s="139"/>
      <c r="AG171" s="139"/>
      <c r="AH171" s="139"/>
      <c r="AI171" s="139"/>
      <c r="AJ171" s="139"/>
      <c r="AK171" s="139"/>
      <c r="AL171" s="139"/>
      <c r="AM171" s="139"/>
      <c r="AN171" s="139"/>
      <c r="AO171" s="139"/>
      <c r="AP171" s="139"/>
      <c r="AQ171" s="139"/>
      <c r="AR171" s="139"/>
      <c r="AS171" s="139"/>
      <c r="AT171" s="139"/>
      <c r="AU171" s="139"/>
      <c r="AV171" s="139"/>
      <c r="AW171" s="139"/>
      <c r="AX171" s="139"/>
      <c r="AY171" s="139"/>
      <c r="AZ171" s="139"/>
      <c r="BA171" s="139"/>
      <c r="BB171" s="139"/>
      <c r="BC171" s="139"/>
      <c r="BD171" s="139"/>
      <c r="BE171" s="139"/>
      <c r="BF171" s="139"/>
      <c r="BG171" s="139"/>
      <c r="BH171" s="139"/>
      <c r="BI171" s="139"/>
      <c r="BJ171" s="139"/>
      <c r="BK171" s="139"/>
      <c r="BL171" s="139"/>
      <c r="BM171" s="139"/>
      <c r="BN171" s="139"/>
      <c r="BO171" s="139"/>
      <c r="BP171" s="139"/>
      <c r="BQ171" s="139"/>
      <c r="BR171" s="139"/>
      <c r="BS171" s="139"/>
      <c r="BT171" s="139"/>
      <c r="BU171" s="139"/>
      <c r="BV171" s="139"/>
      <c r="BW171" s="139"/>
      <c r="BX171" s="139"/>
      <c r="BY171" s="139"/>
      <c r="BZ171" s="139"/>
      <c r="CA171" s="139"/>
      <c r="CB171" s="139"/>
      <c r="CC171" s="139"/>
      <c r="CD171" s="139"/>
      <c r="CE171" s="139"/>
      <c r="CF171" s="139"/>
      <c r="CG171" s="139"/>
      <c r="CH171" s="139"/>
      <c r="CI171" s="139"/>
      <c r="CJ171" s="139"/>
      <c r="CK171" s="139"/>
      <c r="CL171" s="139"/>
      <c r="CM171" s="139"/>
      <c r="CN171" s="139"/>
      <c r="CO171" s="139"/>
      <c r="CP171" s="139"/>
      <c r="CQ171" s="139"/>
      <c r="CR171" s="139"/>
      <c r="CS171" s="139"/>
      <c r="CT171" s="139"/>
      <c r="CU171" s="139"/>
      <c r="CV171" s="139"/>
      <c r="CW171" s="139"/>
      <c r="CX171" s="139"/>
      <c r="CY171" s="139"/>
      <c r="CZ171" s="139"/>
      <c r="DA171" s="139"/>
      <c r="DB171" s="139"/>
      <c r="DC171" s="139"/>
      <c r="DD171" s="139"/>
      <c r="DE171" s="139"/>
      <c r="DF171" s="139"/>
      <c r="DG171" s="139"/>
      <c r="DH171" s="139"/>
      <c r="DI171" s="139"/>
      <c r="DJ171" s="139"/>
      <c r="DK171" s="139"/>
      <c r="DL171" s="139"/>
      <c r="DM171" s="139"/>
      <c r="DN171" s="139"/>
      <c r="DO171" s="139"/>
      <c r="DP171" s="139"/>
      <c r="DQ171" s="139"/>
      <c r="DR171" s="139"/>
      <c r="DS171" s="139"/>
      <c r="DT171" s="139"/>
      <c r="DU171" s="139"/>
      <c r="DV171" s="139"/>
      <c r="DW171" s="139"/>
      <c r="DX171" s="139"/>
      <c r="DY171" s="139"/>
      <c r="DZ171" s="139"/>
      <c r="EA171" s="139"/>
      <c r="EB171" s="139"/>
      <c r="EC171" s="139"/>
      <c r="ED171" s="139"/>
      <c r="EE171" s="139"/>
      <c r="EF171" s="139"/>
      <c r="EG171" s="139"/>
      <c r="EH171" s="139"/>
      <c r="EI171" s="139"/>
      <c r="EJ171" s="139"/>
      <c r="EK171" s="139"/>
      <c r="EL171" s="139"/>
      <c r="EM171" s="139"/>
      <c r="EN171" s="139"/>
      <c r="EO171" s="139"/>
      <c r="EP171" s="139"/>
      <c r="EQ171" s="139"/>
      <c r="ER171" s="139"/>
      <c r="ES171" s="139"/>
      <c r="ET171" s="139"/>
      <c r="EU171" s="139"/>
      <c r="EV171" s="139"/>
      <c r="EW171" s="139"/>
      <c r="EX171" s="139"/>
      <c r="EY171" s="139"/>
      <c r="EZ171" s="139"/>
      <c r="FA171" s="139"/>
      <c r="FB171" s="139"/>
      <c r="FC171" s="139"/>
      <c r="FD171" s="139"/>
      <c r="FE171" s="139"/>
      <c r="FF171" s="139"/>
      <c r="FG171" s="139"/>
      <c r="FH171" s="139"/>
      <c r="FI171" s="139"/>
      <c r="FJ171" s="139"/>
      <c r="FK171" s="139"/>
      <c r="FL171" s="139"/>
      <c r="FM171" s="139"/>
      <c r="FN171" s="139"/>
      <c r="FO171" s="139"/>
      <c r="FP171" s="139"/>
      <c r="FQ171" s="139"/>
      <c r="FR171" s="139"/>
      <c r="FS171" s="139"/>
      <c r="FT171" s="139"/>
      <c r="FU171" s="139"/>
      <c r="FV171" s="139"/>
      <c r="FW171" s="139"/>
      <c r="FX171" s="139"/>
      <c r="FY171" s="139"/>
      <c r="FZ171" s="139"/>
      <c r="GA171" s="139"/>
      <c r="GB171" s="139"/>
      <c r="GC171" s="139"/>
      <c r="GD171" s="139"/>
      <c r="GE171" s="139"/>
      <c r="GF171" s="139"/>
      <c r="GG171" s="139"/>
      <c r="GH171" s="139"/>
      <c r="GI171" s="139"/>
      <c r="GJ171" s="139"/>
      <c r="GK171" s="139"/>
      <c r="GL171" s="139"/>
      <c r="GM171" s="139"/>
      <c r="GN171" s="139"/>
      <c r="GO171" s="139"/>
      <c r="GP171" s="139"/>
      <c r="GQ171" s="139"/>
      <c r="GR171" s="139"/>
      <c r="GS171" s="139"/>
      <c r="GT171" s="139"/>
      <c r="GU171" s="139"/>
      <c r="GV171" s="139"/>
      <c r="GW171" s="139"/>
      <c r="GX171" s="139"/>
      <c r="GY171" s="139"/>
      <c r="GZ171" s="139"/>
      <c r="HA171" s="139"/>
      <c r="HB171" s="139"/>
      <c r="HC171" s="139"/>
      <c r="HD171" s="139"/>
      <c r="HE171" s="139"/>
      <c r="HF171" s="139"/>
      <c r="HG171" s="139"/>
      <c r="HH171" s="139"/>
      <c r="HI171" s="139"/>
      <c r="HJ171" s="139"/>
      <c r="HK171" s="139"/>
      <c r="HL171" s="139"/>
      <c r="HM171" s="139"/>
      <c r="HN171" s="139"/>
      <c r="HO171" s="139"/>
      <c r="HP171" s="139"/>
      <c r="HQ171" s="139"/>
      <c r="HR171" s="139"/>
      <c r="HS171" s="139"/>
      <c r="HT171" s="139"/>
      <c r="HU171" s="139"/>
      <c r="HV171" s="139"/>
      <c r="HW171" s="139"/>
      <c r="HX171" s="139"/>
      <c r="HY171" s="139"/>
      <c r="HZ171" s="139"/>
      <c r="IA171" s="139"/>
      <c r="IB171" s="139"/>
      <c r="IC171" s="139"/>
      <c r="ID171" s="139"/>
      <c r="IE171" s="139"/>
      <c r="IF171" s="139"/>
      <c r="IG171" s="139"/>
      <c r="IH171" s="139"/>
      <c r="II171" s="139"/>
      <c r="IJ171" s="139"/>
      <c r="IK171" s="139"/>
      <c r="IL171" s="139"/>
      <c r="IM171" s="139"/>
      <c r="IN171" s="139"/>
      <c r="IO171" s="139"/>
      <c r="IP171" s="139"/>
      <c r="IQ171" s="139"/>
      <c r="IR171" s="139"/>
    </row>
    <row r="172" spans="2:253" ht="15" thickBot="1" x14ac:dyDescent="0.35">
      <c r="B172" s="7" t="s">
        <v>66</v>
      </c>
      <c r="C172" s="252"/>
      <c r="D172" s="409">
        <f>SUM(D139:D171)</f>
        <v>18979571.425166126</v>
      </c>
      <c r="E172" s="410">
        <f t="shared" ref="E172:K172" si="20">SUM(E139:E171)</f>
        <v>11938.150426429493</v>
      </c>
      <c r="F172" s="399">
        <f t="shared" si="20"/>
        <v>495.04812189886212</v>
      </c>
      <c r="G172" s="399">
        <f>SUM(G139:G171)</f>
        <v>171.79173752086311</v>
      </c>
      <c r="H172" s="409">
        <f>SUM(H139:H171)</f>
        <v>71420133.698860407</v>
      </c>
      <c r="I172" s="410">
        <f t="shared" si="20"/>
        <v>44923.264096583203</v>
      </c>
      <c r="J172" s="399">
        <f t="shared" si="20"/>
        <v>811.37655398142442</v>
      </c>
      <c r="K172" s="400">
        <f t="shared" si="20"/>
        <v>496.27840775672161</v>
      </c>
      <c r="L172" s="413">
        <f>SUM(L139:L171)</f>
        <v>90399705.124026537</v>
      </c>
      <c r="M172" s="959">
        <f>SUM(M139:M171)</f>
        <v>58835.90934417057</v>
      </c>
      <c r="N172" s="468"/>
      <c r="O172" s="139"/>
      <c r="P172" s="139"/>
      <c r="Q172" s="139"/>
      <c r="R172" s="139"/>
      <c r="S172" s="139"/>
      <c r="T172" s="139"/>
      <c r="U172" s="139"/>
      <c r="V172" s="139"/>
      <c r="W172" s="139"/>
      <c r="X172" s="139"/>
      <c r="Y172" s="139"/>
      <c r="Z172" s="139"/>
      <c r="AA172" s="139"/>
      <c r="AB172" s="139"/>
      <c r="AC172" s="139"/>
      <c r="AD172" s="139"/>
      <c r="AE172" s="139"/>
      <c r="AF172" s="139"/>
      <c r="AG172" s="139"/>
      <c r="AH172" s="139"/>
      <c r="AI172" s="139"/>
      <c r="AJ172" s="139"/>
      <c r="AK172" s="139"/>
      <c r="AL172" s="139"/>
      <c r="AM172" s="139"/>
      <c r="AN172" s="139"/>
      <c r="AO172" s="139"/>
      <c r="AP172" s="139"/>
      <c r="AQ172" s="139"/>
      <c r="AR172" s="139"/>
      <c r="AS172" s="139"/>
      <c r="AT172" s="139"/>
      <c r="AU172" s="139"/>
      <c r="AV172" s="139"/>
      <c r="AW172" s="139"/>
      <c r="AX172" s="139"/>
      <c r="AY172" s="139"/>
      <c r="AZ172" s="139"/>
      <c r="BA172" s="139"/>
      <c r="BB172" s="139"/>
      <c r="BC172" s="139"/>
      <c r="BD172" s="139"/>
      <c r="BE172" s="139"/>
      <c r="BF172" s="139"/>
      <c r="BG172" s="139"/>
      <c r="BH172" s="139"/>
      <c r="BI172" s="139"/>
      <c r="BJ172" s="139"/>
      <c r="BK172" s="139"/>
      <c r="BL172" s="139"/>
      <c r="BM172" s="139"/>
      <c r="BN172" s="139"/>
      <c r="BO172" s="139"/>
      <c r="BP172" s="139"/>
      <c r="BQ172" s="139"/>
      <c r="BR172" s="139"/>
      <c r="BS172" s="139"/>
      <c r="BT172" s="139"/>
      <c r="BU172" s="139"/>
      <c r="BV172" s="139"/>
      <c r="BW172" s="139"/>
      <c r="BX172" s="139"/>
      <c r="BY172" s="139"/>
      <c r="BZ172" s="139"/>
      <c r="CA172" s="139"/>
      <c r="CB172" s="139"/>
      <c r="CC172" s="139"/>
      <c r="CD172" s="139"/>
      <c r="CE172" s="139"/>
      <c r="CF172" s="139"/>
      <c r="CG172" s="139"/>
      <c r="CH172" s="139"/>
      <c r="CI172" s="139"/>
      <c r="CJ172" s="139"/>
      <c r="CK172" s="139"/>
      <c r="CL172" s="139"/>
      <c r="CM172" s="139"/>
      <c r="CN172" s="139"/>
      <c r="CO172" s="139"/>
      <c r="CP172" s="139"/>
      <c r="CQ172" s="139"/>
      <c r="CR172" s="139"/>
      <c r="CS172" s="139"/>
      <c r="CT172" s="139"/>
      <c r="CU172" s="139"/>
      <c r="CV172" s="139"/>
      <c r="CW172" s="139"/>
      <c r="CX172" s="139"/>
      <c r="CY172" s="139"/>
      <c r="CZ172" s="139"/>
      <c r="DA172" s="139"/>
      <c r="DB172" s="139"/>
      <c r="DC172" s="139"/>
      <c r="DD172" s="139"/>
      <c r="DE172" s="139"/>
      <c r="DF172" s="139"/>
      <c r="DG172" s="139"/>
      <c r="DH172" s="139"/>
      <c r="DI172" s="139"/>
      <c r="DJ172" s="139"/>
      <c r="DK172" s="139"/>
      <c r="DL172" s="139"/>
      <c r="DM172" s="139"/>
      <c r="DN172" s="139"/>
      <c r="DO172" s="139"/>
      <c r="DP172" s="139"/>
      <c r="DQ172" s="139"/>
      <c r="DR172" s="139"/>
      <c r="DS172" s="139"/>
      <c r="DT172" s="139"/>
      <c r="DU172" s="139"/>
      <c r="DV172" s="139"/>
      <c r="DW172" s="139"/>
      <c r="DX172" s="139"/>
      <c r="DY172" s="139"/>
      <c r="DZ172" s="139"/>
      <c r="EA172" s="139"/>
      <c r="EB172" s="139"/>
      <c r="EC172" s="139"/>
      <c r="ED172" s="139"/>
      <c r="EE172" s="139"/>
      <c r="EF172" s="139"/>
      <c r="EG172" s="139"/>
      <c r="EH172" s="139"/>
      <c r="EI172" s="139"/>
      <c r="EJ172" s="139"/>
      <c r="EK172" s="139"/>
      <c r="EL172" s="139"/>
      <c r="EM172" s="139"/>
      <c r="EN172" s="139"/>
      <c r="EO172" s="139"/>
      <c r="EP172" s="139"/>
      <c r="EQ172" s="139"/>
      <c r="ER172" s="139"/>
      <c r="ES172" s="139"/>
      <c r="ET172" s="139"/>
      <c r="EU172" s="139"/>
      <c r="EV172" s="139"/>
      <c r="EW172" s="139"/>
      <c r="EX172" s="139"/>
      <c r="EY172" s="139"/>
      <c r="EZ172" s="139"/>
      <c r="FA172" s="139"/>
      <c r="FB172" s="139"/>
      <c r="FC172" s="139"/>
      <c r="FD172" s="139"/>
      <c r="FE172" s="139"/>
      <c r="FF172" s="139"/>
      <c r="FG172" s="139"/>
      <c r="FH172" s="139"/>
      <c r="FI172" s="139"/>
      <c r="FJ172" s="139"/>
      <c r="FK172" s="139"/>
      <c r="FL172" s="139"/>
      <c r="FM172" s="139"/>
      <c r="FN172" s="139"/>
      <c r="FO172" s="139"/>
      <c r="FP172" s="139"/>
      <c r="FQ172" s="139"/>
      <c r="FR172" s="139"/>
      <c r="FS172" s="139"/>
      <c r="FT172" s="139"/>
      <c r="FU172" s="139"/>
      <c r="FV172" s="139"/>
      <c r="FW172" s="139"/>
      <c r="FX172" s="139"/>
      <c r="FY172" s="139"/>
      <c r="FZ172" s="139"/>
      <c r="GA172" s="139"/>
      <c r="GB172" s="139"/>
      <c r="GC172" s="139"/>
      <c r="GD172" s="139"/>
      <c r="GE172" s="139"/>
      <c r="GF172" s="139"/>
      <c r="GG172" s="139"/>
      <c r="GH172" s="139"/>
      <c r="GI172" s="139"/>
      <c r="GJ172" s="139"/>
      <c r="GK172" s="139"/>
      <c r="GL172" s="139"/>
      <c r="GM172" s="139"/>
      <c r="GN172" s="139"/>
      <c r="GO172" s="139"/>
      <c r="GP172" s="139"/>
      <c r="GQ172" s="139"/>
      <c r="GR172" s="139"/>
      <c r="GS172" s="139"/>
      <c r="GT172" s="139"/>
      <c r="GU172" s="139"/>
      <c r="GV172" s="139"/>
      <c r="GW172" s="139"/>
      <c r="GX172" s="139"/>
      <c r="GY172" s="139"/>
      <c r="GZ172" s="139"/>
      <c r="HA172" s="139"/>
      <c r="HB172" s="139"/>
      <c r="HC172" s="139"/>
      <c r="HD172" s="139"/>
      <c r="HE172" s="139"/>
      <c r="HF172" s="139"/>
      <c r="HG172" s="139"/>
      <c r="HH172" s="139"/>
      <c r="HI172" s="139"/>
      <c r="HJ172" s="139"/>
      <c r="HK172" s="139"/>
      <c r="HL172" s="139"/>
      <c r="HM172" s="139"/>
      <c r="HN172" s="139"/>
      <c r="HO172" s="139"/>
      <c r="HP172" s="139"/>
      <c r="HQ172" s="139"/>
      <c r="HR172" s="139"/>
      <c r="HS172" s="139"/>
      <c r="HT172" s="139"/>
      <c r="HU172" s="139"/>
      <c r="HV172" s="139"/>
      <c r="HW172" s="139"/>
      <c r="HX172" s="139"/>
      <c r="HY172" s="139"/>
      <c r="HZ172" s="139"/>
      <c r="IA172" s="139"/>
      <c r="IB172" s="139"/>
      <c r="IC172" s="139"/>
      <c r="ID172" s="139"/>
      <c r="IE172" s="139"/>
      <c r="IF172" s="139"/>
      <c r="IG172" s="139"/>
      <c r="IH172" s="139"/>
      <c r="II172" s="139"/>
      <c r="IJ172" s="139"/>
      <c r="IK172" s="139"/>
      <c r="IL172" s="139"/>
      <c r="IM172" s="139"/>
      <c r="IN172" s="139"/>
      <c r="IO172" s="139"/>
      <c r="IP172" s="139"/>
      <c r="IQ172" s="139"/>
      <c r="IR172" s="139"/>
    </row>
    <row r="173" spans="2:253" x14ac:dyDescent="0.3">
      <c r="B173" s="139"/>
      <c r="C173" s="156"/>
      <c r="D173" s="156"/>
      <c r="E173" s="480"/>
      <c r="F173" s="157"/>
      <c r="G173" s="157"/>
      <c r="H173" s="157"/>
      <c r="I173" s="157"/>
      <c r="J173" s="157"/>
      <c r="K173" s="157"/>
      <c r="L173" s="157"/>
      <c r="M173" s="158"/>
      <c r="N173" s="139"/>
      <c r="O173" s="139"/>
      <c r="P173" s="139"/>
      <c r="Q173" s="139"/>
      <c r="R173" s="139"/>
      <c r="S173" s="139"/>
      <c r="T173" s="139"/>
      <c r="U173" s="139"/>
      <c r="V173" s="139"/>
      <c r="W173" s="139"/>
      <c r="X173" s="139"/>
      <c r="Y173" s="139"/>
      <c r="Z173" s="139"/>
      <c r="AA173" s="139"/>
      <c r="AB173" s="139"/>
      <c r="AC173" s="139"/>
      <c r="AD173" s="139"/>
      <c r="AE173" s="139"/>
      <c r="AF173" s="139"/>
      <c r="AG173" s="139"/>
      <c r="AH173" s="139"/>
      <c r="AI173" s="139"/>
      <c r="AJ173" s="139"/>
      <c r="AK173" s="139"/>
      <c r="AL173" s="139"/>
      <c r="AM173" s="139"/>
      <c r="AN173" s="139"/>
      <c r="AO173" s="139"/>
      <c r="AP173" s="139"/>
      <c r="AQ173" s="139"/>
      <c r="AR173" s="139"/>
      <c r="AS173" s="139"/>
      <c r="AT173" s="139"/>
      <c r="AU173" s="139"/>
      <c r="AV173" s="139"/>
      <c r="AW173" s="139"/>
      <c r="AX173" s="139"/>
      <c r="AY173" s="139"/>
      <c r="AZ173" s="139"/>
      <c r="BA173" s="139"/>
      <c r="BB173" s="139"/>
      <c r="BC173" s="139"/>
      <c r="BD173" s="139"/>
      <c r="BE173" s="139"/>
      <c r="BF173" s="139"/>
      <c r="BG173" s="139"/>
      <c r="BH173" s="139"/>
      <c r="BI173" s="139"/>
      <c r="BJ173" s="139"/>
      <c r="BK173" s="139"/>
      <c r="BL173" s="139"/>
      <c r="BM173" s="139"/>
      <c r="BN173" s="139"/>
      <c r="BO173" s="139"/>
      <c r="BP173" s="139"/>
      <c r="BQ173" s="139"/>
      <c r="BR173" s="139"/>
      <c r="BS173" s="139"/>
      <c r="BT173" s="139"/>
      <c r="BU173" s="139"/>
      <c r="BV173" s="139"/>
      <c r="BW173" s="139"/>
      <c r="BX173" s="139"/>
      <c r="BY173" s="139"/>
      <c r="BZ173" s="139"/>
      <c r="CA173" s="139"/>
      <c r="CB173" s="139"/>
      <c r="CC173" s="139"/>
      <c r="CD173" s="139"/>
      <c r="CE173" s="139"/>
      <c r="CF173" s="139"/>
      <c r="CG173" s="139"/>
      <c r="CH173" s="139"/>
      <c r="CI173" s="139"/>
      <c r="CJ173" s="139"/>
      <c r="CK173" s="139"/>
      <c r="CL173" s="139"/>
      <c r="CM173" s="139"/>
      <c r="CN173" s="139"/>
      <c r="CO173" s="139"/>
      <c r="CP173" s="139"/>
      <c r="CQ173" s="139"/>
      <c r="CR173" s="139"/>
      <c r="CS173" s="139"/>
      <c r="CT173" s="139"/>
      <c r="CU173" s="139"/>
      <c r="CV173" s="139"/>
      <c r="CW173" s="139"/>
      <c r="CX173" s="139"/>
      <c r="CY173" s="139"/>
      <c r="CZ173" s="139"/>
      <c r="DA173" s="139"/>
      <c r="DB173" s="139"/>
      <c r="DC173" s="139"/>
      <c r="DD173" s="139"/>
      <c r="DE173" s="139"/>
      <c r="DF173" s="139"/>
      <c r="DG173" s="139"/>
      <c r="DH173" s="139"/>
      <c r="DI173" s="139"/>
      <c r="DJ173" s="139"/>
      <c r="DK173" s="139"/>
      <c r="DL173" s="139"/>
      <c r="DM173" s="139"/>
      <c r="DN173" s="139"/>
      <c r="DO173" s="139"/>
      <c r="DP173" s="139"/>
      <c r="DQ173" s="139"/>
      <c r="DR173" s="139"/>
      <c r="DS173" s="139"/>
      <c r="DT173" s="139"/>
      <c r="DU173" s="139"/>
      <c r="DV173" s="139"/>
      <c r="DW173" s="139"/>
      <c r="DX173" s="139"/>
      <c r="DY173" s="139"/>
      <c r="DZ173" s="139"/>
      <c r="EA173" s="139"/>
      <c r="EB173" s="139"/>
      <c r="EC173" s="139"/>
      <c r="ED173" s="139"/>
      <c r="EE173" s="139"/>
      <c r="EF173" s="139"/>
      <c r="EG173" s="139"/>
      <c r="EH173" s="139"/>
      <c r="EI173" s="139"/>
      <c r="EJ173" s="139"/>
      <c r="EK173" s="139"/>
      <c r="EL173" s="139"/>
      <c r="EM173" s="139"/>
      <c r="EN173" s="139"/>
      <c r="EO173" s="139"/>
      <c r="EP173" s="139"/>
      <c r="EQ173" s="139"/>
      <c r="ER173" s="139"/>
      <c r="ES173" s="139"/>
      <c r="ET173" s="139"/>
      <c r="EU173" s="139"/>
      <c r="EV173" s="139"/>
      <c r="EW173" s="139"/>
      <c r="EX173" s="139"/>
      <c r="EY173" s="139"/>
      <c r="EZ173" s="139"/>
      <c r="FA173" s="139"/>
      <c r="FB173" s="139"/>
      <c r="FC173" s="139"/>
      <c r="FD173" s="139"/>
      <c r="FE173" s="139"/>
      <c r="FF173" s="139"/>
      <c r="FG173" s="139"/>
      <c r="FH173" s="139"/>
      <c r="FI173" s="139"/>
      <c r="FJ173" s="139"/>
      <c r="FK173" s="139"/>
      <c r="FL173" s="139"/>
      <c r="FM173" s="139"/>
      <c r="FN173" s="139"/>
      <c r="FO173" s="139"/>
      <c r="FP173" s="139"/>
      <c r="FQ173" s="139"/>
      <c r="FR173" s="139"/>
      <c r="FS173" s="139"/>
      <c r="FT173" s="139"/>
      <c r="FU173" s="139"/>
      <c r="FV173" s="139"/>
      <c r="FW173" s="139"/>
      <c r="FX173" s="139"/>
      <c r="FY173" s="139"/>
      <c r="FZ173" s="139"/>
      <c r="GA173" s="139"/>
      <c r="GB173" s="139"/>
      <c r="GC173" s="139"/>
      <c r="GD173" s="139"/>
      <c r="GE173" s="139"/>
      <c r="GF173" s="139"/>
      <c r="GG173" s="139"/>
      <c r="GH173" s="139"/>
      <c r="GI173" s="139"/>
      <c r="GJ173" s="139"/>
      <c r="GK173" s="139"/>
      <c r="GL173" s="139"/>
      <c r="GM173" s="139"/>
      <c r="GN173" s="139"/>
      <c r="GO173" s="139"/>
      <c r="GP173" s="139"/>
      <c r="GQ173" s="139"/>
      <c r="GR173" s="139"/>
      <c r="GS173" s="139"/>
      <c r="GT173" s="139"/>
      <c r="GU173" s="139"/>
      <c r="GV173" s="139"/>
      <c r="GW173" s="139"/>
      <c r="GX173" s="139"/>
      <c r="GY173" s="139"/>
      <c r="GZ173" s="139"/>
      <c r="HA173" s="139"/>
      <c r="HB173" s="139"/>
      <c r="HC173" s="139"/>
      <c r="HD173" s="139"/>
      <c r="HE173" s="139"/>
      <c r="HF173" s="139"/>
      <c r="HG173" s="139"/>
      <c r="HH173" s="139"/>
      <c r="HI173" s="139"/>
      <c r="HJ173" s="139"/>
      <c r="HK173" s="139"/>
      <c r="HL173" s="139"/>
      <c r="HM173" s="139"/>
      <c r="HN173" s="139"/>
      <c r="HO173" s="139"/>
      <c r="HP173" s="139"/>
      <c r="HQ173" s="139"/>
      <c r="HR173" s="139"/>
      <c r="HS173" s="139"/>
      <c r="HT173" s="139"/>
      <c r="HU173" s="139"/>
      <c r="HV173" s="139"/>
      <c r="HW173" s="139"/>
      <c r="HX173" s="139"/>
      <c r="HY173" s="139"/>
      <c r="HZ173" s="139"/>
      <c r="IA173" s="139"/>
      <c r="IB173" s="139"/>
      <c r="IC173" s="139"/>
      <c r="ID173" s="139"/>
      <c r="IE173" s="139"/>
      <c r="IF173" s="139"/>
      <c r="IG173" s="139"/>
      <c r="IH173" s="139"/>
      <c r="II173" s="139"/>
      <c r="IJ173" s="139"/>
      <c r="IK173" s="139"/>
      <c r="IL173" s="139"/>
      <c r="IM173" s="139"/>
      <c r="IN173" s="139"/>
      <c r="IO173" s="139"/>
      <c r="IP173" s="139"/>
      <c r="IQ173" s="139"/>
      <c r="IR173" s="139"/>
      <c r="IS173" s="139"/>
    </row>
    <row r="174" spans="2:253" x14ac:dyDescent="0.3">
      <c r="B174" s="565" t="s">
        <v>343</v>
      </c>
      <c r="C174" s="156"/>
      <c r="D174" s="156"/>
      <c r="E174" s="157"/>
      <c r="F174" s="157"/>
      <c r="G174" s="157"/>
      <c r="H174" s="157"/>
      <c r="I174" s="480"/>
      <c r="J174" s="157"/>
      <c r="K174" s="157"/>
      <c r="L174" s="157"/>
      <c r="M174" s="158"/>
      <c r="N174" s="139"/>
      <c r="O174" s="139"/>
      <c r="P174" s="139"/>
      <c r="Q174" s="139"/>
      <c r="R174" s="139"/>
      <c r="S174" s="139"/>
      <c r="T174" s="139"/>
      <c r="U174" s="139"/>
      <c r="V174" s="139"/>
      <c r="W174" s="139"/>
      <c r="X174" s="139"/>
      <c r="Y174" s="139"/>
      <c r="Z174" s="139"/>
      <c r="AA174" s="139"/>
      <c r="AB174" s="139"/>
      <c r="AC174" s="139"/>
      <c r="AD174" s="139"/>
      <c r="AE174" s="139"/>
      <c r="AF174" s="139"/>
      <c r="AG174" s="139"/>
      <c r="AH174" s="139"/>
      <c r="AI174" s="139"/>
      <c r="AJ174" s="139"/>
      <c r="AK174" s="139"/>
      <c r="AL174" s="139"/>
      <c r="AM174" s="139"/>
      <c r="AN174" s="139"/>
      <c r="AO174" s="139"/>
      <c r="AP174" s="139"/>
      <c r="AQ174" s="139"/>
      <c r="AR174" s="139"/>
      <c r="AS174" s="139"/>
      <c r="AT174" s="139"/>
      <c r="AU174" s="139"/>
      <c r="AV174" s="139"/>
      <c r="AW174" s="139"/>
      <c r="AX174" s="139"/>
      <c r="AY174" s="139"/>
      <c r="AZ174" s="139"/>
      <c r="BA174" s="139"/>
      <c r="BB174" s="139"/>
      <c r="BC174" s="139"/>
      <c r="BD174" s="139"/>
      <c r="BE174" s="139"/>
      <c r="BF174" s="139"/>
      <c r="BG174" s="139"/>
      <c r="BH174" s="139"/>
      <c r="BI174" s="139"/>
      <c r="BJ174" s="139"/>
      <c r="BK174" s="139"/>
      <c r="BL174" s="139"/>
      <c r="BM174" s="139"/>
      <c r="BN174" s="139"/>
      <c r="BO174" s="139"/>
      <c r="BP174" s="139"/>
      <c r="BQ174" s="139"/>
      <c r="BR174" s="139"/>
      <c r="BS174" s="139"/>
      <c r="BT174" s="139"/>
      <c r="BU174" s="139"/>
      <c r="BV174" s="139"/>
      <c r="BW174" s="139"/>
      <c r="BX174" s="139"/>
      <c r="BY174" s="139"/>
      <c r="BZ174" s="139"/>
      <c r="CA174" s="139"/>
      <c r="CB174" s="139"/>
      <c r="CC174" s="139"/>
      <c r="CD174" s="139"/>
      <c r="CE174" s="139"/>
      <c r="CF174" s="139"/>
      <c r="CG174" s="139"/>
      <c r="CH174" s="139"/>
      <c r="CI174" s="139"/>
      <c r="CJ174" s="139"/>
      <c r="CK174" s="139"/>
      <c r="CL174" s="139"/>
      <c r="CM174" s="139"/>
      <c r="CN174" s="139"/>
      <c r="CO174" s="139"/>
      <c r="CP174" s="139"/>
      <c r="CQ174" s="139"/>
      <c r="CR174" s="139"/>
      <c r="CS174" s="139"/>
      <c r="CT174" s="139"/>
      <c r="CU174" s="139"/>
      <c r="CV174" s="139"/>
      <c r="CW174" s="139"/>
      <c r="CX174" s="139"/>
      <c r="CY174" s="139"/>
      <c r="CZ174" s="139"/>
      <c r="DA174" s="139"/>
      <c r="DB174" s="139"/>
      <c r="DC174" s="139"/>
      <c r="DD174" s="139"/>
      <c r="DE174" s="139"/>
      <c r="DF174" s="139"/>
      <c r="DG174" s="139"/>
      <c r="DH174" s="139"/>
      <c r="DI174" s="139"/>
      <c r="DJ174" s="139"/>
      <c r="DK174" s="139"/>
      <c r="DL174" s="139"/>
      <c r="DM174" s="139"/>
      <c r="DN174" s="139"/>
      <c r="DO174" s="139"/>
      <c r="DP174" s="139"/>
      <c r="DQ174" s="139"/>
      <c r="DR174" s="139"/>
      <c r="DS174" s="139"/>
      <c r="DT174" s="139"/>
      <c r="DU174" s="139"/>
      <c r="DV174" s="139"/>
      <c r="DW174" s="139"/>
      <c r="DX174" s="139"/>
      <c r="DY174" s="139"/>
      <c r="DZ174" s="139"/>
      <c r="EA174" s="139"/>
      <c r="EB174" s="139"/>
      <c r="EC174" s="139"/>
      <c r="ED174" s="139"/>
      <c r="EE174" s="139"/>
      <c r="EF174" s="139"/>
      <c r="EG174" s="139"/>
      <c r="EH174" s="139"/>
      <c r="EI174" s="139"/>
      <c r="EJ174" s="139"/>
      <c r="EK174" s="139"/>
      <c r="EL174" s="139"/>
      <c r="EM174" s="139"/>
      <c r="EN174" s="139"/>
      <c r="EO174" s="139"/>
      <c r="EP174" s="139"/>
      <c r="EQ174" s="139"/>
      <c r="ER174" s="139"/>
      <c r="ES174" s="139"/>
      <c r="ET174" s="139"/>
      <c r="EU174" s="139"/>
      <c r="EV174" s="139"/>
      <c r="EW174" s="139"/>
      <c r="EX174" s="139"/>
      <c r="EY174" s="139"/>
      <c r="EZ174" s="139"/>
      <c r="FA174" s="139"/>
      <c r="FB174" s="139"/>
      <c r="FC174" s="139"/>
      <c r="FD174" s="139"/>
      <c r="FE174" s="139"/>
      <c r="FF174" s="139"/>
      <c r="FG174" s="139"/>
      <c r="FH174" s="139"/>
      <c r="FI174" s="139"/>
      <c r="FJ174" s="139"/>
      <c r="FK174" s="139"/>
      <c r="FL174" s="139"/>
      <c r="FM174" s="139"/>
      <c r="FN174" s="139"/>
      <c r="FO174" s="139"/>
      <c r="FP174" s="139"/>
      <c r="FQ174" s="139"/>
      <c r="FR174" s="139"/>
      <c r="FS174" s="139"/>
      <c r="FT174" s="139"/>
      <c r="FU174" s="139"/>
      <c r="FV174" s="139"/>
      <c r="FW174" s="139"/>
      <c r="FX174" s="139"/>
      <c r="FY174" s="139"/>
      <c r="FZ174" s="139"/>
      <c r="GA174" s="139"/>
      <c r="GB174" s="139"/>
      <c r="GC174" s="139"/>
      <c r="GD174" s="139"/>
      <c r="GE174" s="139"/>
      <c r="GF174" s="139"/>
      <c r="GG174" s="139"/>
      <c r="GH174" s="139"/>
      <c r="GI174" s="139"/>
      <c r="GJ174" s="139"/>
      <c r="GK174" s="139"/>
      <c r="GL174" s="139"/>
      <c r="GM174" s="139"/>
      <c r="GN174" s="139"/>
      <c r="GO174" s="139"/>
      <c r="GP174" s="139"/>
      <c r="GQ174" s="139"/>
      <c r="GR174" s="139"/>
      <c r="GS174" s="139"/>
      <c r="GT174" s="139"/>
      <c r="GU174" s="139"/>
      <c r="GV174" s="139"/>
      <c r="GW174" s="139"/>
      <c r="GX174" s="139"/>
      <c r="GY174" s="139"/>
      <c r="GZ174" s="139"/>
      <c r="HA174" s="139"/>
      <c r="HB174" s="139"/>
      <c r="HC174" s="139"/>
      <c r="HD174" s="139"/>
      <c r="HE174" s="139"/>
      <c r="HF174" s="139"/>
      <c r="HG174" s="139"/>
      <c r="HH174" s="139"/>
      <c r="HI174" s="139"/>
      <c r="HJ174" s="139"/>
      <c r="HK174" s="139"/>
      <c r="HL174" s="139"/>
      <c r="HM174" s="139"/>
      <c r="HN174" s="139"/>
      <c r="HO174" s="139"/>
      <c r="HP174" s="139"/>
      <c r="HQ174" s="139"/>
      <c r="HR174" s="139"/>
      <c r="HS174" s="139"/>
      <c r="HT174" s="139"/>
      <c r="HU174" s="139"/>
      <c r="HV174" s="139"/>
      <c r="HW174" s="139"/>
      <c r="HX174" s="139"/>
      <c r="HY174" s="139"/>
      <c r="HZ174" s="139"/>
      <c r="IA174" s="139"/>
      <c r="IB174" s="139"/>
      <c r="IC174" s="139"/>
      <c r="ID174" s="139"/>
      <c r="IE174" s="139"/>
      <c r="IF174" s="139"/>
      <c r="IG174" s="139"/>
      <c r="IH174" s="139"/>
      <c r="II174" s="139"/>
      <c r="IJ174" s="139"/>
      <c r="IK174" s="139"/>
      <c r="IL174" s="139"/>
      <c r="IM174" s="139"/>
      <c r="IN174" s="139"/>
      <c r="IO174" s="139"/>
      <c r="IP174" s="139"/>
      <c r="IQ174" s="139"/>
      <c r="IR174" s="139"/>
      <c r="IS174" s="139"/>
    </row>
    <row r="175" spans="2:253" x14ac:dyDescent="0.3">
      <c r="B175" s="565" t="s">
        <v>344</v>
      </c>
      <c r="C175" s="156"/>
      <c r="D175" s="156"/>
      <c r="E175" s="157"/>
      <c r="F175" s="157"/>
      <c r="G175" s="157"/>
      <c r="H175" s="157"/>
      <c r="I175" s="157"/>
      <c r="J175" s="157"/>
      <c r="K175" s="157"/>
      <c r="L175" s="157"/>
      <c r="M175" s="158"/>
      <c r="N175" s="139"/>
      <c r="O175" s="139"/>
      <c r="P175" s="139"/>
      <c r="Q175" s="139"/>
      <c r="R175" s="139"/>
      <c r="S175" s="139"/>
      <c r="T175" s="139"/>
      <c r="U175" s="139"/>
      <c r="V175" s="139"/>
      <c r="W175" s="139"/>
      <c r="X175" s="139"/>
      <c r="Y175" s="139"/>
      <c r="Z175" s="139"/>
      <c r="AA175" s="139"/>
      <c r="AB175" s="139"/>
      <c r="AC175" s="139"/>
      <c r="AD175" s="139"/>
      <c r="AE175" s="139"/>
      <c r="AF175" s="139"/>
      <c r="AG175" s="139"/>
      <c r="AH175" s="139"/>
      <c r="AI175" s="139"/>
      <c r="AJ175" s="139"/>
      <c r="AK175" s="139"/>
      <c r="AL175" s="139"/>
      <c r="AM175" s="139"/>
      <c r="AN175" s="139"/>
      <c r="AO175" s="139"/>
      <c r="AP175" s="139"/>
      <c r="AQ175" s="139"/>
      <c r="AR175" s="139"/>
      <c r="AS175" s="139"/>
      <c r="AT175" s="139"/>
      <c r="AU175" s="139"/>
      <c r="AV175" s="139"/>
      <c r="AW175" s="139"/>
      <c r="AX175" s="139"/>
      <c r="AY175" s="139"/>
      <c r="AZ175" s="139"/>
      <c r="BA175" s="139"/>
      <c r="BB175" s="139"/>
      <c r="BC175" s="139"/>
      <c r="BD175" s="139"/>
      <c r="BE175" s="139"/>
      <c r="BF175" s="139"/>
      <c r="BG175" s="139"/>
      <c r="BH175" s="139"/>
      <c r="BI175" s="139"/>
      <c r="BJ175" s="139"/>
      <c r="BK175" s="139"/>
      <c r="BL175" s="139"/>
      <c r="BM175" s="139"/>
      <c r="BN175" s="139"/>
      <c r="BO175" s="139"/>
      <c r="BP175" s="139"/>
      <c r="BQ175" s="139"/>
      <c r="BR175" s="139"/>
      <c r="BS175" s="139"/>
      <c r="BT175" s="139"/>
      <c r="BU175" s="139"/>
      <c r="BV175" s="139"/>
      <c r="BW175" s="139"/>
      <c r="BX175" s="139"/>
      <c r="BY175" s="139"/>
      <c r="BZ175" s="139"/>
      <c r="CA175" s="139"/>
      <c r="CB175" s="139"/>
      <c r="CC175" s="139"/>
      <c r="CD175" s="139"/>
      <c r="CE175" s="139"/>
      <c r="CF175" s="139"/>
      <c r="CG175" s="139"/>
      <c r="CH175" s="139"/>
      <c r="CI175" s="139"/>
      <c r="CJ175" s="139"/>
      <c r="CK175" s="139"/>
      <c r="CL175" s="139"/>
      <c r="CM175" s="139"/>
      <c r="CN175" s="139"/>
      <c r="CO175" s="139"/>
      <c r="CP175" s="139"/>
      <c r="CQ175" s="139"/>
      <c r="CR175" s="139"/>
      <c r="CS175" s="139"/>
      <c r="CT175" s="139"/>
      <c r="CU175" s="139"/>
      <c r="CV175" s="139"/>
      <c r="CW175" s="139"/>
      <c r="CX175" s="139"/>
      <c r="CY175" s="139"/>
      <c r="CZ175" s="139"/>
      <c r="DA175" s="139"/>
      <c r="DB175" s="139"/>
      <c r="DC175" s="139"/>
      <c r="DD175" s="139"/>
      <c r="DE175" s="139"/>
      <c r="DF175" s="139"/>
      <c r="DG175" s="139"/>
      <c r="DH175" s="139"/>
      <c r="DI175" s="139"/>
      <c r="DJ175" s="139"/>
      <c r="DK175" s="139"/>
      <c r="DL175" s="139"/>
      <c r="DM175" s="139"/>
      <c r="DN175" s="139"/>
      <c r="DO175" s="139"/>
      <c r="DP175" s="139"/>
      <c r="DQ175" s="139"/>
      <c r="DR175" s="139"/>
      <c r="DS175" s="139"/>
      <c r="DT175" s="139"/>
      <c r="DU175" s="139"/>
      <c r="DV175" s="139"/>
      <c r="DW175" s="139"/>
      <c r="DX175" s="139"/>
      <c r="DY175" s="139"/>
      <c r="DZ175" s="139"/>
      <c r="EA175" s="139"/>
      <c r="EB175" s="139"/>
      <c r="EC175" s="139"/>
      <c r="ED175" s="139"/>
      <c r="EE175" s="139"/>
      <c r="EF175" s="139"/>
      <c r="EG175" s="139"/>
      <c r="EH175" s="139"/>
      <c r="EI175" s="139"/>
      <c r="EJ175" s="139"/>
      <c r="EK175" s="139"/>
      <c r="EL175" s="139"/>
      <c r="EM175" s="139"/>
      <c r="EN175" s="139"/>
      <c r="EO175" s="139"/>
      <c r="EP175" s="139"/>
      <c r="EQ175" s="139"/>
      <c r="ER175" s="139"/>
      <c r="ES175" s="139"/>
      <c r="ET175" s="139"/>
      <c r="EU175" s="139"/>
      <c r="EV175" s="139"/>
      <c r="EW175" s="139"/>
      <c r="EX175" s="139"/>
      <c r="EY175" s="139"/>
      <c r="EZ175" s="139"/>
      <c r="FA175" s="139"/>
      <c r="FB175" s="139"/>
      <c r="FC175" s="139"/>
      <c r="FD175" s="139"/>
      <c r="FE175" s="139"/>
      <c r="FF175" s="139"/>
      <c r="FG175" s="139"/>
      <c r="FH175" s="139"/>
      <c r="FI175" s="139"/>
      <c r="FJ175" s="139"/>
      <c r="FK175" s="139"/>
      <c r="FL175" s="139"/>
      <c r="FM175" s="139"/>
      <c r="FN175" s="139"/>
      <c r="FO175" s="139"/>
      <c r="FP175" s="139"/>
      <c r="FQ175" s="139"/>
      <c r="FR175" s="139"/>
      <c r="FS175" s="139"/>
      <c r="FT175" s="139"/>
      <c r="FU175" s="139"/>
      <c r="FV175" s="139"/>
      <c r="FW175" s="139"/>
      <c r="FX175" s="139"/>
      <c r="FY175" s="139"/>
      <c r="FZ175" s="139"/>
      <c r="GA175" s="139"/>
      <c r="GB175" s="139"/>
      <c r="GC175" s="139"/>
      <c r="GD175" s="139"/>
      <c r="GE175" s="139"/>
      <c r="GF175" s="139"/>
      <c r="GG175" s="139"/>
      <c r="GH175" s="139"/>
      <c r="GI175" s="139"/>
      <c r="GJ175" s="139"/>
      <c r="GK175" s="139"/>
      <c r="GL175" s="139"/>
      <c r="GM175" s="139"/>
      <c r="GN175" s="139"/>
      <c r="GO175" s="139"/>
      <c r="GP175" s="139"/>
      <c r="GQ175" s="139"/>
      <c r="GR175" s="139"/>
      <c r="GS175" s="139"/>
      <c r="GT175" s="139"/>
      <c r="GU175" s="139"/>
      <c r="GV175" s="139"/>
      <c r="GW175" s="139"/>
      <c r="GX175" s="139"/>
      <c r="GY175" s="139"/>
      <c r="GZ175" s="139"/>
      <c r="HA175" s="139"/>
      <c r="HB175" s="139"/>
      <c r="HC175" s="139"/>
      <c r="HD175" s="139"/>
      <c r="HE175" s="139"/>
      <c r="HF175" s="139"/>
      <c r="HG175" s="139"/>
      <c r="HH175" s="139"/>
      <c r="HI175" s="139"/>
      <c r="HJ175" s="139"/>
      <c r="HK175" s="139"/>
      <c r="HL175" s="139"/>
      <c r="HM175" s="139"/>
      <c r="HN175" s="139"/>
      <c r="HO175" s="139"/>
      <c r="HP175" s="139"/>
      <c r="HQ175" s="139"/>
      <c r="HR175" s="139"/>
      <c r="HS175" s="139"/>
      <c r="HT175" s="139"/>
      <c r="HU175" s="139"/>
      <c r="HV175" s="139"/>
      <c r="HW175" s="139"/>
      <c r="HX175" s="139"/>
      <c r="HY175" s="139"/>
      <c r="HZ175" s="139"/>
      <c r="IA175" s="139"/>
      <c r="IB175" s="139"/>
      <c r="IC175" s="139"/>
      <c r="ID175" s="139"/>
      <c r="IE175" s="139"/>
      <c r="IF175" s="139"/>
      <c r="IG175" s="139"/>
      <c r="IH175" s="139"/>
      <c r="II175" s="139"/>
      <c r="IJ175" s="139"/>
      <c r="IK175" s="139"/>
      <c r="IL175" s="139"/>
      <c r="IM175" s="139"/>
      <c r="IN175" s="139"/>
      <c r="IO175" s="139"/>
      <c r="IP175" s="139"/>
      <c r="IQ175" s="139"/>
      <c r="IR175" s="139"/>
      <c r="IS175" s="139"/>
    </row>
    <row r="176" spans="2:253" x14ac:dyDescent="0.3">
      <c r="B176" s="566"/>
      <c r="C176" s="156"/>
      <c r="D176" s="156"/>
      <c r="E176" s="157"/>
      <c r="F176" s="157"/>
      <c r="G176" s="157"/>
      <c r="H176" s="157"/>
      <c r="I176" s="157"/>
      <c r="J176" s="157"/>
      <c r="K176" s="157"/>
      <c r="L176" s="157"/>
      <c r="M176" s="158"/>
      <c r="N176" s="139"/>
      <c r="O176" s="139"/>
      <c r="P176" s="139"/>
      <c r="Q176" s="139"/>
      <c r="R176" s="139"/>
      <c r="S176" s="139"/>
      <c r="T176" s="139"/>
      <c r="U176" s="139"/>
      <c r="V176" s="139"/>
      <c r="W176" s="139"/>
      <c r="X176" s="139"/>
      <c r="Y176" s="139"/>
      <c r="Z176" s="139"/>
      <c r="AA176" s="139"/>
      <c r="AB176" s="139"/>
      <c r="AC176" s="139"/>
      <c r="AD176" s="139"/>
      <c r="AE176" s="139"/>
      <c r="AF176" s="139"/>
      <c r="AG176" s="139"/>
      <c r="AH176" s="139"/>
      <c r="AI176" s="139"/>
      <c r="AJ176" s="139"/>
      <c r="AK176" s="139"/>
      <c r="AL176" s="139"/>
      <c r="AM176" s="139"/>
      <c r="AN176" s="139"/>
      <c r="AO176" s="139"/>
      <c r="AP176" s="139"/>
      <c r="AQ176" s="139"/>
      <c r="AR176" s="139"/>
      <c r="AS176" s="139"/>
      <c r="AT176" s="139"/>
      <c r="AU176" s="139"/>
      <c r="AV176" s="139"/>
      <c r="AW176" s="139"/>
      <c r="AX176" s="139"/>
      <c r="AY176" s="139"/>
      <c r="AZ176" s="139"/>
      <c r="BA176" s="139"/>
      <c r="BB176" s="139"/>
      <c r="BC176" s="139"/>
      <c r="BD176" s="139"/>
      <c r="BE176" s="139"/>
      <c r="BF176" s="139"/>
      <c r="BG176" s="139"/>
      <c r="BH176" s="139"/>
      <c r="BI176" s="139"/>
      <c r="BJ176" s="139"/>
      <c r="BK176" s="139"/>
      <c r="BL176" s="139"/>
      <c r="BM176" s="139"/>
      <c r="BN176" s="139"/>
      <c r="BO176" s="139"/>
      <c r="BP176" s="139"/>
      <c r="BQ176" s="139"/>
      <c r="BR176" s="139"/>
      <c r="BS176" s="139"/>
      <c r="BT176" s="139"/>
      <c r="BU176" s="139"/>
      <c r="BV176" s="139"/>
      <c r="BW176" s="139"/>
      <c r="BX176" s="139"/>
      <c r="BY176" s="139"/>
      <c r="BZ176" s="139"/>
      <c r="CA176" s="139"/>
      <c r="CB176" s="139"/>
      <c r="CC176" s="139"/>
      <c r="CD176" s="139"/>
      <c r="CE176" s="139"/>
      <c r="CF176" s="139"/>
      <c r="CG176" s="139"/>
      <c r="CH176" s="139"/>
      <c r="CI176" s="139"/>
      <c r="CJ176" s="139"/>
      <c r="CK176" s="139"/>
      <c r="CL176" s="139"/>
      <c r="CM176" s="139"/>
      <c r="CN176" s="139"/>
      <c r="CO176" s="139"/>
      <c r="CP176" s="139"/>
      <c r="CQ176" s="139"/>
      <c r="CR176" s="139"/>
      <c r="CS176" s="139"/>
      <c r="CT176" s="139"/>
      <c r="CU176" s="139"/>
      <c r="CV176" s="139"/>
      <c r="CW176" s="139"/>
      <c r="CX176" s="139"/>
      <c r="CY176" s="139"/>
      <c r="CZ176" s="139"/>
      <c r="DA176" s="139"/>
      <c r="DB176" s="139"/>
      <c r="DC176" s="139"/>
      <c r="DD176" s="139"/>
      <c r="DE176" s="139"/>
      <c r="DF176" s="139"/>
      <c r="DG176" s="139"/>
      <c r="DH176" s="139"/>
      <c r="DI176" s="139"/>
      <c r="DJ176" s="139"/>
      <c r="DK176" s="139"/>
      <c r="DL176" s="139"/>
      <c r="DM176" s="139"/>
      <c r="DN176" s="139"/>
      <c r="DO176" s="139"/>
      <c r="DP176" s="139"/>
      <c r="DQ176" s="139"/>
      <c r="DR176" s="139"/>
      <c r="DS176" s="139"/>
      <c r="DT176" s="139"/>
      <c r="DU176" s="139"/>
      <c r="DV176" s="139"/>
      <c r="DW176" s="139"/>
      <c r="DX176" s="139"/>
      <c r="DY176" s="139"/>
      <c r="DZ176" s="139"/>
      <c r="EA176" s="139"/>
      <c r="EB176" s="139"/>
      <c r="EC176" s="139"/>
      <c r="ED176" s="139"/>
      <c r="EE176" s="139"/>
      <c r="EF176" s="139"/>
      <c r="EG176" s="139"/>
      <c r="EH176" s="139"/>
      <c r="EI176" s="139"/>
      <c r="EJ176" s="139"/>
      <c r="EK176" s="139"/>
      <c r="EL176" s="139"/>
      <c r="EM176" s="139"/>
      <c r="EN176" s="139"/>
      <c r="EO176" s="139"/>
      <c r="EP176" s="139"/>
      <c r="EQ176" s="139"/>
      <c r="ER176" s="139"/>
      <c r="ES176" s="139"/>
      <c r="ET176" s="139"/>
      <c r="EU176" s="139"/>
      <c r="EV176" s="139"/>
      <c r="EW176" s="139"/>
      <c r="EX176" s="139"/>
      <c r="EY176" s="139"/>
      <c r="EZ176" s="139"/>
      <c r="FA176" s="139"/>
      <c r="FB176" s="139"/>
      <c r="FC176" s="139"/>
      <c r="FD176" s="139"/>
      <c r="FE176" s="139"/>
      <c r="FF176" s="139"/>
      <c r="FG176" s="139"/>
      <c r="FH176" s="139"/>
      <c r="FI176" s="139"/>
      <c r="FJ176" s="139"/>
      <c r="FK176" s="139"/>
      <c r="FL176" s="139"/>
      <c r="FM176" s="139"/>
      <c r="FN176" s="139"/>
      <c r="FO176" s="139"/>
      <c r="FP176" s="139"/>
      <c r="FQ176" s="139"/>
      <c r="FR176" s="139"/>
      <c r="FS176" s="139"/>
      <c r="FT176" s="139"/>
      <c r="FU176" s="139"/>
      <c r="FV176" s="139"/>
      <c r="FW176" s="139"/>
      <c r="FX176" s="139"/>
      <c r="FY176" s="139"/>
      <c r="FZ176" s="139"/>
      <c r="GA176" s="139"/>
      <c r="GB176" s="139"/>
      <c r="GC176" s="139"/>
      <c r="GD176" s="139"/>
      <c r="GE176" s="139"/>
      <c r="GF176" s="139"/>
      <c r="GG176" s="139"/>
      <c r="GH176" s="139"/>
      <c r="GI176" s="139"/>
      <c r="GJ176" s="139"/>
      <c r="GK176" s="139"/>
      <c r="GL176" s="139"/>
      <c r="GM176" s="139"/>
      <c r="GN176" s="139"/>
      <c r="GO176" s="139"/>
      <c r="GP176" s="139"/>
      <c r="GQ176" s="139"/>
      <c r="GR176" s="139"/>
      <c r="GS176" s="139"/>
      <c r="GT176" s="139"/>
      <c r="GU176" s="139"/>
      <c r="GV176" s="139"/>
      <c r="GW176" s="139"/>
      <c r="GX176" s="139"/>
      <c r="GY176" s="139"/>
      <c r="GZ176" s="139"/>
      <c r="HA176" s="139"/>
      <c r="HB176" s="139"/>
      <c r="HC176" s="139"/>
      <c r="HD176" s="139"/>
      <c r="HE176" s="139"/>
      <c r="HF176" s="139"/>
      <c r="HG176" s="139"/>
      <c r="HH176" s="139"/>
      <c r="HI176" s="139"/>
      <c r="HJ176" s="139"/>
      <c r="HK176" s="139"/>
      <c r="HL176" s="139"/>
      <c r="HM176" s="139"/>
      <c r="HN176" s="139"/>
      <c r="HO176" s="139"/>
      <c r="HP176" s="139"/>
      <c r="HQ176" s="139"/>
      <c r="HR176" s="139"/>
      <c r="HS176" s="139"/>
      <c r="HT176" s="139"/>
      <c r="HU176" s="139"/>
      <c r="HV176" s="139"/>
      <c r="HW176" s="139"/>
      <c r="HX176" s="139"/>
      <c r="HY176" s="139"/>
      <c r="HZ176" s="139"/>
      <c r="IA176" s="139"/>
      <c r="IB176" s="139"/>
      <c r="IC176" s="139"/>
      <c r="ID176" s="139"/>
      <c r="IE176" s="139"/>
      <c r="IF176" s="139"/>
      <c r="IG176" s="139"/>
      <c r="IH176" s="139"/>
      <c r="II176" s="139"/>
      <c r="IJ176" s="139"/>
      <c r="IK176" s="139"/>
      <c r="IL176" s="139"/>
      <c r="IM176" s="139"/>
      <c r="IN176" s="139"/>
      <c r="IO176" s="139"/>
      <c r="IP176" s="139"/>
      <c r="IQ176" s="139"/>
      <c r="IR176" s="139"/>
      <c r="IS176" s="139"/>
    </row>
    <row r="177" spans="2:253" x14ac:dyDescent="0.3">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39"/>
      <c r="AH177" s="139"/>
      <c r="AI177" s="139"/>
      <c r="AJ177" s="139"/>
      <c r="AK177" s="139"/>
      <c r="AL177" s="139"/>
      <c r="AM177" s="139"/>
      <c r="AN177" s="139"/>
      <c r="AO177" s="139"/>
      <c r="AP177" s="139"/>
      <c r="AQ177" s="139"/>
      <c r="AR177" s="139"/>
      <c r="AS177" s="139"/>
      <c r="AT177" s="139"/>
      <c r="AU177" s="139"/>
      <c r="AV177" s="139"/>
      <c r="AW177" s="139"/>
      <c r="AX177" s="139"/>
      <c r="AY177" s="139"/>
      <c r="AZ177" s="139"/>
      <c r="BA177" s="139"/>
      <c r="BB177" s="139"/>
      <c r="BC177" s="139"/>
      <c r="BD177" s="139"/>
      <c r="BE177" s="139"/>
      <c r="BF177" s="139"/>
      <c r="BG177" s="139"/>
      <c r="BH177" s="139"/>
      <c r="BI177" s="139"/>
      <c r="BJ177" s="139"/>
      <c r="BK177" s="139"/>
      <c r="BL177" s="139"/>
      <c r="BM177" s="139"/>
      <c r="BN177" s="139"/>
      <c r="BO177" s="139"/>
      <c r="BP177" s="139"/>
      <c r="BQ177" s="139"/>
      <c r="BR177" s="139"/>
      <c r="BS177" s="139"/>
      <c r="BT177" s="139"/>
      <c r="BU177" s="139"/>
      <c r="BV177" s="139"/>
      <c r="BW177" s="139"/>
      <c r="BX177" s="139"/>
      <c r="BY177" s="139"/>
      <c r="BZ177" s="139"/>
      <c r="CA177" s="139"/>
      <c r="CB177" s="139"/>
      <c r="CC177" s="139"/>
      <c r="CD177" s="139"/>
      <c r="CE177" s="139"/>
      <c r="CF177" s="139"/>
      <c r="CG177" s="139"/>
      <c r="CH177" s="139"/>
      <c r="CI177" s="139"/>
      <c r="CJ177" s="139"/>
      <c r="CK177" s="139"/>
      <c r="CL177" s="139"/>
      <c r="CM177" s="139"/>
      <c r="CN177" s="139"/>
      <c r="CO177" s="139"/>
      <c r="CP177" s="139"/>
      <c r="CQ177" s="139"/>
      <c r="CR177" s="139"/>
      <c r="CS177" s="139"/>
      <c r="CT177" s="139"/>
      <c r="CU177" s="139"/>
      <c r="CV177" s="139"/>
      <c r="CW177" s="139"/>
      <c r="CX177" s="139"/>
      <c r="CY177" s="139"/>
      <c r="CZ177" s="139"/>
      <c r="DA177" s="139"/>
      <c r="DB177" s="139"/>
      <c r="DC177" s="139"/>
      <c r="DD177" s="139"/>
      <c r="DE177" s="139"/>
      <c r="DF177" s="139"/>
      <c r="DG177" s="139"/>
      <c r="DH177" s="139"/>
      <c r="DI177" s="139"/>
      <c r="DJ177" s="139"/>
      <c r="DK177" s="139"/>
      <c r="DL177" s="139"/>
      <c r="DM177" s="139"/>
      <c r="DN177" s="139"/>
      <c r="DO177" s="139"/>
      <c r="DP177" s="139"/>
      <c r="DQ177" s="139"/>
      <c r="DR177" s="139"/>
      <c r="DS177" s="139"/>
      <c r="DT177" s="139"/>
      <c r="DU177" s="139"/>
      <c r="DV177" s="139"/>
      <c r="DW177" s="139"/>
      <c r="DX177" s="139"/>
      <c r="DY177" s="139"/>
      <c r="DZ177" s="139"/>
      <c r="EA177" s="139"/>
      <c r="EB177" s="139"/>
      <c r="EC177" s="139"/>
      <c r="ED177" s="139"/>
      <c r="EE177" s="139"/>
      <c r="EF177" s="139"/>
      <c r="EG177" s="139"/>
      <c r="EH177" s="139"/>
      <c r="EI177" s="139"/>
      <c r="EJ177" s="139"/>
      <c r="EK177" s="139"/>
      <c r="EL177" s="139"/>
      <c r="EM177" s="139"/>
      <c r="EN177" s="139"/>
      <c r="EO177" s="139"/>
      <c r="EP177" s="139"/>
      <c r="EQ177" s="139"/>
      <c r="ER177" s="139"/>
      <c r="ES177" s="139"/>
      <c r="ET177" s="139"/>
      <c r="EU177" s="139"/>
      <c r="EV177" s="139"/>
      <c r="EW177" s="139"/>
      <c r="EX177" s="139"/>
      <c r="EY177" s="139"/>
      <c r="EZ177" s="139"/>
      <c r="FA177" s="139"/>
      <c r="FB177" s="139"/>
      <c r="FC177" s="139"/>
      <c r="FD177" s="139"/>
      <c r="FE177" s="139"/>
      <c r="FF177" s="139"/>
      <c r="FG177" s="139"/>
      <c r="FH177" s="139"/>
      <c r="FI177" s="139"/>
      <c r="FJ177" s="139"/>
      <c r="FK177" s="139"/>
      <c r="FL177" s="139"/>
      <c r="FM177" s="139"/>
      <c r="FN177" s="139"/>
      <c r="FO177" s="139"/>
      <c r="FP177" s="139"/>
      <c r="FQ177" s="139"/>
      <c r="FR177" s="139"/>
      <c r="FS177" s="139"/>
      <c r="FT177" s="139"/>
      <c r="FU177" s="139"/>
      <c r="FV177" s="139"/>
      <c r="FW177" s="139"/>
      <c r="FX177" s="139"/>
      <c r="FY177" s="139"/>
      <c r="FZ177" s="139"/>
      <c r="GA177" s="139"/>
      <c r="GB177" s="139"/>
      <c r="GC177" s="139"/>
      <c r="GD177" s="139"/>
      <c r="GE177" s="139"/>
      <c r="GF177" s="139"/>
      <c r="GG177" s="139"/>
      <c r="GH177" s="139"/>
      <c r="GI177" s="139"/>
      <c r="GJ177" s="139"/>
      <c r="GK177" s="139"/>
      <c r="GL177" s="139"/>
      <c r="GM177" s="139"/>
      <c r="GN177" s="139"/>
      <c r="GO177" s="139"/>
      <c r="GP177" s="139"/>
      <c r="GQ177" s="139"/>
      <c r="GR177" s="139"/>
      <c r="GS177" s="139"/>
      <c r="GT177" s="139"/>
      <c r="GU177" s="139"/>
      <c r="GV177" s="139"/>
      <c r="GW177" s="139"/>
      <c r="GX177" s="139"/>
      <c r="GY177" s="139"/>
      <c r="GZ177" s="139"/>
      <c r="HA177" s="139"/>
      <c r="HB177" s="139"/>
      <c r="HC177" s="139"/>
      <c r="HD177" s="139"/>
      <c r="HE177" s="139"/>
      <c r="HF177" s="139"/>
      <c r="HG177" s="139"/>
      <c r="HH177" s="139"/>
      <c r="HI177" s="139"/>
      <c r="HJ177" s="139"/>
      <c r="HK177" s="139"/>
      <c r="HL177" s="139"/>
      <c r="HM177" s="139"/>
      <c r="HN177" s="139"/>
      <c r="HO177" s="139"/>
      <c r="HP177" s="139"/>
      <c r="HQ177" s="139"/>
      <c r="HR177" s="139"/>
      <c r="HS177" s="139"/>
      <c r="HT177" s="139"/>
      <c r="HU177" s="139"/>
      <c r="HV177" s="139"/>
      <c r="HW177" s="139"/>
      <c r="HX177" s="139"/>
      <c r="HY177" s="139"/>
      <c r="HZ177" s="139"/>
      <c r="IA177" s="139"/>
      <c r="IB177" s="139"/>
      <c r="IC177" s="139"/>
      <c r="ID177" s="139"/>
      <c r="IE177" s="139"/>
      <c r="IF177" s="139"/>
      <c r="IG177" s="139"/>
      <c r="IH177" s="139"/>
      <c r="II177" s="139"/>
      <c r="IJ177" s="139"/>
      <c r="IK177" s="139"/>
      <c r="IL177" s="139"/>
      <c r="IM177" s="139"/>
      <c r="IN177" s="139"/>
      <c r="IO177" s="139"/>
      <c r="IP177" s="139"/>
      <c r="IQ177" s="139"/>
      <c r="IR177" s="139"/>
      <c r="IS177" s="139"/>
    </row>
    <row r="178" spans="2:253" ht="21" x14ac:dyDescent="0.3">
      <c r="B178" s="138" t="s">
        <v>345</v>
      </c>
      <c r="D178" s="159"/>
      <c r="E178" s="139"/>
      <c r="F178" s="139"/>
      <c r="G178" s="139"/>
      <c r="H178" s="144"/>
      <c r="I178" s="139"/>
      <c r="J178" s="139"/>
      <c r="K178" s="139"/>
      <c r="L178" s="139"/>
      <c r="M178" s="139"/>
      <c r="N178" s="139"/>
      <c r="O178" s="139"/>
      <c r="P178" s="139"/>
      <c r="Q178" s="139"/>
      <c r="R178" s="158"/>
      <c r="S178" s="139"/>
      <c r="T178" s="139"/>
      <c r="U178" s="139"/>
      <c r="V178" s="139"/>
      <c r="W178" s="139"/>
      <c r="X178" s="139"/>
      <c r="Y178" s="139"/>
      <c r="Z178" s="139"/>
      <c r="AA178" s="139"/>
      <c r="AB178" s="139"/>
      <c r="AC178" s="139"/>
      <c r="AD178" s="139"/>
      <c r="AE178" s="139"/>
      <c r="AF178" s="139"/>
      <c r="AG178" s="139"/>
      <c r="AH178" s="139"/>
      <c r="AI178" s="139"/>
      <c r="AJ178" s="139"/>
      <c r="AK178" s="139"/>
      <c r="AL178" s="139"/>
      <c r="AM178" s="139"/>
      <c r="AN178" s="139"/>
      <c r="AO178" s="139"/>
      <c r="AP178" s="139"/>
      <c r="AQ178" s="139"/>
      <c r="AR178" s="139"/>
      <c r="AS178" s="139"/>
      <c r="AT178" s="139"/>
      <c r="AU178" s="139"/>
      <c r="AV178" s="139"/>
      <c r="AW178" s="139"/>
      <c r="AX178" s="139"/>
      <c r="AY178" s="139"/>
      <c r="AZ178" s="139"/>
      <c r="BA178" s="139"/>
      <c r="BB178" s="139"/>
      <c r="BC178" s="139"/>
      <c r="BD178" s="139"/>
      <c r="BE178" s="139"/>
      <c r="BF178" s="139"/>
      <c r="BG178" s="139"/>
      <c r="BH178" s="139"/>
      <c r="BI178" s="139"/>
      <c r="BJ178" s="139"/>
      <c r="BK178" s="139"/>
      <c r="BL178" s="139"/>
      <c r="BM178" s="139"/>
      <c r="BN178" s="139"/>
      <c r="BO178" s="139"/>
      <c r="BP178" s="139"/>
      <c r="BQ178" s="139"/>
      <c r="BR178" s="139"/>
      <c r="BS178" s="139"/>
      <c r="BT178" s="139"/>
      <c r="BU178" s="139"/>
      <c r="BV178" s="139"/>
      <c r="BW178" s="139"/>
      <c r="BX178" s="139"/>
      <c r="BY178" s="139"/>
      <c r="BZ178" s="139"/>
      <c r="CA178" s="139"/>
      <c r="CB178" s="139"/>
      <c r="CC178" s="139"/>
      <c r="CD178" s="139"/>
      <c r="CE178" s="139"/>
      <c r="CF178" s="139"/>
      <c r="CG178" s="139"/>
      <c r="CH178" s="139"/>
      <c r="CI178" s="139"/>
      <c r="CJ178" s="139"/>
      <c r="CK178" s="139"/>
      <c r="CL178" s="139"/>
      <c r="CM178" s="139"/>
      <c r="CN178" s="139"/>
      <c r="CO178" s="139"/>
      <c r="CP178" s="139"/>
      <c r="CQ178" s="139"/>
      <c r="CR178" s="139"/>
      <c r="CS178" s="139"/>
      <c r="CT178" s="139"/>
      <c r="CU178" s="139"/>
      <c r="CV178" s="139"/>
      <c r="CW178" s="139"/>
      <c r="CX178" s="139"/>
      <c r="CY178" s="139"/>
      <c r="CZ178" s="139"/>
      <c r="DA178" s="139"/>
      <c r="DB178" s="139"/>
      <c r="DC178" s="139"/>
      <c r="DD178" s="139"/>
      <c r="DE178" s="139"/>
      <c r="DF178" s="139"/>
      <c r="DG178" s="139"/>
      <c r="DH178" s="139"/>
      <c r="DI178" s="139"/>
      <c r="DJ178" s="139"/>
      <c r="DK178" s="139"/>
      <c r="DL178" s="139"/>
      <c r="DM178" s="139"/>
      <c r="DN178" s="139"/>
      <c r="DO178" s="139"/>
      <c r="DP178" s="139"/>
      <c r="DQ178" s="139"/>
      <c r="DR178" s="139"/>
      <c r="DS178" s="139"/>
      <c r="DT178" s="139"/>
      <c r="DU178" s="139"/>
      <c r="DV178" s="139"/>
      <c r="DW178" s="139"/>
      <c r="DX178" s="139"/>
      <c r="DY178" s="139"/>
      <c r="DZ178" s="139"/>
      <c r="EA178" s="139"/>
      <c r="EB178" s="139"/>
      <c r="EC178" s="139"/>
      <c r="ED178" s="139"/>
      <c r="EE178" s="139"/>
      <c r="EF178" s="139"/>
      <c r="EG178" s="139"/>
      <c r="EH178" s="139"/>
      <c r="EI178" s="139"/>
      <c r="EJ178" s="139"/>
      <c r="EK178" s="139"/>
      <c r="EL178" s="139"/>
      <c r="EM178" s="139"/>
      <c r="EN178" s="139"/>
      <c r="EO178" s="139"/>
      <c r="EP178" s="139"/>
      <c r="EQ178" s="139"/>
      <c r="ER178" s="139"/>
      <c r="ES178" s="139"/>
      <c r="ET178" s="139"/>
      <c r="EU178" s="139"/>
      <c r="EV178" s="139"/>
      <c r="EW178" s="139"/>
      <c r="EX178" s="139"/>
      <c r="EY178" s="139"/>
      <c r="EZ178" s="139"/>
      <c r="FA178" s="139"/>
      <c r="FB178" s="139"/>
      <c r="FC178" s="139"/>
      <c r="FD178" s="139"/>
      <c r="FE178" s="139"/>
      <c r="FF178" s="139"/>
      <c r="FG178" s="139"/>
      <c r="FH178" s="139"/>
      <c r="FI178" s="139"/>
      <c r="FJ178" s="139"/>
      <c r="FK178" s="139"/>
      <c r="FL178" s="139"/>
      <c r="FM178" s="139"/>
      <c r="FN178" s="139"/>
      <c r="FO178" s="139"/>
      <c r="FP178" s="139"/>
      <c r="FQ178" s="139"/>
      <c r="FR178" s="139"/>
      <c r="FS178" s="139"/>
      <c r="FT178" s="139"/>
      <c r="FU178" s="139"/>
      <c r="FV178" s="139"/>
      <c r="FW178" s="139"/>
      <c r="FX178" s="139"/>
      <c r="FY178" s="139"/>
      <c r="FZ178" s="139"/>
      <c r="GA178" s="139"/>
      <c r="GB178" s="139"/>
      <c r="GC178" s="139"/>
      <c r="GD178" s="139"/>
      <c r="GE178" s="139"/>
      <c r="GF178" s="139"/>
      <c r="GG178" s="139"/>
      <c r="GH178" s="139"/>
      <c r="GI178" s="139"/>
      <c r="GJ178" s="139"/>
      <c r="GK178" s="139"/>
      <c r="GL178" s="139"/>
      <c r="GM178" s="139"/>
      <c r="GN178" s="139"/>
      <c r="GO178" s="139"/>
      <c r="GP178" s="139"/>
      <c r="GQ178" s="139"/>
      <c r="GR178" s="139"/>
      <c r="GS178" s="139"/>
      <c r="GT178" s="139"/>
      <c r="GU178" s="139"/>
      <c r="GV178" s="139"/>
      <c r="GW178" s="139"/>
      <c r="GX178" s="139"/>
      <c r="GY178" s="139"/>
      <c r="GZ178" s="139"/>
      <c r="HA178" s="139"/>
      <c r="HB178" s="139"/>
      <c r="HC178" s="139"/>
      <c r="HD178" s="139"/>
      <c r="HE178" s="139"/>
      <c r="HF178" s="139"/>
      <c r="HG178" s="139"/>
      <c r="HH178" s="139"/>
      <c r="HI178" s="139"/>
      <c r="HJ178" s="139"/>
      <c r="HK178" s="139"/>
      <c r="HL178" s="139"/>
      <c r="HM178" s="139"/>
      <c r="HN178" s="139"/>
      <c r="HO178" s="139"/>
      <c r="HP178" s="139"/>
      <c r="HQ178" s="139"/>
      <c r="HR178" s="139"/>
      <c r="HS178" s="139"/>
      <c r="HT178" s="139"/>
      <c r="HU178" s="139"/>
      <c r="HV178" s="139"/>
      <c r="HW178" s="139"/>
      <c r="HX178" s="139"/>
      <c r="HY178" s="139"/>
      <c r="HZ178" s="139"/>
      <c r="IA178" s="139"/>
      <c r="IB178" s="139"/>
      <c r="IC178" s="139"/>
      <c r="ID178" s="139"/>
      <c r="IE178" s="139"/>
      <c r="IF178" s="139"/>
      <c r="IG178" s="139"/>
      <c r="IH178" s="139"/>
      <c r="II178" s="139"/>
      <c r="IJ178" s="139"/>
      <c r="IK178" s="139"/>
      <c r="IL178" s="139"/>
      <c r="IM178" s="139"/>
      <c r="IN178" s="139"/>
      <c r="IO178" s="139"/>
      <c r="IP178" s="139"/>
      <c r="IQ178" s="139"/>
      <c r="IR178" s="139"/>
      <c r="IS178" s="139"/>
    </row>
    <row r="179" spans="2:253" ht="15" thickBot="1" x14ac:dyDescent="0.35">
      <c r="B179" s="139"/>
      <c r="C179" s="139"/>
      <c r="D179" s="139"/>
      <c r="E179" s="139"/>
      <c r="F179" s="139"/>
      <c r="G179" s="139"/>
      <c r="H179" s="139"/>
      <c r="I179" s="139"/>
      <c r="J179" s="139"/>
      <c r="K179" s="139"/>
      <c r="L179" s="142"/>
      <c r="M179" s="139"/>
      <c r="N179" s="139"/>
      <c r="O179" s="139"/>
      <c r="P179" s="139"/>
      <c r="Q179" s="139"/>
      <c r="R179" s="139"/>
      <c r="S179" s="139"/>
      <c r="T179" s="139"/>
      <c r="U179" s="139"/>
      <c r="V179" s="139"/>
      <c r="W179" s="139"/>
      <c r="X179" s="139"/>
      <c r="Y179" s="139"/>
      <c r="Z179" s="139"/>
      <c r="AA179" s="139"/>
      <c r="AB179" s="139"/>
      <c r="AC179" s="139"/>
      <c r="AD179" s="139"/>
      <c r="AE179" s="139"/>
      <c r="AF179" s="139"/>
      <c r="AG179" s="139"/>
      <c r="AH179" s="139"/>
      <c r="AI179" s="139"/>
      <c r="AJ179" s="139"/>
      <c r="AK179" s="139"/>
      <c r="AL179" s="139"/>
      <c r="AM179" s="139"/>
      <c r="AN179" s="139"/>
      <c r="AO179" s="139"/>
      <c r="AP179" s="139"/>
      <c r="AQ179" s="139"/>
      <c r="AR179" s="139"/>
      <c r="AS179" s="139"/>
      <c r="AT179" s="139"/>
      <c r="AU179" s="139"/>
      <c r="AV179" s="139"/>
      <c r="AW179" s="139"/>
      <c r="AX179" s="139"/>
      <c r="AY179" s="139"/>
      <c r="AZ179" s="139"/>
      <c r="BA179" s="139"/>
      <c r="BB179" s="139"/>
      <c r="BC179" s="139"/>
      <c r="BD179" s="139"/>
      <c r="BE179" s="139"/>
      <c r="BF179" s="139"/>
      <c r="BG179" s="139"/>
      <c r="BH179" s="139"/>
      <c r="BI179" s="139"/>
      <c r="BJ179" s="139"/>
      <c r="BK179" s="139"/>
      <c r="BL179" s="139"/>
      <c r="BM179" s="139"/>
      <c r="BN179" s="139"/>
      <c r="BO179" s="139"/>
      <c r="BP179" s="139"/>
      <c r="BQ179" s="139"/>
      <c r="BR179" s="139"/>
      <c r="BS179" s="139"/>
      <c r="BT179" s="139"/>
      <c r="BU179" s="139"/>
      <c r="BV179" s="139"/>
      <c r="BW179" s="139"/>
      <c r="BX179" s="139"/>
      <c r="BY179" s="139"/>
      <c r="BZ179" s="139"/>
      <c r="CA179" s="139"/>
      <c r="CB179" s="139"/>
      <c r="CC179" s="139"/>
      <c r="CD179" s="139"/>
      <c r="CE179" s="139"/>
      <c r="CF179" s="139"/>
      <c r="CG179" s="139"/>
      <c r="CH179" s="139"/>
      <c r="CI179" s="139"/>
      <c r="CJ179" s="139"/>
      <c r="CK179" s="139"/>
      <c r="CL179" s="139"/>
      <c r="CM179" s="139"/>
      <c r="CN179" s="139"/>
      <c r="CO179" s="139"/>
      <c r="CP179" s="139"/>
      <c r="CQ179" s="139"/>
      <c r="CR179" s="139"/>
      <c r="CS179" s="139"/>
      <c r="CT179" s="139"/>
      <c r="CU179" s="139"/>
      <c r="CV179" s="139"/>
      <c r="CW179" s="139"/>
      <c r="CX179" s="139"/>
      <c r="CY179" s="139"/>
      <c r="CZ179" s="139"/>
      <c r="DA179" s="139"/>
      <c r="DB179" s="139"/>
      <c r="DC179" s="139"/>
      <c r="DD179" s="139"/>
      <c r="DE179" s="139"/>
      <c r="DF179" s="139"/>
      <c r="DG179" s="139"/>
      <c r="DH179" s="139"/>
      <c r="DI179" s="139"/>
      <c r="DJ179" s="139"/>
      <c r="DK179" s="139"/>
      <c r="DL179" s="139"/>
      <c r="DM179" s="139"/>
      <c r="DN179" s="139"/>
      <c r="DO179" s="139"/>
      <c r="DP179" s="139"/>
      <c r="DQ179" s="139"/>
      <c r="DR179" s="139"/>
      <c r="DS179" s="139"/>
      <c r="DT179" s="139"/>
      <c r="DU179" s="139"/>
      <c r="DV179" s="139"/>
      <c r="DW179" s="139"/>
      <c r="DX179" s="139"/>
      <c r="DY179" s="139"/>
      <c r="DZ179" s="139"/>
      <c r="EA179" s="139"/>
      <c r="EB179" s="139"/>
      <c r="EC179" s="139"/>
      <c r="ED179" s="139"/>
      <c r="EE179" s="139"/>
      <c r="EF179" s="139"/>
      <c r="EG179" s="139"/>
      <c r="EH179" s="139"/>
      <c r="EI179" s="139"/>
      <c r="EJ179" s="139"/>
      <c r="EK179" s="139"/>
      <c r="EL179" s="139"/>
      <c r="EM179" s="139"/>
      <c r="EN179" s="139"/>
      <c r="EO179" s="139"/>
      <c r="EP179" s="139"/>
      <c r="EQ179" s="139"/>
      <c r="ER179" s="139"/>
      <c r="ES179" s="139"/>
      <c r="ET179" s="139"/>
      <c r="EU179" s="139"/>
      <c r="EV179" s="139"/>
      <c r="EW179" s="139"/>
      <c r="EX179" s="139"/>
      <c r="EY179" s="139"/>
      <c r="EZ179" s="139"/>
      <c r="FA179" s="139"/>
      <c r="FB179" s="139"/>
      <c r="FC179" s="139"/>
      <c r="FD179" s="139"/>
      <c r="FE179" s="139"/>
      <c r="FF179" s="139"/>
      <c r="FG179" s="139"/>
      <c r="FH179" s="139"/>
      <c r="FI179" s="139"/>
      <c r="FJ179" s="139"/>
      <c r="FK179" s="139"/>
      <c r="FL179" s="139"/>
      <c r="FM179" s="139"/>
      <c r="FN179" s="139"/>
      <c r="FO179" s="139"/>
      <c r="FP179" s="139"/>
      <c r="FQ179" s="139"/>
      <c r="FR179" s="139"/>
      <c r="FS179" s="139"/>
      <c r="FT179" s="139"/>
      <c r="FU179" s="139"/>
      <c r="FV179" s="139"/>
      <c r="FW179" s="139"/>
      <c r="FX179" s="139"/>
      <c r="FY179" s="139"/>
      <c r="FZ179" s="139"/>
      <c r="GA179" s="139"/>
      <c r="GB179" s="139"/>
      <c r="GC179" s="139"/>
      <c r="GD179" s="139"/>
      <c r="GE179" s="139"/>
      <c r="GF179" s="139"/>
      <c r="GG179" s="139"/>
      <c r="GH179" s="139"/>
      <c r="GI179" s="139"/>
      <c r="GJ179" s="139"/>
      <c r="GK179" s="139"/>
      <c r="GL179" s="139"/>
      <c r="GM179" s="139"/>
      <c r="GN179" s="139"/>
      <c r="GO179" s="139"/>
      <c r="GP179" s="139"/>
      <c r="GQ179" s="139"/>
      <c r="GR179" s="139"/>
      <c r="GS179" s="139"/>
      <c r="GT179" s="139"/>
      <c r="GU179" s="139"/>
      <c r="GV179" s="139"/>
      <c r="GW179" s="139"/>
      <c r="GX179" s="139"/>
      <c r="GY179" s="139"/>
      <c r="GZ179" s="139"/>
      <c r="HA179" s="139"/>
      <c r="HB179" s="139"/>
      <c r="HC179" s="139"/>
      <c r="HD179" s="139"/>
      <c r="HE179" s="139"/>
      <c r="HF179" s="139"/>
      <c r="HG179" s="139"/>
      <c r="HH179" s="139"/>
      <c r="HI179" s="139"/>
      <c r="HJ179" s="139"/>
      <c r="HK179" s="139"/>
      <c r="HL179" s="139"/>
      <c r="HM179" s="139"/>
      <c r="HN179" s="139"/>
      <c r="HO179" s="139"/>
      <c r="HP179" s="139"/>
      <c r="HQ179" s="139"/>
      <c r="HR179" s="139"/>
      <c r="HS179" s="139"/>
      <c r="HT179" s="139"/>
      <c r="HU179" s="139"/>
      <c r="HV179" s="139"/>
      <c r="HW179" s="139"/>
      <c r="HX179" s="139"/>
      <c r="HY179" s="139"/>
      <c r="HZ179" s="139"/>
      <c r="IA179" s="139"/>
      <c r="IB179" s="139"/>
      <c r="IC179" s="139"/>
      <c r="ID179" s="139"/>
      <c r="IE179" s="139"/>
      <c r="IF179" s="139"/>
      <c r="IG179" s="139"/>
      <c r="IH179" s="139"/>
      <c r="II179" s="139"/>
      <c r="IJ179" s="139"/>
      <c r="IK179" s="139"/>
      <c r="IL179" s="139"/>
      <c r="IM179" s="139"/>
      <c r="IN179" s="139"/>
      <c r="IO179" s="139"/>
      <c r="IP179" s="139"/>
      <c r="IQ179" s="139"/>
      <c r="IR179" s="139"/>
      <c r="IS179" s="139"/>
    </row>
    <row r="180" spans="2:253" x14ac:dyDescent="0.3">
      <c r="B180" s="272" t="s">
        <v>199</v>
      </c>
      <c r="C180" s="720" t="s">
        <v>200</v>
      </c>
      <c r="D180" s="1341" t="s">
        <v>254</v>
      </c>
      <c r="E180" s="1318"/>
      <c r="F180" s="1318"/>
      <c r="G180" s="1318"/>
      <c r="H180" s="1318"/>
      <c r="I180" s="1318"/>
      <c r="J180" s="1318"/>
      <c r="K180" s="1318"/>
      <c r="L180" s="1318"/>
      <c r="M180" s="1318"/>
      <c r="N180" s="1318"/>
      <c r="O180" s="1318"/>
      <c r="P180" s="1318"/>
      <c r="Q180" s="1319"/>
      <c r="R180" s="1341" t="s">
        <v>346</v>
      </c>
      <c r="S180" s="1318"/>
      <c r="T180" s="1318"/>
      <c r="U180" s="1318"/>
      <c r="V180" s="1318"/>
      <c r="W180" s="1318"/>
      <c r="X180" s="1318"/>
      <c r="Y180" s="1319"/>
      <c r="Z180" s="1341" t="s">
        <v>96</v>
      </c>
      <c r="AA180" s="1318"/>
      <c r="AB180" s="1318"/>
      <c r="AC180" s="1318"/>
      <c r="AD180" s="1318"/>
      <c r="AE180" s="1319"/>
      <c r="AF180" s="139"/>
      <c r="AG180" s="139"/>
      <c r="AH180" s="139"/>
      <c r="AI180" s="139"/>
      <c r="AJ180" s="139"/>
      <c r="AK180" s="139"/>
      <c r="AL180" s="139"/>
      <c r="AM180" s="139"/>
      <c r="AN180" s="139"/>
      <c r="AO180" s="139"/>
      <c r="AP180" s="139"/>
      <c r="AQ180" s="139"/>
      <c r="AR180" s="139"/>
      <c r="AS180" s="139"/>
      <c r="AT180" s="139"/>
      <c r="AU180" s="139"/>
      <c r="AV180" s="139"/>
      <c r="AW180" s="139"/>
      <c r="AX180" s="139"/>
      <c r="AY180" s="139"/>
      <c r="AZ180" s="139"/>
      <c r="BA180" s="139"/>
      <c r="BB180" s="139"/>
      <c r="BC180" s="139"/>
      <c r="BD180" s="139"/>
      <c r="BE180" s="139"/>
      <c r="BF180" s="139"/>
      <c r="BG180" s="139"/>
      <c r="BH180" s="139"/>
      <c r="BI180" s="139"/>
      <c r="BJ180" s="139"/>
      <c r="BK180" s="139"/>
      <c r="BL180" s="139"/>
      <c r="BM180" s="139"/>
      <c r="BN180" s="139"/>
      <c r="BO180" s="139"/>
      <c r="BP180" s="139"/>
      <c r="BQ180" s="139"/>
      <c r="BR180" s="139"/>
      <c r="BS180" s="139"/>
      <c r="BT180" s="139"/>
      <c r="BU180" s="139"/>
      <c r="BV180" s="139"/>
      <c r="BW180" s="139"/>
      <c r="BX180" s="139"/>
      <c r="BY180" s="139"/>
      <c r="BZ180" s="139"/>
      <c r="CA180" s="139"/>
      <c r="CB180" s="139"/>
      <c r="CC180" s="139"/>
      <c r="CD180" s="139"/>
      <c r="CE180" s="139"/>
      <c r="CF180" s="139"/>
      <c r="CG180" s="139"/>
      <c r="CH180" s="139"/>
      <c r="CI180" s="139"/>
      <c r="CJ180" s="139"/>
      <c r="CK180" s="139"/>
      <c r="CL180" s="139"/>
      <c r="CM180" s="139"/>
      <c r="CN180" s="139"/>
      <c r="CO180" s="139"/>
      <c r="CP180" s="139"/>
      <c r="CQ180" s="139"/>
      <c r="CR180" s="139"/>
      <c r="CS180" s="139"/>
      <c r="CT180" s="139"/>
      <c r="CU180" s="139"/>
      <c r="CV180" s="139"/>
      <c r="CW180" s="139"/>
      <c r="CX180" s="139"/>
      <c r="CY180" s="139"/>
      <c r="CZ180" s="139"/>
      <c r="DA180" s="139"/>
      <c r="DB180" s="139"/>
      <c r="DC180" s="139"/>
      <c r="DD180" s="139"/>
      <c r="DE180" s="139"/>
      <c r="DF180" s="139"/>
      <c r="DG180" s="139"/>
      <c r="DH180" s="139"/>
      <c r="DI180" s="139"/>
      <c r="DJ180" s="139"/>
      <c r="DK180" s="139"/>
      <c r="DL180" s="139"/>
      <c r="DM180" s="139"/>
      <c r="DN180" s="139"/>
      <c r="DO180" s="139"/>
      <c r="DP180" s="139"/>
      <c r="DQ180" s="139"/>
      <c r="DR180" s="139"/>
      <c r="DS180" s="139"/>
      <c r="DT180" s="139"/>
      <c r="DU180" s="139"/>
      <c r="DV180" s="139"/>
      <c r="DW180" s="139"/>
      <c r="DX180" s="139"/>
      <c r="DY180" s="139"/>
      <c r="DZ180" s="139"/>
      <c r="EA180" s="139"/>
      <c r="EB180" s="139"/>
      <c r="EC180" s="139"/>
      <c r="ED180" s="139"/>
      <c r="EE180" s="139"/>
      <c r="EF180" s="139"/>
      <c r="EG180" s="139"/>
      <c r="EH180" s="139"/>
      <c r="EI180" s="139"/>
      <c r="EJ180" s="139"/>
      <c r="EK180" s="139"/>
      <c r="EL180" s="139"/>
      <c r="EM180" s="139"/>
      <c r="EN180" s="139"/>
      <c r="EO180" s="139"/>
      <c r="EP180" s="139"/>
      <c r="EQ180" s="139"/>
      <c r="ER180" s="139"/>
      <c r="ES180" s="139"/>
      <c r="ET180" s="139"/>
      <c r="EU180" s="139"/>
      <c r="EV180" s="139"/>
      <c r="EW180" s="139"/>
      <c r="EX180" s="139"/>
      <c r="EY180" s="139"/>
      <c r="EZ180" s="139"/>
      <c r="FA180" s="139"/>
      <c r="FB180" s="139"/>
      <c r="FC180" s="139"/>
      <c r="FD180" s="139"/>
      <c r="FE180" s="139"/>
      <c r="FF180" s="139"/>
      <c r="FG180" s="139"/>
      <c r="FH180" s="139"/>
      <c r="FI180" s="139"/>
      <c r="FJ180" s="139"/>
      <c r="FK180" s="139"/>
      <c r="FL180" s="139"/>
      <c r="FM180" s="139"/>
      <c r="FN180" s="139"/>
      <c r="FO180" s="139"/>
      <c r="FP180" s="139"/>
      <c r="FQ180" s="139"/>
      <c r="FR180" s="139"/>
      <c r="FS180" s="139"/>
      <c r="FT180" s="139"/>
      <c r="FU180" s="139"/>
      <c r="FV180" s="139"/>
      <c r="FW180" s="139"/>
      <c r="FX180" s="139"/>
      <c r="FY180" s="139"/>
      <c r="FZ180" s="139"/>
      <c r="GA180" s="139"/>
      <c r="GB180" s="139"/>
      <c r="GC180" s="139"/>
      <c r="GD180" s="139"/>
      <c r="GE180" s="139"/>
      <c r="GF180" s="139"/>
      <c r="GG180" s="139"/>
      <c r="GH180" s="139"/>
      <c r="GI180" s="139"/>
      <c r="GJ180" s="139"/>
      <c r="GK180" s="139"/>
      <c r="GL180" s="139"/>
      <c r="GM180" s="139"/>
      <c r="GN180" s="139"/>
      <c r="GO180" s="139"/>
      <c r="GP180" s="139"/>
      <c r="GQ180" s="139"/>
      <c r="GR180" s="139"/>
      <c r="GS180" s="139"/>
      <c r="GT180" s="139"/>
      <c r="GU180" s="139"/>
      <c r="GV180" s="139"/>
      <c r="GW180" s="139"/>
      <c r="GX180" s="139"/>
      <c r="GY180" s="139"/>
      <c r="GZ180" s="139"/>
      <c r="HA180" s="139"/>
      <c r="HB180" s="139"/>
      <c r="HC180" s="139"/>
      <c r="HD180" s="139"/>
      <c r="HE180" s="139"/>
      <c r="HF180" s="139"/>
      <c r="HG180" s="139"/>
      <c r="HH180" s="139"/>
      <c r="HI180" s="139"/>
      <c r="HJ180" s="139"/>
      <c r="HK180" s="139"/>
      <c r="HL180" s="139"/>
      <c r="HM180" s="139"/>
      <c r="HN180" s="139"/>
      <c r="HO180" s="139"/>
      <c r="HP180" s="139"/>
      <c r="HQ180" s="139"/>
      <c r="HR180" s="139"/>
      <c r="HS180" s="139"/>
      <c r="HT180" s="139"/>
      <c r="HU180" s="139"/>
      <c r="HV180" s="139"/>
      <c r="HW180" s="139"/>
      <c r="HX180" s="139"/>
      <c r="HY180" s="139"/>
      <c r="HZ180" s="139"/>
      <c r="IA180" s="139"/>
      <c r="IB180" s="139"/>
      <c r="IC180" s="139"/>
      <c r="ID180" s="139"/>
      <c r="IE180" s="139"/>
      <c r="IF180" s="139"/>
      <c r="IG180" s="139"/>
      <c r="IH180" s="139"/>
      <c r="II180" s="139"/>
      <c r="IJ180" s="139"/>
      <c r="IK180" s="139"/>
      <c r="IL180" s="139"/>
      <c r="IM180" s="139"/>
      <c r="IN180" s="139"/>
      <c r="IO180" s="139"/>
      <c r="IP180" s="139"/>
    </row>
    <row r="181" spans="2:253" x14ac:dyDescent="0.3">
      <c r="B181" s="2"/>
      <c r="C181" s="721"/>
      <c r="D181" s="1331" t="s">
        <v>347</v>
      </c>
      <c r="E181" s="1343"/>
      <c r="F181" s="1342" t="s">
        <v>348</v>
      </c>
      <c r="G181" s="1343"/>
      <c r="H181" s="1342" t="s">
        <v>349</v>
      </c>
      <c r="I181" s="1343"/>
      <c r="J181" s="1342" t="s">
        <v>350</v>
      </c>
      <c r="K181" s="1323"/>
      <c r="L181" s="1344" t="s">
        <v>351</v>
      </c>
      <c r="M181" s="1345"/>
      <c r="N181" s="1344" t="s">
        <v>352</v>
      </c>
      <c r="O181" s="1345"/>
      <c r="P181" s="1342" t="s">
        <v>353</v>
      </c>
      <c r="Q181" s="1324"/>
      <c r="R181" s="1361" t="s">
        <v>354</v>
      </c>
      <c r="S181" s="1392"/>
      <c r="T181" s="1391" t="s">
        <v>355</v>
      </c>
      <c r="U181" s="1392"/>
      <c r="V181" s="943" t="s">
        <v>356</v>
      </c>
      <c r="W181" s="946"/>
      <c r="X181" s="960" t="s">
        <v>96</v>
      </c>
      <c r="Y181" s="961"/>
      <c r="Z181" s="1390" t="s">
        <v>292</v>
      </c>
      <c r="AA181" s="1389"/>
      <c r="AB181" s="1388" t="s">
        <v>293</v>
      </c>
      <c r="AC181" s="1389"/>
      <c r="AD181" s="960" t="s">
        <v>357</v>
      </c>
      <c r="AE181" s="961"/>
      <c r="AF181" s="139"/>
      <c r="AG181" s="139"/>
      <c r="AH181" s="139"/>
      <c r="AI181" s="139"/>
      <c r="AJ181" s="139"/>
      <c r="AK181" s="139"/>
      <c r="AL181" s="139"/>
      <c r="AM181" s="139"/>
      <c r="AN181" s="139"/>
      <c r="AO181" s="139"/>
      <c r="AP181" s="139"/>
      <c r="AQ181" s="139"/>
      <c r="AR181" s="139"/>
      <c r="AS181" s="139"/>
      <c r="AT181" s="139"/>
      <c r="AU181" s="139"/>
      <c r="AV181" s="139"/>
      <c r="AW181" s="139"/>
      <c r="AX181" s="139"/>
      <c r="AY181" s="139"/>
      <c r="AZ181" s="139"/>
      <c r="BA181" s="139"/>
      <c r="BB181" s="139"/>
      <c r="BC181" s="139"/>
      <c r="BD181" s="139"/>
      <c r="BE181" s="139"/>
      <c r="BF181" s="139"/>
      <c r="BG181" s="139"/>
      <c r="BH181" s="139"/>
      <c r="BI181" s="139"/>
      <c r="BJ181" s="139"/>
      <c r="BK181" s="139"/>
      <c r="BL181" s="139"/>
      <c r="BM181" s="139"/>
      <c r="BN181" s="139"/>
      <c r="BO181" s="139"/>
      <c r="BP181" s="139"/>
      <c r="BQ181" s="139"/>
      <c r="BR181" s="139"/>
      <c r="BS181" s="139"/>
      <c r="BT181" s="139"/>
      <c r="BU181" s="139"/>
      <c r="BV181" s="139"/>
      <c r="BW181" s="139"/>
      <c r="BX181" s="139"/>
      <c r="BY181" s="139"/>
      <c r="BZ181" s="139"/>
      <c r="CA181" s="139"/>
      <c r="CB181" s="139"/>
      <c r="CC181" s="139"/>
      <c r="CD181" s="139"/>
      <c r="CE181" s="139"/>
      <c r="CF181" s="139"/>
      <c r="CG181" s="139"/>
      <c r="CH181" s="139"/>
      <c r="CI181" s="139"/>
      <c r="CJ181" s="139"/>
      <c r="CK181" s="139"/>
      <c r="CL181" s="139"/>
      <c r="CM181" s="139"/>
      <c r="CN181" s="139"/>
      <c r="CO181" s="139"/>
      <c r="CP181" s="139"/>
      <c r="CQ181" s="139"/>
      <c r="CR181" s="139"/>
      <c r="CS181" s="139"/>
      <c r="CT181" s="139"/>
      <c r="CU181" s="139"/>
      <c r="CV181" s="139"/>
      <c r="CW181" s="139"/>
      <c r="CX181" s="139"/>
      <c r="CY181" s="139"/>
      <c r="CZ181" s="139"/>
      <c r="DA181" s="139"/>
      <c r="DB181" s="139"/>
      <c r="DC181" s="139"/>
      <c r="DD181" s="139"/>
      <c r="DE181" s="139"/>
      <c r="DF181" s="139"/>
      <c r="DG181" s="139"/>
      <c r="DH181" s="139"/>
      <c r="DI181" s="139"/>
      <c r="DJ181" s="139"/>
      <c r="DK181" s="139"/>
      <c r="DL181" s="139"/>
      <c r="DM181" s="139"/>
      <c r="DN181" s="139"/>
      <c r="DO181" s="139"/>
      <c r="DP181" s="139"/>
      <c r="DQ181" s="139"/>
      <c r="DR181" s="139"/>
      <c r="DS181" s="139"/>
      <c r="DT181" s="139"/>
      <c r="DU181" s="139"/>
      <c r="DV181" s="139"/>
      <c r="DW181" s="139"/>
      <c r="DX181" s="139"/>
      <c r="DY181" s="139"/>
      <c r="DZ181" s="139"/>
      <c r="EA181" s="139"/>
      <c r="EB181" s="139"/>
      <c r="EC181" s="139"/>
      <c r="ED181" s="139"/>
      <c r="EE181" s="139"/>
      <c r="EF181" s="139"/>
      <c r="EG181" s="139"/>
      <c r="EH181" s="139"/>
      <c r="EI181" s="139"/>
      <c r="EJ181" s="139"/>
      <c r="EK181" s="139"/>
      <c r="EL181" s="139"/>
      <c r="EM181" s="139"/>
      <c r="EN181" s="139"/>
      <c r="EO181" s="139"/>
      <c r="EP181" s="139"/>
      <c r="EQ181" s="139"/>
      <c r="ER181" s="139"/>
      <c r="ES181" s="139"/>
      <c r="ET181" s="139"/>
      <c r="EU181" s="139"/>
      <c r="EV181" s="139"/>
      <c r="EW181" s="139"/>
      <c r="EX181" s="139"/>
      <c r="EY181" s="139"/>
      <c r="EZ181" s="139"/>
      <c r="FA181" s="139"/>
      <c r="FB181" s="139"/>
      <c r="FC181" s="139"/>
      <c r="FD181" s="139"/>
      <c r="FE181" s="139"/>
      <c r="FF181" s="139"/>
      <c r="FG181" s="139"/>
      <c r="FH181" s="139"/>
      <c r="FI181" s="139"/>
      <c r="FJ181" s="139"/>
      <c r="FK181" s="139"/>
      <c r="FL181" s="139"/>
      <c r="FM181" s="139"/>
      <c r="FN181" s="139"/>
      <c r="FO181" s="139"/>
      <c r="FP181" s="139"/>
      <c r="FQ181" s="139"/>
      <c r="FR181" s="139"/>
      <c r="FS181" s="139"/>
      <c r="FT181" s="139"/>
      <c r="FU181" s="139"/>
      <c r="FV181" s="139"/>
      <c r="FW181" s="139"/>
      <c r="FX181" s="139"/>
      <c r="FY181" s="139"/>
      <c r="FZ181" s="139"/>
      <c r="GA181" s="139"/>
      <c r="GB181" s="139"/>
      <c r="GC181" s="139"/>
      <c r="GD181" s="139"/>
      <c r="GE181" s="139"/>
      <c r="GF181" s="139"/>
      <c r="GG181" s="139"/>
      <c r="GH181" s="139"/>
      <c r="GI181" s="139"/>
      <c r="GJ181" s="139"/>
      <c r="GK181" s="139"/>
      <c r="GL181" s="139"/>
      <c r="GM181" s="139"/>
      <c r="GN181" s="139"/>
      <c r="GO181" s="139"/>
      <c r="GP181" s="139"/>
      <c r="GQ181" s="139"/>
      <c r="GR181" s="139"/>
      <c r="GS181" s="139"/>
      <c r="GT181" s="139"/>
      <c r="GU181" s="139"/>
      <c r="GV181" s="139"/>
      <c r="GW181" s="139"/>
      <c r="GX181" s="139"/>
      <c r="GY181" s="139"/>
      <c r="GZ181" s="139"/>
      <c r="HA181" s="139"/>
      <c r="HB181" s="139"/>
      <c r="HC181" s="139"/>
      <c r="HD181" s="139"/>
      <c r="HE181" s="139"/>
      <c r="HF181" s="139"/>
      <c r="HG181" s="139"/>
      <c r="HH181" s="139"/>
      <c r="HI181" s="139"/>
      <c r="HJ181" s="139"/>
      <c r="HK181" s="139"/>
      <c r="HL181" s="139"/>
      <c r="HM181" s="139"/>
      <c r="HN181" s="139"/>
      <c r="HO181" s="139"/>
      <c r="HP181" s="139"/>
      <c r="HQ181" s="139"/>
      <c r="HR181" s="139"/>
      <c r="HS181" s="139"/>
      <c r="HT181" s="139"/>
      <c r="HU181" s="139"/>
      <c r="HV181" s="139"/>
      <c r="HW181" s="139"/>
      <c r="HX181" s="139"/>
      <c r="HY181" s="139"/>
      <c r="HZ181" s="139"/>
      <c r="IA181" s="139"/>
      <c r="IB181" s="139"/>
      <c r="IC181" s="139"/>
      <c r="ID181" s="139"/>
      <c r="IE181" s="139"/>
      <c r="IF181" s="139"/>
      <c r="IG181" s="139"/>
      <c r="IH181" s="139"/>
      <c r="II181" s="139"/>
      <c r="IJ181" s="139"/>
      <c r="IK181" s="139"/>
      <c r="IL181" s="139"/>
      <c r="IM181" s="139"/>
      <c r="IN181" s="139"/>
      <c r="IO181" s="139"/>
      <c r="IP181" s="139"/>
    </row>
    <row r="182" spans="2:253" ht="15.6" thickBot="1" x14ac:dyDescent="0.4">
      <c r="B182" s="3"/>
      <c r="C182" s="962"/>
      <c r="D182" s="929" t="s">
        <v>245</v>
      </c>
      <c r="E182" s="948" t="s">
        <v>334</v>
      </c>
      <c r="F182" s="928" t="s">
        <v>245</v>
      </c>
      <c r="G182" s="948" t="s">
        <v>334</v>
      </c>
      <c r="H182" s="928" t="s">
        <v>245</v>
      </c>
      <c r="I182" s="948" t="s">
        <v>334</v>
      </c>
      <c r="J182" s="928" t="s">
        <v>245</v>
      </c>
      <c r="K182" s="948" t="s">
        <v>334</v>
      </c>
      <c r="L182" s="963" t="s">
        <v>245</v>
      </c>
      <c r="M182" s="963" t="s">
        <v>358</v>
      </c>
      <c r="N182" s="963" t="s">
        <v>245</v>
      </c>
      <c r="O182" s="963" t="s">
        <v>358</v>
      </c>
      <c r="P182" s="928" t="s">
        <v>245</v>
      </c>
      <c r="Q182" s="950" t="s">
        <v>334</v>
      </c>
      <c r="R182" s="964" t="s">
        <v>245</v>
      </c>
      <c r="S182" s="965" t="s">
        <v>334</v>
      </c>
      <c r="T182" s="914" t="s">
        <v>245</v>
      </c>
      <c r="U182" s="965" t="s">
        <v>334</v>
      </c>
      <c r="V182" s="914" t="s">
        <v>245</v>
      </c>
      <c r="W182" s="966" t="s">
        <v>334</v>
      </c>
      <c r="X182" s="914" t="s">
        <v>245</v>
      </c>
      <c r="Y182" s="967" t="s">
        <v>334</v>
      </c>
      <c r="Z182" s="929" t="s">
        <v>245</v>
      </c>
      <c r="AA182" s="948" t="s">
        <v>334</v>
      </c>
      <c r="AB182" s="928" t="s">
        <v>245</v>
      </c>
      <c r="AC182" s="948" t="s">
        <v>334</v>
      </c>
      <c r="AD182" s="928" t="s">
        <v>245</v>
      </c>
      <c r="AE182" s="930" t="s">
        <v>334</v>
      </c>
      <c r="AF182" s="139"/>
      <c r="AG182" s="139"/>
      <c r="AH182" s="139"/>
      <c r="AI182" s="139"/>
      <c r="AJ182" s="139"/>
      <c r="AK182" s="139"/>
      <c r="AL182" s="139"/>
      <c r="AM182" s="139"/>
      <c r="AN182" s="139"/>
      <c r="AO182" s="139"/>
      <c r="AP182" s="139"/>
      <c r="AQ182" s="139"/>
      <c r="AR182" s="139"/>
      <c r="AS182" s="139"/>
      <c r="AT182" s="139"/>
      <c r="AU182" s="139"/>
      <c r="AV182" s="139"/>
      <c r="AW182" s="139"/>
      <c r="AX182" s="139"/>
      <c r="AY182" s="139"/>
      <c r="AZ182" s="139"/>
      <c r="BA182" s="139"/>
      <c r="BB182" s="139"/>
      <c r="BC182" s="139"/>
      <c r="BD182" s="139"/>
      <c r="BE182" s="139"/>
      <c r="BF182" s="139"/>
      <c r="BG182" s="139"/>
      <c r="BH182" s="139"/>
      <c r="BI182" s="139"/>
      <c r="BJ182" s="139"/>
      <c r="BK182" s="139"/>
      <c r="BL182" s="139"/>
      <c r="BM182" s="139"/>
      <c r="BN182" s="139"/>
      <c r="BO182" s="139"/>
      <c r="BP182" s="139"/>
      <c r="BQ182" s="139"/>
      <c r="BR182" s="139"/>
      <c r="BS182" s="139"/>
      <c r="BT182" s="139"/>
      <c r="BU182" s="139"/>
      <c r="BV182" s="139"/>
      <c r="BW182" s="139"/>
      <c r="BX182" s="139"/>
      <c r="BY182" s="139"/>
      <c r="BZ182" s="139"/>
      <c r="CA182" s="139"/>
      <c r="CB182" s="139"/>
      <c r="CC182" s="139"/>
      <c r="CD182" s="139"/>
      <c r="CE182" s="139"/>
      <c r="CF182" s="139"/>
      <c r="CG182" s="139"/>
      <c r="CH182" s="139"/>
      <c r="CI182" s="139"/>
      <c r="CJ182" s="139"/>
      <c r="CK182" s="139"/>
      <c r="CL182" s="139"/>
      <c r="CM182" s="139"/>
      <c r="CN182" s="139"/>
      <c r="CO182" s="139"/>
      <c r="CP182" s="139"/>
      <c r="CQ182" s="139"/>
      <c r="CR182" s="139"/>
      <c r="CS182" s="139"/>
      <c r="CT182" s="139"/>
      <c r="CU182" s="139"/>
      <c r="CV182" s="139"/>
      <c r="CW182" s="139"/>
      <c r="CX182" s="139"/>
      <c r="CY182" s="139"/>
      <c r="CZ182" s="139"/>
      <c r="DA182" s="139"/>
      <c r="DB182" s="139"/>
      <c r="DC182" s="139"/>
      <c r="DD182" s="139"/>
      <c r="DE182" s="139"/>
      <c r="DF182" s="139"/>
      <c r="DG182" s="139"/>
      <c r="DH182" s="139"/>
      <c r="DI182" s="139"/>
      <c r="DJ182" s="139"/>
      <c r="DK182" s="139"/>
      <c r="DL182" s="139"/>
      <c r="DM182" s="139"/>
      <c r="DN182" s="139"/>
      <c r="DO182" s="139"/>
      <c r="DP182" s="139"/>
      <c r="DQ182" s="139"/>
      <c r="DR182" s="139"/>
      <c r="DS182" s="139"/>
      <c r="DT182" s="139"/>
      <c r="DU182" s="139"/>
      <c r="DV182" s="139"/>
      <c r="DW182" s="139"/>
      <c r="DX182" s="139"/>
      <c r="DY182" s="139"/>
      <c r="DZ182" s="139"/>
      <c r="EA182" s="139"/>
      <c r="EB182" s="139"/>
      <c r="EC182" s="139"/>
      <c r="ED182" s="139"/>
      <c r="EE182" s="139"/>
      <c r="EF182" s="139"/>
      <c r="EG182" s="139"/>
      <c r="EH182" s="139"/>
      <c r="EI182" s="139"/>
      <c r="EJ182" s="139"/>
      <c r="EK182" s="139"/>
      <c r="EL182" s="139"/>
      <c r="EM182" s="139"/>
      <c r="EN182" s="139"/>
      <c r="EO182" s="139"/>
      <c r="EP182" s="139"/>
      <c r="EQ182" s="139"/>
      <c r="ER182" s="139"/>
      <c r="ES182" s="139"/>
      <c r="ET182" s="139"/>
      <c r="EU182" s="139"/>
      <c r="EV182" s="139"/>
      <c r="EW182" s="139"/>
      <c r="EX182" s="139"/>
      <c r="EY182" s="139"/>
      <c r="EZ182" s="139"/>
      <c r="FA182" s="139"/>
      <c r="FB182" s="139"/>
      <c r="FC182" s="139"/>
      <c r="FD182" s="139"/>
      <c r="FE182" s="139"/>
      <c r="FF182" s="139"/>
      <c r="FG182" s="139"/>
      <c r="FH182" s="139"/>
      <c r="FI182" s="139"/>
      <c r="FJ182" s="139"/>
      <c r="FK182" s="139"/>
      <c r="FL182" s="139"/>
      <c r="FM182" s="139"/>
      <c r="FN182" s="139"/>
      <c r="FO182" s="139"/>
      <c r="FP182" s="139"/>
      <c r="FQ182" s="139"/>
      <c r="FR182" s="139"/>
      <c r="FS182" s="139"/>
      <c r="FT182" s="139"/>
      <c r="FU182" s="139"/>
      <c r="FV182" s="139"/>
      <c r="FW182" s="139"/>
      <c r="FX182" s="139"/>
      <c r="FY182" s="139"/>
      <c r="FZ182" s="139"/>
      <c r="GA182" s="139"/>
      <c r="GB182" s="139"/>
      <c r="GC182" s="139"/>
      <c r="GD182" s="139"/>
      <c r="GE182" s="139"/>
      <c r="GF182" s="139"/>
      <c r="GG182" s="139"/>
      <c r="GH182" s="139"/>
      <c r="GI182" s="139"/>
      <c r="GJ182" s="139"/>
      <c r="GK182" s="139"/>
      <c r="GL182" s="139"/>
      <c r="GM182" s="139"/>
      <c r="GN182" s="139"/>
      <c r="GO182" s="139"/>
      <c r="GP182" s="139"/>
      <c r="GQ182" s="139"/>
      <c r="GR182" s="139"/>
      <c r="GS182" s="139"/>
      <c r="GT182" s="139"/>
      <c r="GU182" s="139"/>
      <c r="GV182" s="139"/>
      <c r="GW182" s="139"/>
      <c r="GX182" s="139"/>
      <c r="GY182" s="139"/>
      <c r="GZ182" s="139"/>
      <c r="HA182" s="139"/>
      <c r="HB182" s="139"/>
      <c r="HC182" s="139"/>
      <c r="HD182" s="139"/>
      <c r="HE182" s="139"/>
      <c r="HF182" s="139"/>
      <c r="HG182" s="139"/>
      <c r="HH182" s="139"/>
      <c r="HI182" s="139"/>
      <c r="HJ182" s="139"/>
      <c r="HK182" s="139"/>
      <c r="HL182" s="139"/>
      <c r="HM182" s="139"/>
      <c r="HN182" s="139"/>
      <c r="HO182" s="139"/>
      <c r="HP182" s="139"/>
      <c r="HQ182" s="139"/>
      <c r="HR182" s="139"/>
      <c r="HS182" s="139"/>
      <c r="HT182" s="139"/>
      <c r="HU182" s="139"/>
      <c r="HV182" s="139"/>
      <c r="HW182" s="139"/>
      <c r="HX182" s="139"/>
      <c r="HY182" s="139"/>
      <c r="HZ182" s="139"/>
      <c r="IA182" s="139"/>
      <c r="IB182" s="139"/>
      <c r="IC182" s="139"/>
      <c r="ID182" s="139"/>
      <c r="IE182" s="139"/>
      <c r="IF182" s="139"/>
      <c r="IG182" s="139"/>
      <c r="IH182" s="139"/>
      <c r="II182" s="139"/>
      <c r="IJ182" s="139"/>
      <c r="IK182" s="139"/>
      <c r="IL182" s="139"/>
      <c r="IM182" s="139"/>
      <c r="IN182" s="139"/>
      <c r="IO182" s="139"/>
      <c r="IP182" s="139"/>
    </row>
    <row r="183" spans="2:253" x14ac:dyDescent="0.3">
      <c r="B183" s="5" t="s">
        <v>103</v>
      </c>
      <c r="C183" s="722" t="s">
        <v>206</v>
      </c>
      <c r="D183" s="715">
        <v>0</v>
      </c>
      <c r="E183" s="634">
        <v>0</v>
      </c>
      <c r="F183" s="634">
        <v>29712213.419737693</v>
      </c>
      <c r="G183" s="634">
        <v>5809.9262120955082</v>
      </c>
      <c r="H183" s="634">
        <v>29712213.419737693</v>
      </c>
      <c r="I183" s="634">
        <v>5809.9262120955082</v>
      </c>
      <c r="J183" s="634">
        <v>10281526.851315835</v>
      </c>
      <c r="K183" s="634">
        <v>2637.166702259924</v>
      </c>
      <c r="L183" s="634">
        <v>262151.63135044102</v>
      </c>
      <c r="M183" s="634">
        <v>51.261129994265232</v>
      </c>
      <c r="N183" s="634">
        <v>10543678.482666276</v>
      </c>
      <c r="O183" s="634">
        <v>2688.4278322541891</v>
      </c>
      <c r="P183" s="634">
        <v>40255891.902403966</v>
      </c>
      <c r="Q183" s="717">
        <v>8498.3540443496968</v>
      </c>
      <c r="R183" s="715">
        <v>18247684.984780729</v>
      </c>
      <c r="S183" s="634">
        <v>3568.1523219240235</v>
      </c>
      <c r="T183" s="634">
        <v>0</v>
      </c>
      <c r="U183" s="634">
        <v>0</v>
      </c>
      <c r="V183" s="634">
        <v>0</v>
      </c>
      <c r="W183" s="634">
        <v>0</v>
      </c>
      <c r="X183" s="634">
        <v>18247684.984780729</v>
      </c>
      <c r="Y183" s="717">
        <v>3568.1523219240235</v>
      </c>
      <c r="Z183" s="715">
        <v>10281526.851315835</v>
      </c>
      <c r="AA183" s="634">
        <v>2637.166702259924</v>
      </c>
      <c r="AB183" s="634">
        <v>48222050.035868868</v>
      </c>
      <c r="AC183" s="634">
        <v>9429.339664013798</v>
      </c>
      <c r="AD183" s="634">
        <v>58503576.887184702</v>
      </c>
      <c r="AE183" s="717">
        <v>12066.506366273723</v>
      </c>
      <c r="AF183" s="139"/>
      <c r="AG183" s="139"/>
      <c r="AH183" s="139"/>
      <c r="AI183" s="139"/>
      <c r="AJ183" s="139"/>
      <c r="AK183" s="139"/>
      <c r="AL183" s="139"/>
      <c r="AM183" s="139"/>
      <c r="AN183" s="139"/>
      <c r="AO183" s="139"/>
      <c r="AP183" s="139"/>
      <c r="AQ183" s="139"/>
      <c r="AR183" s="139"/>
      <c r="AS183" s="139"/>
      <c r="AT183" s="139"/>
      <c r="AU183" s="139"/>
      <c r="AV183" s="139"/>
      <c r="AW183" s="139"/>
      <c r="AX183" s="139"/>
      <c r="AY183" s="139"/>
      <c r="AZ183" s="139"/>
      <c r="BA183" s="139"/>
      <c r="BB183" s="139"/>
      <c r="BC183" s="139"/>
      <c r="BD183" s="139"/>
      <c r="BE183" s="139"/>
      <c r="BF183" s="139"/>
      <c r="BG183" s="139"/>
      <c r="BH183" s="139"/>
      <c r="BI183" s="139"/>
      <c r="BJ183" s="139"/>
      <c r="BK183" s="139"/>
      <c r="BL183" s="139"/>
      <c r="BM183" s="139"/>
      <c r="BN183" s="139"/>
      <c r="BO183" s="139"/>
      <c r="BP183" s="139"/>
      <c r="BQ183" s="139"/>
      <c r="BR183" s="139"/>
      <c r="BS183" s="139"/>
      <c r="BT183" s="139"/>
      <c r="BU183" s="139"/>
      <c r="BV183" s="139"/>
      <c r="BW183" s="139"/>
      <c r="BX183" s="139"/>
      <c r="BY183" s="139"/>
      <c r="BZ183" s="139"/>
      <c r="CA183" s="139"/>
      <c r="CB183" s="139"/>
      <c r="CC183" s="139"/>
      <c r="CD183" s="139"/>
      <c r="CE183" s="139"/>
      <c r="CF183" s="139"/>
      <c r="CG183" s="139"/>
      <c r="CH183" s="139"/>
      <c r="CI183" s="139"/>
      <c r="CJ183" s="139"/>
      <c r="CK183" s="139"/>
      <c r="CL183" s="139"/>
      <c r="CM183" s="139"/>
      <c r="CN183" s="139"/>
      <c r="CO183" s="139"/>
      <c r="CP183" s="139"/>
      <c r="CQ183" s="139"/>
      <c r="CR183" s="139"/>
      <c r="CS183" s="139"/>
      <c r="CT183" s="139"/>
      <c r="CU183" s="139"/>
      <c r="CV183" s="139"/>
      <c r="CW183" s="139"/>
      <c r="CX183" s="139"/>
      <c r="CY183" s="139"/>
      <c r="CZ183" s="139"/>
      <c r="DA183" s="139"/>
      <c r="DB183" s="139"/>
      <c r="DC183" s="139"/>
      <c r="DD183" s="139"/>
      <c r="DE183" s="139"/>
      <c r="DF183" s="139"/>
      <c r="DG183" s="139"/>
      <c r="DH183" s="139"/>
      <c r="DI183" s="139"/>
      <c r="DJ183" s="139"/>
      <c r="DK183" s="139"/>
      <c r="DL183" s="139"/>
      <c r="DM183" s="139"/>
      <c r="DN183" s="139"/>
      <c r="DO183" s="139"/>
      <c r="DP183" s="139"/>
      <c r="DQ183" s="139"/>
      <c r="DR183" s="139"/>
      <c r="DS183" s="139"/>
      <c r="DT183" s="139"/>
      <c r="DU183" s="139"/>
      <c r="DV183" s="139"/>
      <c r="DW183" s="139"/>
      <c r="DX183" s="139"/>
      <c r="DY183" s="139"/>
      <c r="DZ183" s="139"/>
      <c r="EA183" s="139"/>
      <c r="EB183" s="139"/>
      <c r="EC183" s="139"/>
      <c r="ED183" s="139"/>
      <c r="EE183" s="139"/>
      <c r="EF183" s="139"/>
      <c r="EG183" s="139"/>
      <c r="EH183" s="139"/>
      <c r="EI183" s="139"/>
      <c r="EJ183" s="139"/>
      <c r="EK183" s="139"/>
      <c r="EL183" s="139"/>
      <c r="EM183" s="139"/>
      <c r="EN183" s="139"/>
      <c r="EO183" s="139"/>
      <c r="EP183" s="139"/>
      <c r="EQ183" s="139"/>
      <c r="ER183" s="139"/>
      <c r="ES183" s="139"/>
      <c r="ET183" s="139"/>
      <c r="EU183" s="139"/>
      <c r="EV183" s="139"/>
      <c r="EW183" s="139"/>
      <c r="EX183" s="139"/>
      <c r="EY183" s="139"/>
      <c r="EZ183" s="139"/>
      <c r="FA183" s="139"/>
      <c r="FB183" s="139"/>
      <c r="FC183" s="139"/>
      <c r="FD183" s="139"/>
      <c r="FE183" s="139"/>
      <c r="FF183" s="139"/>
      <c r="FG183" s="139"/>
      <c r="FH183" s="139"/>
      <c r="FI183" s="139"/>
      <c r="FJ183" s="139"/>
      <c r="FK183" s="139"/>
      <c r="FL183" s="139"/>
      <c r="FM183" s="139"/>
      <c r="FN183" s="139"/>
      <c r="FO183" s="139"/>
      <c r="FP183" s="139"/>
      <c r="FQ183" s="139"/>
      <c r="FR183" s="139"/>
      <c r="FS183" s="139"/>
      <c r="FT183" s="139"/>
      <c r="FU183" s="139"/>
      <c r="FV183" s="139"/>
      <c r="FW183" s="139"/>
      <c r="FX183" s="139"/>
      <c r="FY183" s="139"/>
      <c r="FZ183" s="139"/>
      <c r="GA183" s="139"/>
      <c r="GB183" s="139"/>
      <c r="GC183" s="139"/>
      <c r="GD183" s="139"/>
      <c r="GE183" s="139"/>
      <c r="GF183" s="139"/>
      <c r="GG183" s="139"/>
      <c r="GH183" s="139"/>
      <c r="GI183" s="139"/>
      <c r="GJ183" s="139"/>
      <c r="GK183" s="139"/>
      <c r="GL183" s="139"/>
      <c r="GM183" s="139"/>
      <c r="GN183" s="139"/>
      <c r="GO183" s="139"/>
      <c r="GP183" s="139"/>
      <c r="GQ183" s="139"/>
      <c r="GR183" s="139"/>
      <c r="GS183" s="139"/>
      <c r="GT183" s="139"/>
      <c r="GU183" s="139"/>
      <c r="GV183" s="139"/>
      <c r="GW183" s="139"/>
      <c r="GX183" s="139"/>
      <c r="GY183" s="139"/>
      <c r="GZ183" s="139"/>
      <c r="HA183" s="139"/>
      <c r="HB183" s="139"/>
      <c r="HC183" s="139"/>
      <c r="HD183" s="139"/>
      <c r="HE183" s="139"/>
      <c r="HF183" s="139"/>
      <c r="HG183" s="139"/>
      <c r="HH183" s="139"/>
      <c r="HI183" s="139"/>
      <c r="HJ183" s="139"/>
      <c r="HK183" s="139"/>
      <c r="HL183" s="139"/>
      <c r="HM183" s="139"/>
      <c r="HN183" s="139"/>
      <c r="HO183" s="139"/>
      <c r="HP183" s="139"/>
      <c r="HQ183" s="139"/>
      <c r="HR183" s="139"/>
      <c r="HS183" s="139"/>
      <c r="HT183" s="139"/>
      <c r="HU183" s="139"/>
      <c r="HV183" s="139"/>
      <c r="HW183" s="139"/>
      <c r="HX183" s="139"/>
      <c r="HY183" s="139"/>
      <c r="HZ183" s="139"/>
      <c r="IA183" s="139"/>
      <c r="IB183" s="139"/>
      <c r="IC183" s="139"/>
      <c r="ID183" s="139"/>
      <c r="IE183" s="139"/>
      <c r="IF183" s="139"/>
      <c r="IG183" s="139"/>
      <c r="IH183" s="139"/>
      <c r="II183" s="139"/>
      <c r="IJ183" s="139"/>
      <c r="IK183" s="139"/>
      <c r="IL183" s="139"/>
      <c r="IM183" s="139"/>
      <c r="IN183" s="139"/>
      <c r="IO183" s="139"/>
      <c r="IP183" s="139"/>
    </row>
    <row r="184" spans="2:253" x14ac:dyDescent="0.3">
      <c r="B184" s="5" t="s">
        <v>104</v>
      </c>
      <c r="C184" s="722" t="s">
        <v>207</v>
      </c>
      <c r="D184" s="270">
        <v>36253983.054060034</v>
      </c>
      <c r="E184" s="968">
        <v>9298.9882064283793</v>
      </c>
      <c r="F184" s="968">
        <v>39700618.336022876</v>
      </c>
      <c r="G184" s="968">
        <v>7763.0589094259121</v>
      </c>
      <c r="H184" s="968">
        <v>75954601.390082911</v>
      </c>
      <c r="I184" s="968">
        <v>17062.047115854293</v>
      </c>
      <c r="J184" s="968">
        <v>3047754.2493814849</v>
      </c>
      <c r="K184" s="968">
        <v>782.63281369867138</v>
      </c>
      <c r="L184" s="968">
        <v>63449.646449985106</v>
      </c>
      <c r="M184" s="968">
        <v>12.406943866830087</v>
      </c>
      <c r="N184" s="968">
        <v>3111203.8958314699</v>
      </c>
      <c r="O184" s="968">
        <v>795.03975756550142</v>
      </c>
      <c r="P184" s="968">
        <v>79065805.285914376</v>
      </c>
      <c r="Q184" s="716">
        <v>17857.086873419794</v>
      </c>
      <c r="R184" s="270">
        <v>62518153.000797331</v>
      </c>
      <c r="S184" s="968">
        <v>12224.79963777591</v>
      </c>
      <c r="T184" s="968">
        <v>0</v>
      </c>
      <c r="U184" s="968">
        <v>0</v>
      </c>
      <c r="V184" s="968">
        <v>0</v>
      </c>
      <c r="W184" s="968">
        <v>0</v>
      </c>
      <c r="X184" s="968">
        <v>62518153.000797331</v>
      </c>
      <c r="Y184" s="716">
        <v>12224.79963777591</v>
      </c>
      <c r="Z184" s="270">
        <v>39301737.303441517</v>
      </c>
      <c r="AA184" s="968">
        <v>10081.621020127051</v>
      </c>
      <c r="AB184" s="968">
        <v>102282220.9832702</v>
      </c>
      <c r="AC184" s="968">
        <v>20000.265491068654</v>
      </c>
      <c r="AD184" s="968">
        <v>141583958.28671172</v>
      </c>
      <c r="AE184" s="716">
        <v>30081.886511195706</v>
      </c>
      <c r="AF184" s="139"/>
      <c r="AG184" s="139"/>
      <c r="AH184" s="139"/>
      <c r="AI184" s="139"/>
      <c r="AJ184" s="139"/>
      <c r="AK184" s="139"/>
      <c r="AL184" s="139"/>
      <c r="AM184" s="139"/>
      <c r="AN184" s="139"/>
      <c r="AO184" s="139"/>
      <c r="AP184" s="139"/>
      <c r="AQ184" s="139"/>
      <c r="AR184" s="139"/>
      <c r="AS184" s="139"/>
      <c r="AT184" s="139"/>
      <c r="AU184" s="139"/>
      <c r="AV184" s="139"/>
      <c r="AW184" s="139"/>
      <c r="AX184" s="139"/>
      <c r="AY184" s="139"/>
      <c r="AZ184" s="139"/>
      <c r="BA184" s="139"/>
      <c r="BB184" s="139"/>
      <c r="BC184" s="139"/>
      <c r="BD184" s="139"/>
      <c r="BE184" s="139"/>
      <c r="BF184" s="139"/>
      <c r="BG184" s="139"/>
      <c r="BH184" s="139"/>
      <c r="BI184" s="139"/>
      <c r="BJ184" s="139"/>
      <c r="BK184" s="139"/>
      <c r="BL184" s="139"/>
      <c r="BM184" s="139"/>
      <c r="BN184" s="139"/>
      <c r="BO184" s="139"/>
      <c r="BP184" s="139"/>
      <c r="BQ184" s="139"/>
      <c r="BR184" s="139"/>
      <c r="BS184" s="139"/>
      <c r="BT184" s="139"/>
      <c r="BU184" s="139"/>
      <c r="BV184" s="139"/>
      <c r="BW184" s="139"/>
      <c r="BX184" s="139"/>
      <c r="BY184" s="139"/>
      <c r="BZ184" s="139"/>
      <c r="CA184" s="139"/>
      <c r="CB184" s="139"/>
      <c r="CC184" s="139"/>
      <c r="CD184" s="139"/>
      <c r="CE184" s="139"/>
      <c r="CF184" s="139"/>
      <c r="CG184" s="139"/>
      <c r="CH184" s="139"/>
      <c r="CI184" s="139"/>
      <c r="CJ184" s="139"/>
      <c r="CK184" s="139"/>
      <c r="CL184" s="139"/>
      <c r="CM184" s="139"/>
      <c r="CN184" s="139"/>
      <c r="CO184" s="139"/>
      <c r="CP184" s="139"/>
      <c r="CQ184" s="139"/>
      <c r="CR184" s="139"/>
      <c r="CS184" s="139"/>
      <c r="CT184" s="139"/>
      <c r="CU184" s="139"/>
      <c r="CV184" s="139"/>
      <c r="CW184" s="139"/>
      <c r="CX184" s="139"/>
      <c r="CY184" s="139"/>
      <c r="CZ184" s="139"/>
      <c r="DA184" s="139"/>
      <c r="DB184" s="139"/>
      <c r="DC184" s="139"/>
      <c r="DD184" s="139"/>
      <c r="DE184" s="139"/>
      <c r="DF184" s="139"/>
      <c r="DG184" s="139"/>
      <c r="DH184" s="139"/>
      <c r="DI184" s="139"/>
      <c r="DJ184" s="139"/>
      <c r="DK184" s="139"/>
      <c r="DL184" s="139"/>
      <c r="DM184" s="139"/>
      <c r="DN184" s="139"/>
      <c r="DO184" s="139"/>
      <c r="DP184" s="139"/>
      <c r="DQ184" s="139"/>
      <c r="DR184" s="139"/>
      <c r="DS184" s="139"/>
      <c r="DT184" s="139"/>
      <c r="DU184" s="139"/>
      <c r="DV184" s="139"/>
      <c r="DW184" s="139"/>
      <c r="DX184" s="139"/>
      <c r="DY184" s="139"/>
      <c r="DZ184" s="139"/>
      <c r="EA184" s="139"/>
      <c r="EB184" s="139"/>
      <c r="EC184" s="139"/>
      <c r="ED184" s="139"/>
      <c r="EE184" s="139"/>
      <c r="EF184" s="139"/>
      <c r="EG184" s="139"/>
      <c r="EH184" s="139"/>
      <c r="EI184" s="139"/>
      <c r="EJ184" s="139"/>
      <c r="EK184" s="139"/>
      <c r="EL184" s="139"/>
      <c r="EM184" s="139"/>
      <c r="EN184" s="139"/>
      <c r="EO184" s="139"/>
      <c r="EP184" s="139"/>
      <c r="EQ184" s="139"/>
      <c r="ER184" s="139"/>
      <c r="ES184" s="139"/>
      <c r="ET184" s="139"/>
      <c r="EU184" s="139"/>
      <c r="EV184" s="139"/>
      <c r="EW184" s="139"/>
      <c r="EX184" s="139"/>
      <c r="EY184" s="139"/>
      <c r="EZ184" s="139"/>
      <c r="FA184" s="139"/>
      <c r="FB184" s="139"/>
      <c r="FC184" s="139"/>
      <c r="FD184" s="139"/>
      <c r="FE184" s="139"/>
      <c r="FF184" s="139"/>
      <c r="FG184" s="139"/>
      <c r="FH184" s="139"/>
      <c r="FI184" s="139"/>
      <c r="FJ184" s="139"/>
      <c r="FK184" s="139"/>
      <c r="FL184" s="139"/>
      <c r="FM184" s="139"/>
      <c r="FN184" s="139"/>
      <c r="FO184" s="139"/>
      <c r="FP184" s="139"/>
      <c r="FQ184" s="139"/>
      <c r="FR184" s="139"/>
      <c r="FS184" s="139"/>
      <c r="FT184" s="139"/>
      <c r="FU184" s="139"/>
      <c r="FV184" s="139"/>
      <c r="FW184" s="139"/>
      <c r="FX184" s="139"/>
      <c r="FY184" s="139"/>
      <c r="FZ184" s="139"/>
      <c r="GA184" s="139"/>
      <c r="GB184" s="139"/>
      <c r="GC184" s="139"/>
      <c r="GD184" s="139"/>
      <c r="GE184" s="139"/>
      <c r="GF184" s="139"/>
      <c r="GG184" s="139"/>
      <c r="GH184" s="139"/>
      <c r="GI184" s="139"/>
      <c r="GJ184" s="139"/>
      <c r="GK184" s="139"/>
      <c r="GL184" s="139"/>
      <c r="GM184" s="139"/>
      <c r="GN184" s="139"/>
      <c r="GO184" s="139"/>
      <c r="GP184" s="139"/>
      <c r="GQ184" s="139"/>
      <c r="GR184" s="139"/>
      <c r="GS184" s="139"/>
      <c r="GT184" s="139"/>
      <c r="GU184" s="139"/>
      <c r="GV184" s="139"/>
      <c r="GW184" s="139"/>
      <c r="GX184" s="139"/>
      <c r="GY184" s="139"/>
      <c r="GZ184" s="139"/>
      <c r="HA184" s="139"/>
      <c r="HB184" s="139"/>
      <c r="HC184" s="139"/>
      <c r="HD184" s="139"/>
      <c r="HE184" s="139"/>
      <c r="HF184" s="139"/>
      <c r="HG184" s="139"/>
      <c r="HH184" s="139"/>
      <c r="HI184" s="139"/>
      <c r="HJ184" s="139"/>
      <c r="HK184" s="139"/>
      <c r="HL184" s="139"/>
      <c r="HM184" s="139"/>
      <c r="HN184" s="139"/>
      <c r="HO184" s="139"/>
      <c r="HP184" s="139"/>
      <c r="HQ184" s="139"/>
      <c r="HR184" s="139"/>
      <c r="HS184" s="139"/>
      <c r="HT184" s="139"/>
      <c r="HU184" s="139"/>
      <c r="HV184" s="139"/>
      <c r="HW184" s="139"/>
      <c r="HX184" s="139"/>
      <c r="HY184" s="139"/>
      <c r="HZ184" s="139"/>
      <c r="IA184" s="139"/>
      <c r="IB184" s="139"/>
      <c r="IC184" s="139"/>
      <c r="ID184" s="139"/>
      <c r="IE184" s="139"/>
      <c r="IF184" s="139"/>
      <c r="IG184" s="139"/>
      <c r="IH184" s="139"/>
      <c r="II184" s="139"/>
      <c r="IJ184" s="139"/>
      <c r="IK184" s="139"/>
      <c r="IL184" s="139"/>
      <c r="IM184" s="139"/>
      <c r="IN184" s="139"/>
      <c r="IO184" s="139"/>
      <c r="IP184" s="139"/>
    </row>
    <row r="185" spans="2:253" x14ac:dyDescent="0.3">
      <c r="B185" s="5" t="s">
        <v>105</v>
      </c>
      <c r="C185" s="722" t="s">
        <v>208</v>
      </c>
      <c r="D185" s="270">
        <v>0</v>
      </c>
      <c r="E185" s="968">
        <v>0</v>
      </c>
      <c r="F185" s="968">
        <v>36882833.33382903</v>
      </c>
      <c r="G185" s="968">
        <v>7212.0692300969276</v>
      </c>
      <c r="H185" s="968">
        <v>36882833.33382903</v>
      </c>
      <c r="I185" s="968">
        <v>7212.0692300969276</v>
      </c>
      <c r="J185" s="968">
        <v>4707938.6200634744</v>
      </c>
      <c r="K185" s="968">
        <v>1208.9515582460995</v>
      </c>
      <c r="L185" s="968">
        <v>1585.6530424041121</v>
      </c>
      <c r="M185" s="968">
        <v>0.3100585959117001</v>
      </c>
      <c r="N185" s="968">
        <v>4709524.2731058784</v>
      </c>
      <c r="O185" s="968">
        <v>1209.2616168420111</v>
      </c>
      <c r="P185" s="968">
        <v>41592357.606934905</v>
      </c>
      <c r="Q185" s="716">
        <v>8421.3308469389394</v>
      </c>
      <c r="R185" s="270">
        <v>0</v>
      </c>
      <c r="S185" s="968">
        <v>0</v>
      </c>
      <c r="T185" s="968">
        <v>0</v>
      </c>
      <c r="U185" s="968">
        <v>0</v>
      </c>
      <c r="V185" s="968">
        <v>0</v>
      </c>
      <c r="W185" s="968">
        <v>0</v>
      </c>
      <c r="X185" s="968">
        <v>0</v>
      </c>
      <c r="Y185" s="716">
        <v>0</v>
      </c>
      <c r="Z185" s="270">
        <v>4707938.6200634744</v>
      </c>
      <c r="AA185" s="968">
        <v>1208.9515582460995</v>
      </c>
      <c r="AB185" s="968">
        <v>36884418.986871436</v>
      </c>
      <c r="AC185" s="968">
        <v>7212.3792886928395</v>
      </c>
      <c r="AD185" s="968">
        <v>41592357.606934913</v>
      </c>
      <c r="AE185" s="716">
        <v>8421.3308469389394</v>
      </c>
      <c r="AF185" s="139"/>
      <c r="AG185" s="139"/>
      <c r="AH185" s="139"/>
      <c r="AI185" s="139"/>
      <c r="AJ185" s="139"/>
      <c r="AK185" s="139"/>
      <c r="AL185" s="139"/>
      <c r="AM185" s="139"/>
      <c r="AN185" s="139"/>
      <c r="AO185" s="139"/>
      <c r="AP185" s="139"/>
      <c r="AQ185" s="139"/>
      <c r="AR185" s="139"/>
      <c r="AS185" s="139"/>
      <c r="AT185" s="139"/>
      <c r="AU185" s="139"/>
      <c r="AV185" s="139"/>
      <c r="AW185" s="139"/>
      <c r="AX185" s="139"/>
      <c r="AY185" s="139"/>
      <c r="AZ185" s="139"/>
      <c r="BA185" s="139"/>
      <c r="BB185" s="139"/>
      <c r="BC185" s="139"/>
      <c r="BD185" s="139"/>
      <c r="BE185" s="139"/>
      <c r="BF185" s="139"/>
      <c r="BG185" s="139"/>
      <c r="BH185" s="139"/>
      <c r="BI185" s="139"/>
      <c r="BJ185" s="139"/>
      <c r="BK185" s="139"/>
      <c r="BL185" s="139"/>
      <c r="BM185" s="139"/>
      <c r="BN185" s="139"/>
      <c r="BO185" s="139"/>
      <c r="BP185" s="139"/>
      <c r="BQ185" s="139"/>
      <c r="BR185" s="139"/>
      <c r="BS185" s="139"/>
      <c r="BT185" s="139"/>
      <c r="BU185" s="139"/>
      <c r="BV185" s="139"/>
      <c r="BW185" s="139"/>
      <c r="BX185" s="139"/>
      <c r="BY185" s="139"/>
      <c r="BZ185" s="139"/>
      <c r="CA185" s="139"/>
      <c r="CB185" s="139"/>
      <c r="CC185" s="139"/>
      <c r="CD185" s="139"/>
      <c r="CE185" s="139"/>
      <c r="CF185" s="139"/>
      <c r="CG185" s="139"/>
      <c r="CH185" s="139"/>
      <c r="CI185" s="139"/>
      <c r="CJ185" s="139"/>
      <c r="CK185" s="139"/>
      <c r="CL185" s="139"/>
      <c r="CM185" s="139"/>
      <c r="CN185" s="139"/>
      <c r="CO185" s="139"/>
      <c r="CP185" s="139"/>
      <c r="CQ185" s="139"/>
      <c r="CR185" s="139"/>
      <c r="CS185" s="139"/>
      <c r="CT185" s="139"/>
      <c r="CU185" s="139"/>
      <c r="CV185" s="139"/>
      <c r="CW185" s="139"/>
      <c r="CX185" s="139"/>
      <c r="CY185" s="139"/>
      <c r="CZ185" s="139"/>
      <c r="DA185" s="139"/>
      <c r="DB185" s="139"/>
      <c r="DC185" s="139"/>
      <c r="DD185" s="139"/>
      <c r="DE185" s="139"/>
      <c r="DF185" s="139"/>
      <c r="DG185" s="139"/>
      <c r="DH185" s="139"/>
      <c r="DI185" s="139"/>
      <c r="DJ185" s="139"/>
      <c r="DK185" s="139"/>
      <c r="DL185" s="139"/>
      <c r="DM185" s="139"/>
      <c r="DN185" s="139"/>
      <c r="DO185" s="139"/>
      <c r="DP185" s="139"/>
      <c r="DQ185" s="139"/>
      <c r="DR185" s="139"/>
      <c r="DS185" s="139"/>
      <c r="DT185" s="139"/>
      <c r="DU185" s="139"/>
      <c r="DV185" s="139"/>
      <c r="DW185" s="139"/>
      <c r="DX185" s="139"/>
      <c r="DY185" s="139"/>
      <c r="DZ185" s="139"/>
      <c r="EA185" s="139"/>
      <c r="EB185" s="139"/>
      <c r="EC185" s="139"/>
      <c r="ED185" s="139"/>
      <c r="EE185" s="139"/>
      <c r="EF185" s="139"/>
      <c r="EG185" s="139"/>
      <c r="EH185" s="139"/>
      <c r="EI185" s="139"/>
      <c r="EJ185" s="139"/>
      <c r="EK185" s="139"/>
      <c r="EL185" s="139"/>
      <c r="EM185" s="139"/>
      <c r="EN185" s="139"/>
      <c r="EO185" s="139"/>
      <c r="EP185" s="139"/>
      <c r="EQ185" s="139"/>
      <c r="ER185" s="139"/>
      <c r="ES185" s="139"/>
      <c r="ET185" s="139"/>
      <c r="EU185" s="139"/>
      <c r="EV185" s="139"/>
      <c r="EW185" s="139"/>
      <c r="EX185" s="139"/>
      <c r="EY185" s="139"/>
      <c r="EZ185" s="139"/>
      <c r="FA185" s="139"/>
      <c r="FB185" s="139"/>
      <c r="FC185" s="139"/>
      <c r="FD185" s="139"/>
      <c r="FE185" s="139"/>
      <c r="FF185" s="139"/>
      <c r="FG185" s="139"/>
      <c r="FH185" s="139"/>
      <c r="FI185" s="139"/>
      <c r="FJ185" s="139"/>
      <c r="FK185" s="139"/>
      <c r="FL185" s="139"/>
      <c r="FM185" s="139"/>
      <c r="FN185" s="139"/>
      <c r="FO185" s="139"/>
      <c r="FP185" s="139"/>
      <c r="FQ185" s="139"/>
      <c r="FR185" s="139"/>
      <c r="FS185" s="139"/>
      <c r="FT185" s="139"/>
      <c r="FU185" s="139"/>
      <c r="FV185" s="139"/>
      <c r="FW185" s="139"/>
      <c r="FX185" s="139"/>
      <c r="FY185" s="139"/>
      <c r="FZ185" s="139"/>
      <c r="GA185" s="139"/>
      <c r="GB185" s="139"/>
      <c r="GC185" s="139"/>
      <c r="GD185" s="139"/>
      <c r="GE185" s="139"/>
      <c r="GF185" s="139"/>
      <c r="GG185" s="139"/>
      <c r="GH185" s="139"/>
      <c r="GI185" s="139"/>
      <c r="GJ185" s="139"/>
      <c r="GK185" s="139"/>
      <c r="GL185" s="139"/>
      <c r="GM185" s="139"/>
      <c r="GN185" s="139"/>
      <c r="GO185" s="139"/>
      <c r="GP185" s="139"/>
      <c r="GQ185" s="139"/>
      <c r="GR185" s="139"/>
      <c r="GS185" s="139"/>
      <c r="GT185" s="139"/>
      <c r="GU185" s="139"/>
      <c r="GV185" s="139"/>
      <c r="GW185" s="139"/>
      <c r="GX185" s="139"/>
      <c r="GY185" s="139"/>
      <c r="GZ185" s="139"/>
      <c r="HA185" s="139"/>
      <c r="HB185" s="139"/>
      <c r="HC185" s="139"/>
      <c r="HD185" s="139"/>
      <c r="HE185" s="139"/>
      <c r="HF185" s="139"/>
      <c r="HG185" s="139"/>
      <c r="HH185" s="139"/>
      <c r="HI185" s="139"/>
      <c r="HJ185" s="139"/>
      <c r="HK185" s="139"/>
      <c r="HL185" s="139"/>
      <c r="HM185" s="139"/>
      <c r="HN185" s="139"/>
      <c r="HO185" s="139"/>
      <c r="HP185" s="139"/>
      <c r="HQ185" s="139"/>
      <c r="HR185" s="139"/>
      <c r="HS185" s="139"/>
      <c r="HT185" s="139"/>
      <c r="HU185" s="139"/>
      <c r="HV185" s="139"/>
      <c r="HW185" s="139"/>
      <c r="HX185" s="139"/>
      <c r="HY185" s="139"/>
      <c r="HZ185" s="139"/>
      <c r="IA185" s="139"/>
      <c r="IB185" s="139"/>
      <c r="IC185" s="139"/>
      <c r="ID185" s="139"/>
      <c r="IE185" s="139"/>
      <c r="IF185" s="139"/>
      <c r="IG185" s="139"/>
      <c r="IH185" s="139"/>
      <c r="II185" s="139"/>
      <c r="IJ185" s="139"/>
      <c r="IK185" s="139"/>
      <c r="IL185" s="139"/>
      <c r="IM185" s="139"/>
      <c r="IN185" s="139"/>
      <c r="IO185" s="139"/>
      <c r="IP185" s="139"/>
    </row>
    <row r="186" spans="2:253" x14ac:dyDescent="0.3">
      <c r="B186" s="5" t="s">
        <v>106</v>
      </c>
      <c r="C186" s="722" t="s">
        <v>209</v>
      </c>
      <c r="D186" s="270">
        <v>29432197.107472844</v>
      </c>
      <c r="E186" s="968">
        <v>7549.2299255382177</v>
      </c>
      <c r="F186" s="968">
        <v>31299092.848913107</v>
      </c>
      <c r="G186" s="968">
        <v>6120.2246156764686</v>
      </c>
      <c r="H186" s="968">
        <v>60731289.956385955</v>
      </c>
      <c r="I186" s="968">
        <v>13669.454541214687</v>
      </c>
      <c r="J186" s="968">
        <v>17738173.595660485</v>
      </c>
      <c r="K186" s="968">
        <v>4554.9855976296549</v>
      </c>
      <c r="L186" s="968">
        <v>722369.43215437885</v>
      </c>
      <c r="M186" s="968">
        <v>141.25211876346725</v>
      </c>
      <c r="N186" s="968">
        <v>18460543.027814865</v>
      </c>
      <c r="O186" s="968">
        <v>4696.2377163931224</v>
      </c>
      <c r="P186" s="968">
        <v>79191832.98420082</v>
      </c>
      <c r="Q186" s="716">
        <v>18365.69225760781</v>
      </c>
      <c r="R186" s="270">
        <v>79920342.208815351</v>
      </c>
      <c r="S186" s="968">
        <v>15627.623715511752</v>
      </c>
      <c r="T186" s="968">
        <v>0</v>
      </c>
      <c r="U186" s="968">
        <v>0</v>
      </c>
      <c r="V186" s="968">
        <v>0</v>
      </c>
      <c r="W186" s="968">
        <v>0</v>
      </c>
      <c r="X186" s="968">
        <v>79920342.208815351</v>
      </c>
      <c r="Y186" s="716">
        <v>15627.623715511752</v>
      </c>
      <c r="Z186" s="270">
        <v>47170370.70313333</v>
      </c>
      <c r="AA186" s="968">
        <v>12104.215523167873</v>
      </c>
      <c r="AB186" s="968">
        <v>111941804.48988284</v>
      </c>
      <c r="AC186" s="968">
        <v>21889.100449951689</v>
      </c>
      <c r="AD186" s="968">
        <v>159112175.19301617</v>
      </c>
      <c r="AE186" s="716">
        <v>33993.315973119563</v>
      </c>
      <c r="AF186" s="139"/>
      <c r="AG186" s="139"/>
      <c r="AH186" s="139"/>
      <c r="AI186" s="139"/>
      <c r="AJ186" s="139"/>
      <c r="AK186" s="139"/>
      <c r="AL186" s="139"/>
      <c r="AM186" s="139"/>
      <c r="AN186" s="139"/>
      <c r="AO186" s="139"/>
      <c r="AP186" s="139"/>
      <c r="AQ186" s="139"/>
      <c r="AR186" s="139"/>
      <c r="AS186" s="139"/>
      <c r="AT186" s="139"/>
      <c r="AU186" s="139"/>
      <c r="AV186" s="139"/>
      <c r="AW186" s="139"/>
      <c r="AX186" s="139"/>
      <c r="AY186" s="139"/>
      <c r="AZ186" s="139"/>
      <c r="BA186" s="139"/>
      <c r="BB186" s="139"/>
      <c r="BC186" s="139"/>
      <c r="BD186" s="139"/>
      <c r="BE186" s="139"/>
      <c r="BF186" s="139"/>
      <c r="BG186" s="139"/>
      <c r="BH186" s="139"/>
      <c r="BI186" s="139"/>
      <c r="BJ186" s="139"/>
      <c r="BK186" s="139"/>
      <c r="BL186" s="139"/>
      <c r="BM186" s="139"/>
      <c r="BN186" s="139"/>
      <c r="BO186" s="139"/>
      <c r="BP186" s="139"/>
      <c r="BQ186" s="139"/>
      <c r="BR186" s="139"/>
      <c r="BS186" s="139"/>
      <c r="BT186" s="139"/>
      <c r="BU186" s="139"/>
      <c r="BV186" s="139"/>
      <c r="BW186" s="139"/>
      <c r="BX186" s="139"/>
      <c r="BY186" s="139"/>
      <c r="BZ186" s="139"/>
      <c r="CA186" s="139"/>
      <c r="CB186" s="139"/>
      <c r="CC186" s="139"/>
      <c r="CD186" s="139"/>
      <c r="CE186" s="139"/>
      <c r="CF186" s="139"/>
      <c r="CG186" s="139"/>
      <c r="CH186" s="139"/>
      <c r="CI186" s="139"/>
      <c r="CJ186" s="139"/>
      <c r="CK186" s="139"/>
      <c r="CL186" s="139"/>
      <c r="CM186" s="139"/>
      <c r="CN186" s="139"/>
      <c r="CO186" s="139"/>
      <c r="CP186" s="139"/>
      <c r="CQ186" s="139"/>
      <c r="CR186" s="139"/>
      <c r="CS186" s="139"/>
      <c r="CT186" s="139"/>
      <c r="CU186" s="139"/>
      <c r="CV186" s="139"/>
      <c r="CW186" s="139"/>
      <c r="CX186" s="139"/>
      <c r="CY186" s="139"/>
      <c r="CZ186" s="139"/>
      <c r="DA186" s="139"/>
      <c r="DB186" s="139"/>
      <c r="DC186" s="139"/>
      <c r="DD186" s="139"/>
      <c r="DE186" s="139"/>
      <c r="DF186" s="139"/>
      <c r="DG186" s="139"/>
      <c r="DH186" s="139"/>
      <c r="DI186" s="139"/>
      <c r="DJ186" s="139"/>
      <c r="DK186" s="139"/>
      <c r="DL186" s="139"/>
      <c r="DM186" s="139"/>
      <c r="DN186" s="139"/>
      <c r="DO186" s="139"/>
      <c r="DP186" s="139"/>
      <c r="DQ186" s="139"/>
      <c r="DR186" s="139"/>
      <c r="DS186" s="139"/>
      <c r="DT186" s="139"/>
      <c r="DU186" s="139"/>
      <c r="DV186" s="139"/>
      <c r="DW186" s="139"/>
      <c r="DX186" s="139"/>
      <c r="DY186" s="139"/>
      <c r="DZ186" s="139"/>
      <c r="EA186" s="139"/>
      <c r="EB186" s="139"/>
      <c r="EC186" s="139"/>
      <c r="ED186" s="139"/>
      <c r="EE186" s="139"/>
      <c r="EF186" s="139"/>
      <c r="EG186" s="139"/>
      <c r="EH186" s="139"/>
      <c r="EI186" s="139"/>
      <c r="EJ186" s="139"/>
      <c r="EK186" s="139"/>
      <c r="EL186" s="139"/>
      <c r="EM186" s="139"/>
      <c r="EN186" s="139"/>
      <c r="EO186" s="139"/>
      <c r="EP186" s="139"/>
      <c r="EQ186" s="139"/>
      <c r="ER186" s="139"/>
      <c r="ES186" s="139"/>
      <c r="ET186" s="139"/>
      <c r="EU186" s="139"/>
      <c r="EV186" s="139"/>
      <c r="EW186" s="139"/>
      <c r="EX186" s="139"/>
      <c r="EY186" s="139"/>
      <c r="EZ186" s="139"/>
      <c r="FA186" s="139"/>
      <c r="FB186" s="139"/>
      <c r="FC186" s="139"/>
      <c r="FD186" s="139"/>
      <c r="FE186" s="139"/>
      <c r="FF186" s="139"/>
      <c r="FG186" s="139"/>
      <c r="FH186" s="139"/>
      <c r="FI186" s="139"/>
      <c r="FJ186" s="139"/>
      <c r="FK186" s="139"/>
      <c r="FL186" s="139"/>
      <c r="FM186" s="139"/>
      <c r="FN186" s="139"/>
      <c r="FO186" s="139"/>
      <c r="FP186" s="139"/>
      <c r="FQ186" s="139"/>
      <c r="FR186" s="139"/>
      <c r="FS186" s="139"/>
      <c r="FT186" s="139"/>
      <c r="FU186" s="139"/>
      <c r="FV186" s="139"/>
      <c r="FW186" s="139"/>
      <c r="FX186" s="139"/>
      <c r="FY186" s="139"/>
      <c r="FZ186" s="139"/>
      <c r="GA186" s="139"/>
      <c r="GB186" s="139"/>
      <c r="GC186" s="139"/>
      <c r="GD186" s="139"/>
      <c r="GE186" s="139"/>
      <c r="GF186" s="139"/>
      <c r="GG186" s="139"/>
      <c r="GH186" s="139"/>
      <c r="GI186" s="139"/>
      <c r="GJ186" s="139"/>
      <c r="GK186" s="139"/>
      <c r="GL186" s="139"/>
      <c r="GM186" s="139"/>
      <c r="GN186" s="139"/>
      <c r="GO186" s="139"/>
      <c r="GP186" s="139"/>
      <c r="GQ186" s="139"/>
      <c r="GR186" s="139"/>
      <c r="GS186" s="139"/>
      <c r="GT186" s="139"/>
      <c r="GU186" s="139"/>
      <c r="GV186" s="139"/>
      <c r="GW186" s="139"/>
      <c r="GX186" s="139"/>
      <c r="GY186" s="139"/>
      <c r="GZ186" s="139"/>
      <c r="HA186" s="139"/>
      <c r="HB186" s="139"/>
      <c r="HC186" s="139"/>
      <c r="HD186" s="139"/>
      <c r="HE186" s="139"/>
      <c r="HF186" s="139"/>
      <c r="HG186" s="139"/>
      <c r="HH186" s="139"/>
      <c r="HI186" s="139"/>
      <c r="HJ186" s="139"/>
      <c r="HK186" s="139"/>
      <c r="HL186" s="139"/>
      <c r="HM186" s="139"/>
      <c r="HN186" s="139"/>
      <c r="HO186" s="139"/>
      <c r="HP186" s="139"/>
      <c r="HQ186" s="139"/>
      <c r="HR186" s="139"/>
      <c r="HS186" s="139"/>
      <c r="HT186" s="139"/>
      <c r="HU186" s="139"/>
      <c r="HV186" s="139"/>
      <c r="HW186" s="139"/>
      <c r="HX186" s="139"/>
      <c r="HY186" s="139"/>
      <c r="HZ186" s="139"/>
      <c r="IA186" s="139"/>
      <c r="IB186" s="139"/>
      <c r="IC186" s="139"/>
      <c r="ID186" s="139"/>
      <c r="IE186" s="139"/>
      <c r="IF186" s="139"/>
      <c r="IG186" s="139"/>
      <c r="IH186" s="139"/>
      <c r="II186" s="139"/>
      <c r="IJ186" s="139"/>
      <c r="IK186" s="139"/>
      <c r="IL186" s="139"/>
      <c r="IM186" s="139"/>
      <c r="IN186" s="139"/>
      <c r="IO186" s="139"/>
      <c r="IP186" s="139"/>
    </row>
    <row r="187" spans="2:253" x14ac:dyDescent="0.3">
      <c r="B187" s="5" t="s">
        <v>107</v>
      </c>
      <c r="C187" s="722" t="s">
        <v>210</v>
      </c>
      <c r="D187" s="270">
        <v>1024823.404253112</v>
      </c>
      <c r="E187" s="968">
        <v>262.86272423118595</v>
      </c>
      <c r="F187" s="968">
        <v>74209240.708785549</v>
      </c>
      <c r="G187" s="968">
        <v>14510.874928195926</v>
      </c>
      <c r="H187" s="968">
        <v>75234064.113038659</v>
      </c>
      <c r="I187" s="968">
        <v>14773.737652427113</v>
      </c>
      <c r="J187" s="968">
        <v>4736841.5269027473</v>
      </c>
      <c r="K187" s="968">
        <v>1216.3735356933562</v>
      </c>
      <c r="L187" s="968">
        <v>6664.2634262224228</v>
      </c>
      <c r="M187" s="968">
        <v>1.3031300703635325</v>
      </c>
      <c r="N187" s="968">
        <v>4743505.7903289702</v>
      </c>
      <c r="O187" s="968">
        <v>1217.6766657637197</v>
      </c>
      <c r="P187" s="968">
        <v>79977569.903367624</v>
      </c>
      <c r="Q187" s="716">
        <v>15991.414318190833</v>
      </c>
      <c r="R187" s="270">
        <v>0</v>
      </c>
      <c r="S187" s="968">
        <v>0</v>
      </c>
      <c r="T187" s="968">
        <v>0</v>
      </c>
      <c r="U187" s="968">
        <v>0</v>
      </c>
      <c r="V187" s="968">
        <v>1410130.8240723719</v>
      </c>
      <c r="W187" s="968">
        <v>275.73698133911159</v>
      </c>
      <c r="X187" s="968">
        <v>1410130.8240723719</v>
      </c>
      <c r="Y187" s="716">
        <v>275.73698133911159</v>
      </c>
      <c r="Z187" s="270">
        <v>5761664.9311558595</v>
      </c>
      <c r="AA187" s="968">
        <v>1479.2362599245421</v>
      </c>
      <c r="AB187" s="968">
        <v>75626035.796284154</v>
      </c>
      <c r="AC187" s="968">
        <v>14787.915039605403</v>
      </c>
      <c r="AD187" s="968">
        <v>81387700.727440014</v>
      </c>
      <c r="AE187" s="716">
        <v>16267.151299529945</v>
      </c>
      <c r="AF187" s="139"/>
      <c r="AG187" s="139"/>
      <c r="AH187" s="139"/>
      <c r="AI187" s="139"/>
      <c r="AJ187" s="139"/>
      <c r="AK187" s="139"/>
      <c r="AL187" s="139"/>
      <c r="AM187" s="139"/>
      <c r="AN187" s="139"/>
      <c r="AO187" s="139"/>
      <c r="AP187" s="139"/>
      <c r="AQ187" s="139"/>
      <c r="AR187" s="139"/>
      <c r="AS187" s="139"/>
      <c r="AT187" s="139"/>
      <c r="AU187" s="139"/>
      <c r="AV187" s="139"/>
      <c r="AW187" s="139"/>
      <c r="AX187" s="139"/>
      <c r="AY187" s="139"/>
      <c r="AZ187" s="139"/>
      <c r="BA187" s="139"/>
      <c r="BB187" s="139"/>
      <c r="BC187" s="139"/>
      <c r="BD187" s="139"/>
      <c r="BE187" s="139"/>
      <c r="BF187" s="139"/>
      <c r="BG187" s="139"/>
      <c r="BH187" s="139"/>
      <c r="BI187" s="139"/>
      <c r="BJ187" s="139"/>
      <c r="BK187" s="139"/>
      <c r="BL187" s="139"/>
      <c r="BM187" s="139"/>
      <c r="BN187" s="139"/>
      <c r="BO187" s="139"/>
      <c r="BP187" s="139"/>
      <c r="BQ187" s="139"/>
      <c r="BR187" s="139"/>
      <c r="BS187" s="139"/>
      <c r="BT187" s="139"/>
      <c r="BU187" s="139"/>
      <c r="BV187" s="139"/>
      <c r="BW187" s="139"/>
      <c r="BX187" s="139"/>
      <c r="BY187" s="139"/>
      <c r="BZ187" s="139"/>
      <c r="CA187" s="139"/>
      <c r="CB187" s="139"/>
      <c r="CC187" s="139"/>
      <c r="CD187" s="139"/>
      <c r="CE187" s="139"/>
      <c r="CF187" s="139"/>
      <c r="CG187" s="139"/>
      <c r="CH187" s="139"/>
      <c r="CI187" s="139"/>
      <c r="CJ187" s="139"/>
      <c r="CK187" s="139"/>
      <c r="CL187" s="139"/>
      <c r="CM187" s="139"/>
      <c r="CN187" s="139"/>
      <c r="CO187" s="139"/>
      <c r="CP187" s="139"/>
      <c r="CQ187" s="139"/>
      <c r="CR187" s="139"/>
      <c r="CS187" s="139"/>
      <c r="CT187" s="139"/>
      <c r="CU187" s="139"/>
      <c r="CV187" s="139"/>
      <c r="CW187" s="139"/>
      <c r="CX187" s="139"/>
      <c r="CY187" s="139"/>
      <c r="CZ187" s="139"/>
      <c r="DA187" s="139"/>
      <c r="DB187" s="139"/>
      <c r="DC187" s="139"/>
      <c r="DD187" s="139"/>
      <c r="DE187" s="139"/>
      <c r="DF187" s="139"/>
      <c r="DG187" s="139"/>
      <c r="DH187" s="139"/>
      <c r="DI187" s="139"/>
      <c r="DJ187" s="139"/>
      <c r="DK187" s="139"/>
      <c r="DL187" s="139"/>
      <c r="DM187" s="139"/>
      <c r="DN187" s="139"/>
      <c r="DO187" s="139"/>
      <c r="DP187" s="139"/>
      <c r="DQ187" s="139"/>
      <c r="DR187" s="139"/>
      <c r="DS187" s="139"/>
      <c r="DT187" s="139"/>
      <c r="DU187" s="139"/>
      <c r="DV187" s="139"/>
      <c r="DW187" s="139"/>
      <c r="DX187" s="139"/>
      <c r="DY187" s="139"/>
      <c r="DZ187" s="139"/>
      <c r="EA187" s="139"/>
      <c r="EB187" s="139"/>
      <c r="EC187" s="139"/>
      <c r="ED187" s="139"/>
      <c r="EE187" s="139"/>
      <c r="EF187" s="139"/>
      <c r="EG187" s="139"/>
      <c r="EH187" s="139"/>
      <c r="EI187" s="139"/>
      <c r="EJ187" s="139"/>
      <c r="EK187" s="139"/>
      <c r="EL187" s="139"/>
      <c r="EM187" s="139"/>
      <c r="EN187" s="139"/>
      <c r="EO187" s="139"/>
      <c r="EP187" s="139"/>
      <c r="EQ187" s="139"/>
      <c r="ER187" s="139"/>
      <c r="ES187" s="139"/>
      <c r="ET187" s="139"/>
      <c r="EU187" s="139"/>
      <c r="EV187" s="139"/>
      <c r="EW187" s="139"/>
      <c r="EX187" s="139"/>
      <c r="EY187" s="139"/>
      <c r="EZ187" s="139"/>
      <c r="FA187" s="139"/>
      <c r="FB187" s="139"/>
      <c r="FC187" s="139"/>
      <c r="FD187" s="139"/>
      <c r="FE187" s="139"/>
      <c r="FF187" s="139"/>
      <c r="FG187" s="139"/>
      <c r="FH187" s="139"/>
      <c r="FI187" s="139"/>
      <c r="FJ187" s="139"/>
      <c r="FK187" s="139"/>
      <c r="FL187" s="139"/>
      <c r="FM187" s="139"/>
      <c r="FN187" s="139"/>
      <c r="FO187" s="139"/>
      <c r="FP187" s="139"/>
      <c r="FQ187" s="139"/>
      <c r="FR187" s="139"/>
      <c r="FS187" s="139"/>
      <c r="FT187" s="139"/>
      <c r="FU187" s="139"/>
      <c r="FV187" s="139"/>
      <c r="FW187" s="139"/>
      <c r="FX187" s="139"/>
      <c r="FY187" s="139"/>
      <c r="FZ187" s="139"/>
      <c r="GA187" s="139"/>
      <c r="GB187" s="139"/>
      <c r="GC187" s="139"/>
      <c r="GD187" s="139"/>
      <c r="GE187" s="139"/>
      <c r="GF187" s="139"/>
      <c r="GG187" s="139"/>
      <c r="GH187" s="139"/>
      <c r="GI187" s="139"/>
      <c r="GJ187" s="139"/>
      <c r="GK187" s="139"/>
      <c r="GL187" s="139"/>
      <c r="GM187" s="139"/>
      <c r="GN187" s="139"/>
      <c r="GO187" s="139"/>
      <c r="GP187" s="139"/>
      <c r="GQ187" s="139"/>
      <c r="GR187" s="139"/>
      <c r="GS187" s="139"/>
      <c r="GT187" s="139"/>
      <c r="GU187" s="139"/>
      <c r="GV187" s="139"/>
      <c r="GW187" s="139"/>
      <c r="GX187" s="139"/>
      <c r="GY187" s="139"/>
      <c r="GZ187" s="139"/>
      <c r="HA187" s="139"/>
      <c r="HB187" s="139"/>
      <c r="HC187" s="139"/>
      <c r="HD187" s="139"/>
      <c r="HE187" s="139"/>
      <c r="HF187" s="139"/>
      <c r="HG187" s="139"/>
      <c r="HH187" s="139"/>
      <c r="HI187" s="139"/>
      <c r="HJ187" s="139"/>
      <c r="HK187" s="139"/>
      <c r="HL187" s="139"/>
      <c r="HM187" s="139"/>
      <c r="HN187" s="139"/>
      <c r="HO187" s="139"/>
      <c r="HP187" s="139"/>
      <c r="HQ187" s="139"/>
      <c r="HR187" s="139"/>
      <c r="HS187" s="139"/>
      <c r="HT187" s="139"/>
      <c r="HU187" s="139"/>
      <c r="HV187" s="139"/>
      <c r="HW187" s="139"/>
      <c r="HX187" s="139"/>
      <c r="HY187" s="139"/>
      <c r="HZ187" s="139"/>
      <c r="IA187" s="139"/>
      <c r="IB187" s="139"/>
      <c r="IC187" s="139"/>
      <c r="ID187" s="139"/>
      <c r="IE187" s="139"/>
      <c r="IF187" s="139"/>
      <c r="IG187" s="139"/>
      <c r="IH187" s="139"/>
      <c r="II187" s="139"/>
      <c r="IJ187" s="139"/>
      <c r="IK187" s="139"/>
      <c r="IL187" s="139"/>
      <c r="IM187" s="139"/>
      <c r="IN187" s="139"/>
      <c r="IO187" s="139"/>
      <c r="IP187" s="139"/>
    </row>
    <row r="188" spans="2:253" x14ac:dyDescent="0.3">
      <c r="B188" s="5" t="s">
        <v>108</v>
      </c>
      <c r="C188" s="722" t="s">
        <v>211</v>
      </c>
      <c r="D188" s="270">
        <v>35754930.954612225</v>
      </c>
      <c r="E188" s="968">
        <v>9170.9835240121447</v>
      </c>
      <c r="F188" s="968">
        <v>50153408.652473785</v>
      </c>
      <c r="G188" s="968">
        <v>9806.997527904723</v>
      </c>
      <c r="H188" s="968">
        <v>85908339.607086003</v>
      </c>
      <c r="I188" s="968">
        <v>18977.981051916868</v>
      </c>
      <c r="J188" s="968">
        <v>11261957.345965559</v>
      </c>
      <c r="K188" s="968">
        <v>2891.9580268704954</v>
      </c>
      <c r="L188" s="968">
        <v>436361.82851137855</v>
      </c>
      <c r="M188" s="968">
        <v>85.326191947114964</v>
      </c>
      <c r="N188" s="968">
        <v>11698319.174476936</v>
      </c>
      <c r="O188" s="968">
        <v>2977.2842188176105</v>
      </c>
      <c r="P188" s="968">
        <v>97606658.781562939</v>
      </c>
      <c r="Q188" s="716">
        <v>21955.265270734479</v>
      </c>
      <c r="R188" s="270">
        <v>71596772.682342723</v>
      </c>
      <c r="S188" s="968">
        <v>14000.032930305295</v>
      </c>
      <c r="T188" s="968">
        <v>0</v>
      </c>
      <c r="U188" s="968">
        <v>0</v>
      </c>
      <c r="V188" s="968">
        <v>0</v>
      </c>
      <c r="W188" s="968">
        <v>0</v>
      </c>
      <c r="X188" s="968">
        <v>71596772.682342723</v>
      </c>
      <c r="Y188" s="716">
        <v>14000.032930305295</v>
      </c>
      <c r="Z188" s="270">
        <v>47016888.300577782</v>
      </c>
      <c r="AA188" s="968">
        <v>12062.941550882641</v>
      </c>
      <c r="AB188" s="968">
        <v>122186543.16332789</v>
      </c>
      <c r="AC188" s="968">
        <v>23892.356650157133</v>
      </c>
      <c r="AD188" s="968">
        <v>169203431.46390566</v>
      </c>
      <c r="AE188" s="716">
        <v>35955.298201039775</v>
      </c>
      <c r="AF188" s="139"/>
      <c r="AG188" s="139"/>
      <c r="AH188" s="139"/>
      <c r="AI188" s="139"/>
      <c r="AJ188" s="139"/>
      <c r="AK188" s="139"/>
      <c r="AL188" s="139"/>
      <c r="AM188" s="139"/>
      <c r="AN188" s="139"/>
      <c r="AO188" s="139"/>
      <c r="AP188" s="139"/>
      <c r="AQ188" s="139"/>
      <c r="AR188" s="139"/>
      <c r="AS188" s="139"/>
      <c r="AT188" s="139"/>
      <c r="AU188" s="139"/>
      <c r="AV188" s="139"/>
      <c r="AW188" s="139"/>
      <c r="AX188" s="139"/>
      <c r="AY188" s="139"/>
      <c r="AZ188" s="139"/>
      <c r="BA188" s="139"/>
      <c r="BB188" s="139"/>
      <c r="BC188" s="139"/>
      <c r="BD188" s="139"/>
      <c r="BE188" s="139"/>
      <c r="BF188" s="139"/>
      <c r="BG188" s="139"/>
      <c r="BH188" s="139"/>
      <c r="BI188" s="139"/>
      <c r="BJ188" s="139"/>
      <c r="BK188" s="139"/>
      <c r="BL188" s="139"/>
      <c r="BM188" s="139"/>
      <c r="BN188" s="139"/>
      <c r="BO188" s="139"/>
      <c r="BP188" s="139"/>
      <c r="BQ188" s="139"/>
      <c r="BR188" s="139"/>
      <c r="BS188" s="139"/>
      <c r="BT188" s="139"/>
      <c r="BU188" s="139"/>
      <c r="BV188" s="139"/>
      <c r="BW188" s="139"/>
      <c r="BX188" s="139"/>
      <c r="BY188" s="139"/>
      <c r="BZ188" s="139"/>
      <c r="CA188" s="139"/>
      <c r="CB188" s="139"/>
      <c r="CC188" s="139"/>
      <c r="CD188" s="139"/>
      <c r="CE188" s="139"/>
      <c r="CF188" s="139"/>
      <c r="CG188" s="139"/>
      <c r="CH188" s="139"/>
      <c r="CI188" s="139"/>
      <c r="CJ188" s="139"/>
      <c r="CK188" s="139"/>
      <c r="CL188" s="139"/>
      <c r="CM188" s="139"/>
      <c r="CN188" s="139"/>
      <c r="CO188" s="139"/>
      <c r="CP188" s="139"/>
      <c r="CQ188" s="139"/>
      <c r="CR188" s="139"/>
      <c r="CS188" s="139"/>
      <c r="CT188" s="139"/>
      <c r="CU188" s="139"/>
      <c r="CV188" s="139"/>
      <c r="CW188" s="139"/>
      <c r="CX188" s="139"/>
      <c r="CY188" s="139"/>
      <c r="CZ188" s="139"/>
      <c r="DA188" s="139"/>
      <c r="DB188" s="139"/>
      <c r="DC188" s="139"/>
      <c r="DD188" s="139"/>
      <c r="DE188" s="139"/>
      <c r="DF188" s="139"/>
      <c r="DG188" s="139"/>
      <c r="DH188" s="139"/>
      <c r="DI188" s="139"/>
      <c r="DJ188" s="139"/>
      <c r="DK188" s="139"/>
      <c r="DL188" s="139"/>
      <c r="DM188" s="139"/>
      <c r="DN188" s="139"/>
      <c r="DO188" s="139"/>
      <c r="DP188" s="139"/>
      <c r="DQ188" s="139"/>
      <c r="DR188" s="139"/>
      <c r="DS188" s="139"/>
      <c r="DT188" s="139"/>
      <c r="DU188" s="139"/>
      <c r="DV188" s="139"/>
      <c r="DW188" s="139"/>
      <c r="DX188" s="139"/>
      <c r="DY188" s="139"/>
      <c r="DZ188" s="139"/>
      <c r="EA188" s="139"/>
      <c r="EB188" s="139"/>
      <c r="EC188" s="139"/>
      <c r="ED188" s="139"/>
      <c r="EE188" s="139"/>
      <c r="EF188" s="139"/>
      <c r="EG188" s="139"/>
      <c r="EH188" s="139"/>
      <c r="EI188" s="139"/>
      <c r="EJ188" s="139"/>
      <c r="EK188" s="139"/>
      <c r="EL188" s="139"/>
      <c r="EM188" s="139"/>
      <c r="EN188" s="139"/>
      <c r="EO188" s="139"/>
      <c r="EP188" s="139"/>
      <c r="EQ188" s="139"/>
      <c r="ER188" s="139"/>
      <c r="ES188" s="139"/>
      <c r="ET188" s="139"/>
      <c r="EU188" s="139"/>
      <c r="EV188" s="139"/>
      <c r="EW188" s="139"/>
      <c r="EX188" s="139"/>
      <c r="EY188" s="139"/>
      <c r="EZ188" s="139"/>
      <c r="FA188" s="139"/>
      <c r="FB188" s="139"/>
      <c r="FC188" s="139"/>
      <c r="FD188" s="139"/>
      <c r="FE188" s="139"/>
      <c r="FF188" s="139"/>
      <c r="FG188" s="139"/>
      <c r="FH188" s="139"/>
      <c r="FI188" s="139"/>
      <c r="FJ188" s="139"/>
      <c r="FK188" s="139"/>
      <c r="FL188" s="139"/>
      <c r="FM188" s="139"/>
      <c r="FN188" s="139"/>
      <c r="FO188" s="139"/>
      <c r="FP188" s="139"/>
      <c r="FQ188" s="139"/>
      <c r="FR188" s="139"/>
      <c r="FS188" s="139"/>
      <c r="FT188" s="139"/>
      <c r="FU188" s="139"/>
      <c r="FV188" s="139"/>
      <c r="FW188" s="139"/>
      <c r="FX188" s="139"/>
      <c r="FY188" s="139"/>
      <c r="FZ188" s="139"/>
      <c r="GA188" s="139"/>
      <c r="GB188" s="139"/>
      <c r="GC188" s="139"/>
      <c r="GD188" s="139"/>
      <c r="GE188" s="139"/>
      <c r="GF188" s="139"/>
      <c r="GG188" s="139"/>
      <c r="GH188" s="139"/>
      <c r="GI188" s="139"/>
      <c r="GJ188" s="139"/>
      <c r="GK188" s="139"/>
      <c r="GL188" s="139"/>
      <c r="GM188" s="139"/>
      <c r="GN188" s="139"/>
      <c r="GO188" s="139"/>
      <c r="GP188" s="139"/>
      <c r="GQ188" s="139"/>
      <c r="GR188" s="139"/>
      <c r="GS188" s="139"/>
      <c r="GT188" s="139"/>
      <c r="GU188" s="139"/>
      <c r="GV188" s="139"/>
      <c r="GW188" s="139"/>
      <c r="GX188" s="139"/>
      <c r="GY188" s="139"/>
      <c r="GZ188" s="139"/>
      <c r="HA188" s="139"/>
      <c r="HB188" s="139"/>
      <c r="HC188" s="139"/>
      <c r="HD188" s="139"/>
      <c r="HE188" s="139"/>
      <c r="HF188" s="139"/>
      <c r="HG188" s="139"/>
      <c r="HH188" s="139"/>
      <c r="HI188" s="139"/>
      <c r="HJ188" s="139"/>
      <c r="HK188" s="139"/>
      <c r="HL188" s="139"/>
      <c r="HM188" s="139"/>
      <c r="HN188" s="139"/>
      <c r="HO188" s="139"/>
      <c r="HP188" s="139"/>
      <c r="HQ188" s="139"/>
      <c r="HR188" s="139"/>
      <c r="HS188" s="139"/>
      <c r="HT188" s="139"/>
      <c r="HU188" s="139"/>
      <c r="HV188" s="139"/>
      <c r="HW188" s="139"/>
      <c r="HX188" s="139"/>
      <c r="HY188" s="139"/>
      <c r="HZ188" s="139"/>
      <c r="IA188" s="139"/>
      <c r="IB188" s="139"/>
      <c r="IC188" s="139"/>
      <c r="ID188" s="139"/>
      <c r="IE188" s="139"/>
      <c r="IF188" s="139"/>
      <c r="IG188" s="139"/>
      <c r="IH188" s="139"/>
      <c r="II188" s="139"/>
      <c r="IJ188" s="139"/>
      <c r="IK188" s="139"/>
      <c r="IL188" s="139"/>
      <c r="IM188" s="139"/>
      <c r="IN188" s="139"/>
      <c r="IO188" s="139"/>
      <c r="IP188" s="139"/>
    </row>
    <row r="189" spans="2:253" x14ac:dyDescent="0.3">
      <c r="B189" s="5" t="s">
        <v>109</v>
      </c>
      <c r="C189" s="722" t="s">
        <v>212</v>
      </c>
      <c r="D189" s="270">
        <v>0</v>
      </c>
      <c r="E189" s="968">
        <v>0</v>
      </c>
      <c r="F189" s="968">
        <v>11342488.690122159</v>
      </c>
      <c r="G189" s="968">
        <v>2217.9102384664866</v>
      </c>
      <c r="H189" s="968">
        <v>11342488.690122159</v>
      </c>
      <c r="I189" s="968">
        <v>2217.9102384664866</v>
      </c>
      <c r="J189" s="968">
        <v>32808.019754453133</v>
      </c>
      <c r="K189" s="968">
        <v>8.4247713927460186</v>
      </c>
      <c r="L189" s="968">
        <v>47.459067153782165</v>
      </c>
      <c r="M189" s="968">
        <v>9.2801459912505643E-3</v>
      </c>
      <c r="N189" s="968">
        <v>32855.478821606914</v>
      </c>
      <c r="O189" s="968">
        <v>8.4340515387372683</v>
      </c>
      <c r="P189" s="968">
        <v>11375344.168943767</v>
      </c>
      <c r="Q189" s="716">
        <v>2226.3442900052237</v>
      </c>
      <c r="R189" s="270">
        <v>27151933.355406247</v>
      </c>
      <c r="S189" s="968">
        <v>5309.2890483161373</v>
      </c>
      <c r="T189" s="968">
        <v>1500799.7675335559</v>
      </c>
      <c r="U189" s="968">
        <v>293.46638654351148</v>
      </c>
      <c r="V189" s="968">
        <v>0</v>
      </c>
      <c r="W189" s="968">
        <v>0</v>
      </c>
      <c r="X189" s="968">
        <v>28652733.122939803</v>
      </c>
      <c r="Y189" s="716">
        <v>5602.7554348596486</v>
      </c>
      <c r="Z189" s="270">
        <v>32808.019754453133</v>
      </c>
      <c r="AA189" s="968">
        <v>8.4247713927460186</v>
      </c>
      <c r="AB189" s="968">
        <v>39995269.272129118</v>
      </c>
      <c r="AC189" s="968">
        <v>7820.6749534721266</v>
      </c>
      <c r="AD189" s="968">
        <v>40028077.291883573</v>
      </c>
      <c r="AE189" s="716">
        <v>7829.0997248648728</v>
      </c>
      <c r="AF189" s="139"/>
      <c r="AG189" s="139"/>
      <c r="AH189" s="139"/>
      <c r="AI189" s="139"/>
      <c r="AJ189" s="139"/>
      <c r="AK189" s="139"/>
      <c r="AL189" s="139"/>
      <c r="AM189" s="139"/>
      <c r="AN189" s="139"/>
      <c r="AO189" s="139"/>
      <c r="AP189" s="139"/>
      <c r="AQ189" s="139"/>
      <c r="AR189" s="139"/>
      <c r="AS189" s="139"/>
      <c r="AT189" s="139"/>
      <c r="AU189" s="139"/>
      <c r="AV189" s="139"/>
      <c r="AW189" s="139"/>
      <c r="AX189" s="139"/>
      <c r="AY189" s="139"/>
      <c r="AZ189" s="139"/>
      <c r="BA189" s="139"/>
      <c r="BB189" s="139"/>
      <c r="BC189" s="139"/>
      <c r="BD189" s="139"/>
      <c r="BE189" s="139"/>
      <c r="BF189" s="139"/>
      <c r="BG189" s="139"/>
      <c r="BH189" s="139"/>
      <c r="BI189" s="139"/>
      <c r="BJ189" s="139"/>
      <c r="BK189" s="139"/>
      <c r="BL189" s="139"/>
      <c r="BM189" s="139"/>
      <c r="BN189" s="139"/>
      <c r="BO189" s="139"/>
      <c r="BP189" s="139"/>
      <c r="BQ189" s="139"/>
      <c r="BR189" s="139"/>
      <c r="BS189" s="139"/>
      <c r="BT189" s="139"/>
      <c r="BU189" s="139"/>
      <c r="BV189" s="139"/>
      <c r="BW189" s="139"/>
      <c r="BX189" s="139"/>
      <c r="BY189" s="139"/>
      <c r="BZ189" s="139"/>
      <c r="CA189" s="139"/>
      <c r="CB189" s="139"/>
      <c r="CC189" s="139"/>
      <c r="CD189" s="139"/>
      <c r="CE189" s="139"/>
      <c r="CF189" s="139"/>
      <c r="CG189" s="139"/>
      <c r="CH189" s="139"/>
      <c r="CI189" s="139"/>
      <c r="CJ189" s="139"/>
      <c r="CK189" s="139"/>
      <c r="CL189" s="139"/>
      <c r="CM189" s="139"/>
      <c r="CN189" s="139"/>
      <c r="CO189" s="139"/>
      <c r="CP189" s="139"/>
      <c r="CQ189" s="139"/>
      <c r="CR189" s="139"/>
      <c r="CS189" s="139"/>
      <c r="CT189" s="139"/>
      <c r="CU189" s="139"/>
      <c r="CV189" s="139"/>
      <c r="CW189" s="139"/>
      <c r="CX189" s="139"/>
      <c r="CY189" s="139"/>
      <c r="CZ189" s="139"/>
      <c r="DA189" s="139"/>
      <c r="DB189" s="139"/>
      <c r="DC189" s="139"/>
      <c r="DD189" s="139"/>
      <c r="DE189" s="139"/>
      <c r="DF189" s="139"/>
      <c r="DG189" s="139"/>
      <c r="DH189" s="139"/>
      <c r="DI189" s="139"/>
      <c r="DJ189" s="139"/>
      <c r="DK189" s="139"/>
      <c r="DL189" s="139"/>
      <c r="DM189" s="139"/>
      <c r="DN189" s="139"/>
      <c r="DO189" s="139"/>
      <c r="DP189" s="139"/>
      <c r="DQ189" s="139"/>
      <c r="DR189" s="139"/>
      <c r="DS189" s="139"/>
      <c r="DT189" s="139"/>
      <c r="DU189" s="139"/>
      <c r="DV189" s="139"/>
      <c r="DW189" s="139"/>
      <c r="DX189" s="139"/>
      <c r="DY189" s="139"/>
      <c r="DZ189" s="139"/>
      <c r="EA189" s="139"/>
      <c r="EB189" s="139"/>
      <c r="EC189" s="139"/>
      <c r="ED189" s="139"/>
      <c r="EE189" s="139"/>
      <c r="EF189" s="139"/>
      <c r="EG189" s="139"/>
      <c r="EH189" s="139"/>
      <c r="EI189" s="139"/>
      <c r="EJ189" s="139"/>
      <c r="EK189" s="139"/>
      <c r="EL189" s="139"/>
      <c r="EM189" s="139"/>
      <c r="EN189" s="139"/>
      <c r="EO189" s="139"/>
      <c r="EP189" s="139"/>
      <c r="EQ189" s="139"/>
      <c r="ER189" s="139"/>
      <c r="ES189" s="139"/>
      <c r="ET189" s="139"/>
      <c r="EU189" s="139"/>
      <c r="EV189" s="139"/>
      <c r="EW189" s="139"/>
      <c r="EX189" s="139"/>
      <c r="EY189" s="139"/>
      <c r="EZ189" s="139"/>
      <c r="FA189" s="139"/>
      <c r="FB189" s="139"/>
      <c r="FC189" s="139"/>
      <c r="FD189" s="139"/>
      <c r="FE189" s="139"/>
      <c r="FF189" s="139"/>
      <c r="FG189" s="139"/>
      <c r="FH189" s="139"/>
      <c r="FI189" s="139"/>
      <c r="FJ189" s="139"/>
      <c r="FK189" s="139"/>
      <c r="FL189" s="139"/>
      <c r="FM189" s="139"/>
      <c r="FN189" s="139"/>
      <c r="FO189" s="139"/>
      <c r="FP189" s="139"/>
      <c r="FQ189" s="139"/>
      <c r="FR189" s="139"/>
      <c r="FS189" s="139"/>
      <c r="FT189" s="139"/>
      <c r="FU189" s="139"/>
      <c r="FV189" s="139"/>
      <c r="FW189" s="139"/>
      <c r="FX189" s="139"/>
      <c r="FY189" s="139"/>
      <c r="FZ189" s="139"/>
      <c r="GA189" s="139"/>
      <c r="GB189" s="139"/>
      <c r="GC189" s="139"/>
      <c r="GD189" s="139"/>
      <c r="GE189" s="139"/>
      <c r="GF189" s="139"/>
      <c r="GG189" s="139"/>
      <c r="GH189" s="139"/>
      <c r="GI189" s="139"/>
      <c r="GJ189" s="139"/>
      <c r="GK189" s="139"/>
      <c r="GL189" s="139"/>
      <c r="GM189" s="139"/>
      <c r="GN189" s="139"/>
      <c r="GO189" s="139"/>
      <c r="GP189" s="139"/>
      <c r="GQ189" s="139"/>
      <c r="GR189" s="139"/>
      <c r="GS189" s="139"/>
      <c r="GT189" s="139"/>
      <c r="GU189" s="139"/>
      <c r="GV189" s="139"/>
      <c r="GW189" s="139"/>
      <c r="GX189" s="139"/>
      <c r="GY189" s="139"/>
      <c r="GZ189" s="139"/>
      <c r="HA189" s="139"/>
      <c r="HB189" s="139"/>
      <c r="HC189" s="139"/>
      <c r="HD189" s="139"/>
      <c r="HE189" s="139"/>
      <c r="HF189" s="139"/>
      <c r="HG189" s="139"/>
      <c r="HH189" s="139"/>
      <c r="HI189" s="139"/>
      <c r="HJ189" s="139"/>
      <c r="HK189" s="139"/>
      <c r="HL189" s="139"/>
      <c r="HM189" s="139"/>
      <c r="HN189" s="139"/>
      <c r="HO189" s="139"/>
      <c r="HP189" s="139"/>
      <c r="HQ189" s="139"/>
      <c r="HR189" s="139"/>
      <c r="HS189" s="139"/>
      <c r="HT189" s="139"/>
      <c r="HU189" s="139"/>
      <c r="HV189" s="139"/>
      <c r="HW189" s="139"/>
      <c r="HX189" s="139"/>
      <c r="HY189" s="139"/>
      <c r="HZ189" s="139"/>
      <c r="IA189" s="139"/>
      <c r="IB189" s="139"/>
      <c r="IC189" s="139"/>
      <c r="ID189" s="139"/>
      <c r="IE189" s="139"/>
      <c r="IF189" s="139"/>
      <c r="IG189" s="139"/>
      <c r="IH189" s="139"/>
      <c r="II189" s="139"/>
      <c r="IJ189" s="139"/>
      <c r="IK189" s="139"/>
      <c r="IL189" s="139"/>
      <c r="IM189" s="139"/>
      <c r="IN189" s="139"/>
      <c r="IO189" s="139"/>
      <c r="IP189" s="139"/>
    </row>
    <row r="190" spans="2:253" x14ac:dyDescent="0.3">
      <c r="B190" s="5" t="s">
        <v>110</v>
      </c>
      <c r="C190" s="722" t="s">
        <v>213</v>
      </c>
      <c r="D190" s="270">
        <v>9296856.2246026304</v>
      </c>
      <c r="E190" s="968">
        <v>2384.6029899812224</v>
      </c>
      <c r="F190" s="968">
        <v>98057655.969634011</v>
      </c>
      <c r="G190" s="968">
        <v>19174.194048302234</v>
      </c>
      <c r="H190" s="968">
        <v>107354512.19423664</v>
      </c>
      <c r="I190" s="968">
        <v>21558.797038283457</v>
      </c>
      <c r="J190" s="968">
        <v>5712556.0547473533</v>
      </c>
      <c r="K190" s="968">
        <v>1466.9272692985726</v>
      </c>
      <c r="L190" s="968">
        <v>2169.5204160446633</v>
      </c>
      <c r="M190" s="968">
        <v>0.42422802215337346</v>
      </c>
      <c r="N190" s="968">
        <v>5714725.5751633979</v>
      </c>
      <c r="O190" s="968">
        <v>1467.3514973207259</v>
      </c>
      <c r="P190" s="968">
        <v>113069237.76940003</v>
      </c>
      <c r="Q190" s="716">
        <v>23026.148535604185</v>
      </c>
      <c r="R190" s="270">
        <v>0</v>
      </c>
      <c r="S190" s="968">
        <v>0</v>
      </c>
      <c r="T190" s="968">
        <v>0</v>
      </c>
      <c r="U190" s="968">
        <v>0</v>
      </c>
      <c r="V190" s="968">
        <v>7444825.0256546605</v>
      </c>
      <c r="W190" s="968">
        <v>1455.7610855165121</v>
      </c>
      <c r="X190" s="968">
        <v>7444825.0256546605</v>
      </c>
      <c r="Y190" s="716">
        <v>1455.7610855165121</v>
      </c>
      <c r="Z190" s="270">
        <v>15009412.279349983</v>
      </c>
      <c r="AA190" s="968">
        <v>3851.5302592797952</v>
      </c>
      <c r="AB190" s="968">
        <v>105504650.51570472</v>
      </c>
      <c r="AC190" s="968">
        <v>20630.3793618409</v>
      </c>
      <c r="AD190" s="968">
        <v>120514062.7950547</v>
      </c>
      <c r="AE190" s="716">
        <v>24481.909621120696</v>
      </c>
      <c r="AF190" s="139"/>
      <c r="AG190" s="139"/>
      <c r="AH190" s="139"/>
      <c r="AI190" s="139"/>
      <c r="AJ190" s="139"/>
      <c r="AK190" s="139"/>
      <c r="AL190" s="139"/>
      <c r="AM190" s="139"/>
      <c r="AN190" s="139"/>
      <c r="AO190" s="139"/>
      <c r="AP190" s="139"/>
      <c r="AQ190" s="139"/>
      <c r="AR190" s="139"/>
      <c r="AS190" s="139"/>
      <c r="AT190" s="139"/>
      <c r="AU190" s="139"/>
      <c r="AV190" s="139"/>
      <c r="AW190" s="139"/>
      <c r="AX190" s="139"/>
      <c r="AY190" s="139"/>
      <c r="AZ190" s="139"/>
      <c r="BA190" s="139"/>
      <c r="BB190" s="139"/>
      <c r="BC190" s="139"/>
      <c r="BD190" s="139"/>
      <c r="BE190" s="139"/>
      <c r="BF190" s="139"/>
      <c r="BG190" s="139"/>
      <c r="BH190" s="139"/>
      <c r="BI190" s="139"/>
      <c r="BJ190" s="139"/>
      <c r="BK190" s="139"/>
      <c r="BL190" s="139"/>
      <c r="BM190" s="139"/>
      <c r="BN190" s="139"/>
      <c r="BO190" s="139"/>
      <c r="BP190" s="139"/>
      <c r="BQ190" s="139"/>
      <c r="BR190" s="139"/>
      <c r="BS190" s="139"/>
      <c r="BT190" s="139"/>
      <c r="BU190" s="139"/>
      <c r="BV190" s="139"/>
      <c r="BW190" s="139"/>
      <c r="BX190" s="139"/>
      <c r="BY190" s="139"/>
      <c r="BZ190" s="139"/>
      <c r="CA190" s="139"/>
      <c r="CB190" s="139"/>
      <c r="CC190" s="139"/>
      <c r="CD190" s="139"/>
      <c r="CE190" s="139"/>
      <c r="CF190" s="139"/>
      <c r="CG190" s="139"/>
      <c r="CH190" s="139"/>
      <c r="CI190" s="139"/>
      <c r="CJ190" s="139"/>
      <c r="CK190" s="139"/>
      <c r="CL190" s="139"/>
      <c r="CM190" s="139"/>
      <c r="CN190" s="139"/>
      <c r="CO190" s="139"/>
      <c r="CP190" s="139"/>
      <c r="CQ190" s="139"/>
      <c r="CR190" s="139"/>
      <c r="CS190" s="139"/>
      <c r="CT190" s="139"/>
      <c r="CU190" s="139"/>
      <c r="CV190" s="139"/>
      <c r="CW190" s="139"/>
      <c r="CX190" s="139"/>
      <c r="CY190" s="139"/>
      <c r="CZ190" s="139"/>
      <c r="DA190" s="139"/>
      <c r="DB190" s="139"/>
      <c r="DC190" s="139"/>
      <c r="DD190" s="139"/>
      <c r="DE190" s="139"/>
      <c r="DF190" s="139"/>
      <c r="DG190" s="139"/>
      <c r="DH190" s="139"/>
      <c r="DI190" s="139"/>
      <c r="DJ190" s="139"/>
      <c r="DK190" s="139"/>
      <c r="DL190" s="139"/>
      <c r="DM190" s="139"/>
      <c r="DN190" s="139"/>
      <c r="DO190" s="139"/>
      <c r="DP190" s="139"/>
      <c r="DQ190" s="139"/>
      <c r="DR190" s="139"/>
      <c r="DS190" s="139"/>
      <c r="DT190" s="139"/>
      <c r="DU190" s="139"/>
      <c r="DV190" s="139"/>
      <c r="DW190" s="139"/>
      <c r="DX190" s="139"/>
      <c r="DY190" s="139"/>
      <c r="DZ190" s="139"/>
      <c r="EA190" s="139"/>
      <c r="EB190" s="139"/>
      <c r="EC190" s="139"/>
      <c r="ED190" s="139"/>
      <c r="EE190" s="139"/>
      <c r="EF190" s="139"/>
      <c r="EG190" s="139"/>
      <c r="EH190" s="139"/>
      <c r="EI190" s="139"/>
      <c r="EJ190" s="139"/>
      <c r="EK190" s="139"/>
      <c r="EL190" s="139"/>
      <c r="EM190" s="139"/>
      <c r="EN190" s="139"/>
      <c r="EO190" s="139"/>
      <c r="EP190" s="139"/>
      <c r="EQ190" s="139"/>
      <c r="ER190" s="139"/>
      <c r="ES190" s="139"/>
      <c r="ET190" s="139"/>
      <c r="EU190" s="139"/>
      <c r="EV190" s="139"/>
      <c r="EW190" s="139"/>
      <c r="EX190" s="139"/>
      <c r="EY190" s="139"/>
      <c r="EZ190" s="139"/>
      <c r="FA190" s="139"/>
      <c r="FB190" s="139"/>
      <c r="FC190" s="139"/>
      <c r="FD190" s="139"/>
      <c r="FE190" s="139"/>
      <c r="FF190" s="139"/>
      <c r="FG190" s="139"/>
      <c r="FH190" s="139"/>
      <c r="FI190" s="139"/>
      <c r="FJ190" s="139"/>
      <c r="FK190" s="139"/>
      <c r="FL190" s="139"/>
      <c r="FM190" s="139"/>
      <c r="FN190" s="139"/>
      <c r="FO190" s="139"/>
      <c r="FP190" s="139"/>
      <c r="FQ190" s="139"/>
      <c r="FR190" s="139"/>
      <c r="FS190" s="139"/>
      <c r="FT190" s="139"/>
      <c r="FU190" s="139"/>
      <c r="FV190" s="139"/>
      <c r="FW190" s="139"/>
      <c r="FX190" s="139"/>
      <c r="FY190" s="139"/>
      <c r="FZ190" s="139"/>
      <c r="GA190" s="139"/>
      <c r="GB190" s="139"/>
      <c r="GC190" s="139"/>
      <c r="GD190" s="139"/>
      <c r="GE190" s="139"/>
      <c r="GF190" s="139"/>
      <c r="GG190" s="139"/>
      <c r="GH190" s="139"/>
      <c r="GI190" s="139"/>
      <c r="GJ190" s="139"/>
      <c r="GK190" s="139"/>
      <c r="GL190" s="139"/>
      <c r="GM190" s="139"/>
      <c r="GN190" s="139"/>
      <c r="GO190" s="139"/>
      <c r="GP190" s="139"/>
      <c r="GQ190" s="139"/>
      <c r="GR190" s="139"/>
      <c r="GS190" s="139"/>
      <c r="GT190" s="139"/>
      <c r="GU190" s="139"/>
      <c r="GV190" s="139"/>
      <c r="GW190" s="139"/>
      <c r="GX190" s="139"/>
      <c r="GY190" s="139"/>
      <c r="GZ190" s="139"/>
      <c r="HA190" s="139"/>
      <c r="HB190" s="139"/>
      <c r="HC190" s="139"/>
      <c r="HD190" s="139"/>
      <c r="HE190" s="139"/>
      <c r="HF190" s="139"/>
      <c r="HG190" s="139"/>
      <c r="HH190" s="139"/>
      <c r="HI190" s="139"/>
      <c r="HJ190" s="139"/>
      <c r="HK190" s="139"/>
      <c r="HL190" s="139"/>
      <c r="HM190" s="139"/>
      <c r="HN190" s="139"/>
      <c r="HO190" s="139"/>
      <c r="HP190" s="139"/>
      <c r="HQ190" s="139"/>
      <c r="HR190" s="139"/>
      <c r="HS190" s="139"/>
      <c r="HT190" s="139"/>
      <c r="HU190" s="139"/>
      <c r="HV190" s="139"/>
      <c r="HW190" s="139"/>
      <c r="HX190" s="139"/>
      <c r="HY190" s="139"/>
      <c r="HZ190" s="139"/>
      <c r="IA190" s="139"/>
      <c r="IB190" s="139"/>
      <c r="IC190" s="139"/>
      <c r="ID190" s="139"/>
      <c r="IE190" s="139"/>
      <c r="IF190" s="139"/>
      <c r="IG190" s="139"/>
      <c r="IH190" s="139"/>
      <c r="II190" s="139"/>
      <c r="IJ190" s="139"/>
      <c r="IK190" s="139"/>
      <c r="IL190" s="139"/>
      <c r="IM190" s="139"/>
      <c r="IN190" s="139"/>
      <c r="IO190" s="139"/>
      <c r="IP190" s="139"/>
    </row>
    <row r="191" spans="2:253" x14ac:dyDescent="0.3">
      <c r="B191" s="5" t="s">
        <v>111</v>
      </c>
      <c r="C191" s="722" t="s">
        <v>214</v>
      </c>
      <c r="D191" s="270">
        <v>4239367.7986231064</v>
      </c>
      <c r="E191" s="968">
        <v>1087.3793123178975</v>
      </c>
      <c r="F191" s="968">
        <v>52003644.16903621</v>
      </c>
      <c r="G191" s="968">
        <v>10168.79258081334</v>
      </c>
      <c r="H191" s="968">
        <v>56243011.967659317</v>
      </c>
      <c r="I191" s="968">
        <v>11256.171893131239</v>
      </c>
      <c r="J191" s="968">
        <v>12927272.618608424</v>
      </c>
      <c r="K191" s="968">
        <v>3319.5943357324568</v>
      </c>
      <c r="L191" s="968">
        <v>60611.722278916255</v>
      </c>
      <c r="M191" s="968">
        <v>11.852016174419285</v>
      </c>
      <c r="N191" s="968">
        <v>12987884.34088734</v>
      </c>
      <c r="O191" s="968">
        <v>3331.4463519068759</v>
      </c>
      <c r="P191" s="968">
        <v>69230896.308546662</v>
      </c>
      <c r="Q191" s="716">
        <v>14587.618245038115</v>
      </c>
      <c r="R191" s="270">
        <v>53313141.357638113</v>
      </c>
      <c r="S191" s="968">
        <v>10424.851661072556</v>
      </c>
      <c r="T191" s="968">
        <v>0</v>
      </c>
      <c r="U191" s="968">
        <v>0</v>
      </c>
      <c r="V191" s="968">
        <v>0</v>
      </c>
      <c r="W191" s="968">
        <v>0</v>
      </c>
      <c r="X191" s="968">
        <v>53313141.357638113</v>
      </c>
      <c r="Y191" s="716">
        <v>10424.851661072556</v>
      </c>
      <c r="Z191" s="270">
        <v>17166640.41723153</v>
      </c>
      <c r="AA191" s="968">
        <v>4406.9736480503543</v>
      </c>
      <c r="AB191" s="968">
        <v>105377397.24895324</v>
      </c>
      <c r="AC191" s="968">
        <v>20605.496258060317</v>
      </c>
      <c r="AD191" s="968">
        <v>122544037.66618477</v>
      </c>
      <c r="AE191" s="716">
        <v>25012.469906110673</v>
      </c>
      <c r="AF191" s="139"/>
      <c r="AG191" s="139"/>
      <c r="AH191" s="139"/>
      <c r="AI191" s="139"/>
      <c r="AJ191" s="139"/>
      <c r="AK191" s="139"/>
      <c r="AL191" s="139"/>
      <c r="AM191" s="139"/>
      <c r="AN191" s="139"/>
      <c r="AO191" s="139"/>
      <c r="AP191" s="139"/>
      <c r="AQ191" s="139"/>
      <c r="AR191" s="139"/>
      <c r="AS191" s="139"/>
      <c r="AT191" s="139"/>
      <c r="AU191" s="139"/>
      <c r="AV191" s="139"/>
      <c r="AW191" s="139"/>
      <c r="AX191" s="139"/>
      <c r="AY191" s="139"/>
      <c r="AZ191" s="139"/>
      <c r="BA191" s="139"/>
      <c r="BB191" s="139"/>
      <c r="BC191" s="139"/>
      <c r="BD191" s="139"/>
      <c r="BE191" s="139"/>
      <c r="BF191" s="139"/>
      <c r="BG191" s="139"/>
      <c r="BH191" s="139"/>
      <c r="BI191" s="139"/>
      <c r="BJ191" s="139"/>
      <c r="BK191" s="139"/>
      <c r="BL191" s="139"/>
      <c r="BM191" s="139"/>
      <c r="BN191" s="139"/>
      <c r="BO191" s="139"/>
      <c r="BP191" s="139"/>
      <c r="BQ191" s="139"/>
      <c r="BR191" s="139"/>
      <c r="BS191" s="139"/>
      <c r="BT191" s="139"/>
      <c r="BU191" s="139"/>
      <c r="BV191" s="139"/>
      <c r="BW191" s="139"/>
      <c r="BX191" s="139"/>
      <c r="BY191" s="139"/>
      <c r="BZ191" s="139"/>
      <c r="CA191" s="139"/>
      <c r="CB191" s="139"/>
      <c r="CC191" s="139"/>
      <c r="CD191" s="139"/>
      <c r="CE191" s="139"/>
      <c r="CF191" s="139"/>
      <c r="CG191" s="139"/>
      <c r="CH191" s="139"/>
      <c r="CI191" s="139"/>
      <c r="CJ191" s="139"/>
      <c r="CK191" s="139"/>
      <c r="CL191" s="139"/>
      <c r="CM191" s="139"/>
      <c r="CN191" s="139"/>
      <c r="CO191" s="139"/>
      <c r="CP191" s="139"/>
      <c r="CQ191" s="139"/>
      <c r="CR191" s="139"/>
      <c r="CS191" s="139"/>
      <c r="CT191" s="139"/>
      <c r="CU191" s="139"/>
      <c r="CV191" s="139"/>
      <c r="CW191" s="139"/>
      <c r="CX191" s="139"/>
      <c r="CY191" s="139"/>
      <c r="CZ191" s="139"/>
      <c r="DA191" s="139"/>
      <c r="DB191" s="139"/>
      <c r="DC191" s="139"/>
      <c r="DD191" s="139"/>
      <c r="DE191" s="139"/>
      <c r="DF191" s="139"/>
      <c r="DG191" s="139"/>
      <c r="DH191" s="139"/>
      <c r="DI191" s="139"/>
      <c r="DJ191" s="139"/>
      <c r="DK191" s="139"/>
      <c r="DL191" s="139"/>
      <c r="DM191" s="139"/>
      <c r="DN191" s="139"/>
      <c r="DO191" s="139"/>
      <c r="DP191" s="139"/>
      <c r="DQ191" s="139"/>
      <c r="DR191" s="139"/>
      <c r="DS191" s="139"/>
      <c r="DT191" s="139"/>
      <c r="DU191" s="139"/>
      <c r="DV191" s="139"/>
      <c r="DW191" s="139"/>
      <c r="DX191" s="139"/>
      <c r="DY191" s="139"/>
      <c r="DZ191" s="139"/>
      <c r="EA191" s="139"/>
      <c r="EB191" s="139"/>
      <c r="EC191" s="139"/>
      <c r="ED191" s="139"/>
      <c r="EE191" s="139"/>
      <c r="EF191" s="139"/>
      <c r="EG191" s="139"/>
      <c r="EH191" s="139"/>
      <c r="EI191" s="139"/>
      <c r="EJ191" s="139"/>
      <c r="EK191" s="139"/>
      <c r="EL191" s="139"/>
      <c r="EM191" s="139"/>
      <c r="EN191" s="139"/>
      <c r="EO191" s="139"/>
      <c r="EP191" s="139"/>
      <c r="EQ191" s="139"/>
      <c r="ER191" s="139"/>
      <c r="ES191" s="139"/>
      <c r="ET191" s="139"/>
      <c r="EU191" s="139"/>
      <c r="EV191" s="139"/>
      <c r="EW191" s="139"/>
      <c r="EX191" s="139"/>
      <c r="EY191" s="139"/>
      <c r="EZ191" s="139"/>
      <c r="FA191" s="139"/>
      <c r="FB191" s="139"/>
      <c r="FC191" s="139"/>
      <c r="FD191" s="139"/>
      <c r="FE191" s="139"/>
      <c r="FF191" s="139"/>
      <c r="FG191" s="139"/>
      <c r="FH191" s="139"/>
      <c r="FI191" s="139"/>
      <c r="FJ191" s="139"/>
      <c r="FK191" s="139"/>
      <c r="FL191" s="139"/>
      <c r="FM191" s="139"/>
      <c r="FN191" s="139"/>
      <c r="FO191" s="139"/>
      <c r="FP191" s="139"/>
      <c r="FQ191" s="139"/>
      <c r="FR191" s="139"/>
      <c r="FS191" s="139"/>
      <c r="FT191" s="139"/>
      <c r="FU191" s="139"/>
      <c r="FV191" s="139"/>
      <c r="FW191" s="139"/>
      <c r="FX191" s="139"/>
      <c r="FY191" s="139"/>
      <c r="FZ191" s="139"/>
      <c r="GA191" s="139"/>
      <c r="GB191" s="139"/>
      <c r="GC191" s="139"/>
      <c r="GD191" s="139"/>
      <c r="GE191" s="139"/>
      <c r="GF191" s="139"/>
      <c r="GG191" s="139"/>
      <c r="GH191" s="139"/>
      <c r="GI191" s="139"/>
      <c r="GJ191" s="139"/>
      <c r="GK191" s="139"/>
      <c r="GL191" s="139"/>
      <c r="GM191" s="139"/>
      <c r="GN191" s="139"/>
      <c r="GO191" s="139"/>
      <c r="GP191" s="139"/>
      <c r="GQ191" s="139"/>
      <c r="GR191" s="139"/>
      <c r="GS191" s="139"/>
      <c r="GT191" s="139"/>
      <c r="GU191" s="139"/>
      <c r="GV191" s="139"/>
      <c r="GW191" s="139"/>
      <c r="GX191" s="139"/>
      <c r="GY191" s="139"/>
      <c r="GZ191" s="139"/>
      <c r="HA191" s="139"/>
      <c r="HB191" s="139"/>
      <c r="HC191" s="139"/>
      <c r="HD191" s="139"/>
      <c r="HE191" s="139"/>
      <c r="HF191" s="139"/>
      <c r="HG191" s="139"/>
      <c r="HH191" s="139"/>
      <c r="HI191" s="139"/>
      <c r="HJ191" s="139"/>
      <c r="HK191" s="139"/>
      <c r="HL191" s="139"/>
      <c r="HM191" s="139"/>
      <c r="HN191" s="139"/>
      <c r="HO191" s="139"/>
      <c r="HP191" s="139"/>
      <c r="HQ191" s="139"/>
      <c r="HR191" s="139"/>
      <c r="HS191" s="139"/>
      <c r="HT191" s="139"/>
      <c r="HU191" s="139"/>
      <c r="HV191" s="139"/>
      <c r="HW191" s="139"/>
      <c r="HX191" s="139"/>
      <c r="HY191" s="139"/>
      <c r="HZ191" s="139"/>
      <c r="IA191" s="139"/>
      <c r="IB191" s="139"/>
      <c r="IC191" s="139"/>
      <c r="ID191" s="139"/>
      <c r="IE191" s="139"/>
      <c r="IF191" s="139"/>
      <c r="IG191" s="139"/>
      <c r="IH191" s="139"/>
      <c r="II191" s="139"/>
      <c r="IJ191" s="139"/>
      <c r="IK191" s="139"/>
      <c r="IL191" s="139"/>
      <c r="IM191" s="139"/>
      <c r="IN191" s="139"/>
      <c r="IO191" s="139"/>
      <c r="IP191" s="139"/>
    </row>
    <row r="192" spans="2:253" x14ac:dyDescent="0.3">
      <c r="B192" s="5" t="s">
        <v>112</v>
      </c>
      <c r="C192" s="722" t="s">
        <v>215</v>
      </c>
      <c r="D192" s="270">
        <v>589888.83748365613</v>
      </c>
      <c r="E192" s="968">
        <v>151.30390872320899</v>
      </c>
      <c r="F192" s="968">
        <v>19907223.843032584</v>
      </c>
      <c r="G192" s="968">
        <v>3892.6585502665912</v>
      </c>
      <c r="H192" s="968">
        <v>20497112.680516239</v>
      </c>
      <c r="I192" s="968">
        <v>4043.9624589898003</v>
      </c>
      <c r="J192" s="968">
        <v>4205976.7193701565</v>
      </c>
      <c r="K192" s="968">
        <v>1080.0527617670623</v>
      </c>
      <c r="L192" s="968">
        <v>45168.961887757796</v>
      </c>
      <c r="M192" s="968">
        <v>8.8323388075321585</v>
      </c>
      <c r="N192" s="968">
        <v>4251145.6812579148</v>
      </c>
      <c r="O192" s="968">
        <v>1088.8851005745944</v>
      </c>
      <c r="P192" s="968">
        <v>24748258.361774154</v>
      </c>
      <c r="Q192" s="716">
        <v>5132.8475595643949</v>
      </c>
      <c r="R192" s="270">
        <v>10387440.789413406</v>
      </c>
      <c r="S192" s="968">
        <v>2031.1601719618973</v>
      </c>
      <c r="T192" s="968">
        <v>0</v>
      </c>
      <c r="U192" s="968">
        <v>0</v>
      </c>
      <c r="V192" s="968">
        <v>0</v>
      </c>
      <c r="W192" s="968">
        <v>0</v>
      </c>
      <c r="X192" s="968">
        <v>10387440.789413406</v>
      </c>
      <c r="Y192" s="716">
        <v>2031.1601719618973</v>
      </c>
      <c r="Z192" s="270">
        <v>4795865.5568538122</v>
      </c>
      <c r="AA192" s="968">
        <v>1231.3566704902712</v>
      </c>
      <c r="AB192" s="968">
        <v>30339833.594333746</v>
      </c>
      <c r="AC192" s="968">
        <v>5932.651061036021</v>
      </c>
      <c r="AD192" s="968">
        <v>35135699.151187554</v>
      </c>
      <c r="AE192" s="716">
        <v>7164.0077315262924</v>
      </c>
      <c r="AF192" s="139"/>
      <c r="AG192" s="139"/>
      <c r="AH192" s="139"/>
      <c r="AI192" s="139"/>
      <c r="AJ192" s="139"/>
      <c r="AK192" s="139"/>
      <c r="AL192" s="139"/>
      <c r="AM192" s="139"/>
      <c r="AN192" s="139"/>
      <c r="AO192" s="139"/>
      <c r="AP192" s="139"/>
      <c r="AQ192" s="139"/>
      <c r="AR192" s="139"/>
      <c r="AS192" s="139"/>
      <c r="AT192" s="139"/>
      <c r="AU192" s="139"/>
      <c r="AV192" s="139"/>
      <c r="AW192" s="139"/>
      <c r="AX192" s="139"/>
      <c r="AY192" s="139"/>
      <c r="AZ192" s="139"/>
      <c r="BA192" s="139"/>
      <c r="BB192" s="139"/>
      <c r="BC192" s="139"/>
      <c r="BD192" s="139"/>
      <c r="BE192" s="139"/>
      <c r="BF192" s="139"/>
      <c r="BG192" s="139"/>
      <c r="BH192" s="139"/>
      <c r="BI192" s="139"/>
      <c r="BJ192" s="139"/>
      <c r="BK192" s="139"/>
      <c r="BL192" s="139"/>
      <c r="BM192" s="139"/>
      <c r="BN192" s="139"/>
      <c r="BO192" s="139"/>
      <c r="BP192" s="139"/>
      <c r="BQ192" s="139"/>
      <c r="BR192" s="139"/>
      <c r="BS192" s="139"/>
      <c r="BT192" s="139"/>
      <c r="BU192" s="139"/>
      <c r="BV192" s="139"/>
      <c r="BW192" s="139"/>
      <c r="BX192" s="139"/>
      <c r="BY192" s="139"/>
      <c r="BZ192" s="139"/>
      <c r="CA192" s="139"/>
      <c r="CB192" s="139"/>
      <c r="CC192" s="139"/>
      <c r="CD192" s="139"/>
      <c r="CE192" s="139"/>
      <c r="CF192" s="139"/>
      <c r="CG192" s="139"/>
      <c r="CH192" s="139"/>
      <c r="CI192" s="139"/>
      <c r="CJ192" s="139"/>
      <c r="CK192" s="139"/>
      <c r="CL192" s="139"/>
      <c r="CM192" s="139"/>
      <c r="CN192" s="139"/>
      <c r="CO192" s="139"/>
      <c r="CP192" s="139"/>
      <c r="CQ192" s="139"/>
      <c r="CR192" s="139"/>
      <c r="CS192" s="139"/>
      <c r="CT192" s="139"/>
      <c r="CU192" s="139"/>
      <c r="CV192" s="139"/>
      <c r="CW192" s="139"/>
      <c r="CX192" s="139"/>
      <c r="CY192" s="139"/>
      <c r="CZ192" s="139"/>
      <c r="DA192" s="139"/>
      <c r="DB192" s="139"/>
      <c r="DC192" s="139"/>
      <c r="DD192" s="139"/>
      <c r="DE192" s="139"/>
      <c r="DF192" s="139"/>
      <c r="DG192" s="139"/>
      <c r="DH192" s="139"/>
      <c r="DI192" s="139"/>
      <c r="DJ192" s="139"/>
      <c r="DK192" s="139"/>
      <c r="DL192" s="139"/>
      <c r="DM192" s="139"/>
      <c r="DN192" s="139"/>
      <c r="DO192" s="139"/>
      <c r="DP192" s="139"/>
      <c r="DQ192" s="139"/>
      <c r="DR192" s="139"/>
      <c r="DS192" s="139"/>
      <c r="DT192" s="139"/>
      <c r="DU192" s="139"/>
      <c r="DV192" s="139"/>
      <c r="DW192" s="139"/>
      <c r="DX192" s="139"/>
      <c r="DY192" s="139"/>
      <c r="DZ192" s="139"/>
      <c r="EA192" s="139"/>
      <c r="EB192" s="139"/>
      <c r="EC192" s="139"/>
      <c r="ED192" s="139"/>
      <c r="EE192" s="139"/>
      <c r="EF192" s="139"/>
      <c r="EG192" s="139"/>
      <c r="EH192" s="139"/>
      <c r="EI192" s="139"/>
      <c r="EJ192" s="139"/>
      <c r="EK192" s="139"/>
      <c r="EL192" s="139"/>
      <c r="EM192" s="139"/>
      <c r="EN192" s="139"/>
      <c r="EO192" s="139"/>
      <c r="EP192" s="139"/>
      <c r="EQ192" s="139"/>
      <c r="ER192" s="139"/>
      <c r="ES192" s="139"/>
      <c r="ET192" s="139"/>
      <c r="EU192" s="139"/>
      <c r="EV192" s="139"/>
      <c r="EW192" s="139"/>
      <c r="EX192" s="139"/>
      <c r="EY192" s="139"/>
      <c r="EZ192" s="139"/>
      <c r="FA192" s="139"/>
      <c r="FB192" s="139"/>
      <c r="FC192" s="139"/>
      <c r="FD192" s="139"/>
      <c r="FE192" s="139"/>
      <c r="FF192" s="139"/>
      <c r="FG192" s="139"/>
      <c r="FH192" s="139"/>
      <c r="FI192" s="139"/>
      <c r="FJ192" s="139"/>
      <c r="FK192" s="139"/>
      <c r="FL192" s="139"/>
      <c r="FM192" s="139"/>
      <c r="FN192" s="139"/>
      <c r="FO192" s="139"/>
      <c r="FP192" s="139"/>
      <c r="FQ192" s="139"/>
      <c r="FR192" s="139"/>
      <c r="FS192" s="139"/>
      <c r="FT192" s="139"/>
      <c r="FU192" s="139"/>
      <c r="FV192" s="139"/>
      <c r="FW192" s="139"/>
      <c r="FX192" s="139"/>
      <c r="FY192" s="139"/>
      <c r="FZ192" s="139"/>
      <c r="GA192" s="139"/>
      <c r="GB192" s="139"/>
      <c r="GC192" s="139"/>
      <c r="GD192" s="139"/>
      <c r="GE192" s="139"/>
      <c r="GF192" s="139"/>
      <c r="GG192" s="139"/>
      <c r="GH192" s="139"/>
      <c r="GI192" s="139"/>
      <c r="GJ192" s="139"/>
      <c r="GK192" s="139"/>
      <c r="GL192" s="139"/>
      <c r="GM192" s="139"/>
      <c r="GN192" s="139"/>
      <c r="GO192" s="139"/>
      <c r="GP192" s="139"/>
      <c r="GQ192" s="139"/>
      <c r="GR192" s="139"/>
      <c r="GS192" s="139"/>
      <c r="GT192" s="139"/>
      <c r="GU192" s="139"/>
      <c r="GV192" s="139"/>
      <c r="GW192" s="139"/>
      <c r="GX192" s="139"/>
      <c r="GY192" s="139"/>
      <c r="GZ192" s="139"/>
      <c r="HA192" s="139"/>
      <c r="HB192" s="139"/>
      <c r="HC192" s="139"/>
      <c r="HD192" s="139"/>
      <c r="HE192" s="139"/>
      <c r="HF192" s="139"/>
      <c r="HG192" s="139"/>
      <c r="HH192" s="139"/>
      <c r="HI192" s="139"/>
      <c r="HJ192" s="139"/>
      <c r="HK192" s="139"/>
      <c r="HL192" s="139"/>
      <c r="HM192" s="139"/>
      <c r="HN192" s="139"/>
      <c r="HO192" s="139"/>
      <c r="HP192" s="139"/>
      <c r="HQ192" s="139"/>
      <c r="HR192" s="139"/>
      <c r="HS192" s="139"/>
      <c r="HT192" s="139"/>
      <c r="HU192" s="139"/>
      <c r="HV192" s="139"/>
      <c r="HW192" s="139"/>
      <c r="HX192" s="139"/>
      <c r="HY192" s="139"/>
      <c r="HZ192" s="139"/>
      <c r="IA192" s="139"/>
      <c r="IB192" s="139"/>
      <c r="IC192" s="139"/>
      <c r="ID192" s="139"/>
      <c r="IE192" s="139"/>
      <c r="IF192" s="139"/>
      <c r="IG192" s="139"/>
      <c r="IH192" s="139"/>
      <c r="II192" s="139"/>
      <c r="IJ192" s="139"/>
      <c r="IK192" s="139"/>
      <c r="IL192" s="139"/>
      <c r="IM192" s="139"/>
      <c r="IN192" s="139"/>
      <c r="IO192" s="139"/>
      <c r="IP192" s="139"/>
    </row>
    <row r="193" spans="2:250" x14ac:dyDescent="0.3">
      <c r="B193" s="5" t="s">
        <v>113</v>
      </c>
      <c r="C193" s="722" t="s">
        <v>216</v>
      </c>
      <c r="D193" s="270">
        <v>0</v>
      </c>
      <c r="E193" s="968">
        <v>0</v>
      </c>
      <c r="F193" s="968">
        <v>43675429.858311936</v>
      </c>
      <c r="G193" s="968">
        <v>8540.2935544943157</v>
      </c>
      <c r="H193" s="968">
        <v>43675429.858311936</v>
      </c>
      <c r="I193" s="968">
        <v>8540.2935544943157</v>
      </c>
      <c r="J193" s="968">
        <v>3043080.4872729611</v>
      </c>
      <c r="K193" s="968">
        <v>781.43263832682351</v>
      </c>
      <c r="L193" s="968">
        <v>834.31564773760806</v>
      </c>
      <c r="M193" s="968">
        <v>0.16314208175861189</v>
      </c>
      <c r="N193" s="968">
        <v>3043914.8029206987</v>
      </c>
      <c r="O193" s="968">
        <v>781.59578040858207</v>
      </c>
      <c r="P193" s="968">
        <v>46719344.661232635</v>
      </c>
      <c r="Q193" s="716">
        <v>9321.8893349028986</v>
      </c>
      <c r="R193" s="270">
        <v>4022322.5581302205</v>
      </c>
      <c r="S193" s="968">
        <v>786.52495301678323</v>
      </c>
      <c r="T193" s="968">
        <v>3585825.6717406274</v>
      </c>
      <c r="U193" s="968">
        <v>701.17235185216225</v>
      </c>
      <c r="V193" s="968">
        <v>0</v>
      </c>
      <c r="W193" s="968">
        <v>0</v>
      </c>
      <c r="X193" s="968">
        <v>7608148.2298708484</v>
      </c>
      <c r="Y193" s="716">
        <v>1487.6973048689456</v>
      </c>
      <c r="Z193" s="270">
        <v>3043080.4872729611</v>
      </c>
      <c r="AA193" s="968">
        <v>781.43263832682351</v>
      </c>
      <c r="AB193" s="968">
        <v>51284412.403830521</v>
      </c>
      <c r="AC193" s="968">
        <v>10028.154001445022</v>
      </c>
      <c r="AD193" s="968">
        <v>54327492.891103484</v>
      </c>
      <c r="AE193" s="716">
        <v>10809.586639771846</v>
      </c>
      <c r="AF193" s="139"/>
      <c r="AG193" s="139"/>
      <c r="AH193" s="139"/>
      <c r="AI193" s="139"/>
      <c r="AJ193" s="139"/>
      <c r="AK193" s="139"/>
      <c r="AL193" s="139"/>
      <c r="AM193" s="139"/>
      <c r="AN193" s="139"/>
      <c r="AO193" s="139"/>
      <c r="AP193" s="139"/>
      <c r="AQ193" s="139"/>
      <c r="AR193" s="139"/>
      <c r="AS193" s="139"/>
      <c r="AT193" s="139"/>
      <c r="AU193" s="139"/>
      <c r="AV193" s="139"/>
      <c r="AW193" s="139"/>
      <c r="AX193" s="139"/>
      <c r="AY193" s="139"/>
      <c r="AZ193" s="139"/>
      <c r="BA193" s="139"/>
      <c r="BB193" s="139"/>
      <c r="BC193" s="139"/>
      <c r="BD193" s="139"/>
      <c r="BE193" s="139"/>
      <c r="BF193" s="139"/>
      <c r="BG193" s="139"/>
      <c r="BH193" s="139"/>
      <c r="BI193" s="139"/>
      <c r="BJ193" s="139"/>
      <c r="BK193" s="139"/>
      <c r="BL193" s="139"/>
      <c r="BM193" s="139"/>
      <c r="BN193" s="139"/>
      <c r="BO193" s="139"/>
      <c r="BP193" s="139"/>
      <c r="BQ193" s="139"/>
      <c r="BR193" s="139"/>
      <c r="BS193" s="139"/>
      <c r="BT193" s="139"/>
      <c r="BU193" s="139"/>
      <c r="BV193" s="139"/>
      <c r="BW193" s="139"/>
      <c r="BX193" s="139"/>
      <c r="BY193" s="139"/>
      <c r="BZ193" s="139"/>
      <c r="CA193" s="139"/>
      <c r="CB193" s="139"/>
      <c r="CC193" s="139"/>
      <c r="CD193" s="139"/>
      <c r="CE193" s="139"/>
      <c r="CF193" s="139"/>
      <c r="CG193" s="139"/>
      <c r="CH193" s="139"/>
      <c r="CI193" s="139"/>
      <c r="CJ193" s="139"/>
      <c r="CK193" s="139"/>
      <c r="CL193" s="139"/>
      <c r="CM193" s="139"/>
      <c r="CN193" s="139"/>
      <c r="CO193" s="139"/>
      <c r="CP193" s="139"/>
      <c r="CQ193" s="139"/>
      <c r="CR193" s="139"/>
      <c r="CS193" s="139"/>
      <c r="CT193" s="139"/>
      <c r="CU193" s="139"/>
      <c r="CV193" s="139"/>
      <c r="CW193" s="139"/>
      <c r="CX193" s="139"/>
      <c r="CY193" s="139"/>
      <c r="CZ193" s="139"/>
      <c r="DA193" s="139"/>
      <c r="DB193" s="139"/>
      <c r="DC193" s="139"/>
      <c r="DD193" s="139"/>
      <c r="DE193" s="139"/>
      <c r="DF193" s="139"/>
      <c r="DG193" s="139"/>
      <c r="DH193" s="139"/>
      <c r="DI193" s="139"/>
      <c r="DJ193" s="139"/>
      <c r="DK193" s="139"/>
      <c r="DL193" s="139"/>
      <c r="DM193" s="139"/>
      <c r="DN193" s="139"/>
      <c r="DO193" s="139"/>
      <c r="DP193" s="139"/>
      <c r="DQ193" s="139"/>
      <c r="DR193" s="139"/>
      <c r="DS193" s="139"/>
      <c r="DT193" s="139"/>
      <c r="DU193" s="139"/>
      <c r="DV193" s="139"/>
      <c r="DW193" s="139"/>
      <c r="DX193" s="139"/>
      <c r="DY193" s="139"/>
      <c r="DZ193" s="139"/>
      <c r="EA193" s="139"/>
      <c r="EB193" s="139"/>
      <c r="EC193" s="139"/>
      <c r="ED193" s="139"/>
      <c r="EE193" s="139"/>
      <c r="EF193" s="139"/>
      <c r="EG193" s="139"/>
      <c r="EH193" s="139"/>
      <c r="EI193" s="139"/>
      <c r="EJ193" s="139"/>
      <c r="EK193" s="139"/>
      <c r="EL193" s="139"/>
      <c r="EM193" s="139"/>
      <c r="EN193" s="139"/>
      <c r="EO193" s="139"/>
      <c r="EP193" s="139"/>
      <c r="EQ193" s="139"/>
      <c r="ER193" s="139"/>
      <c r="ES193" s="139"/>
      <c r="ET193" s="139"/>
      <c r="EU193" s="139"/>
      <c r="EV193" s="139"/>
      <c r="EW193" s="139"/>
      <c r="EX193" s="139"/>
      <c r="EY193" s="139"/>
      <c r="EZ193" s="139"/>
      <c r="FA193" s="139"/>
      <c r="FB193" s="139"/>
      <c r="FC193" s="139"/>
      <c r="FD193" s="139"/>
      <c r="FE193" s="139"/>
      <c r="FF193" s="139"/>
      <c r="FG193" s="139"/>
      <c r="FH193" s="139"/>
      <c r="FI193" s="139"/>
      <c r="FJ193" s="139"/>
      <c r="FK193" s="139"/>
      <c r="FL193" s="139"/>
      <c r="FM193" s="139"/>
      <c r="FN193" s="139"/>
      <c r="FO193" s="139"/>
      <c r="FP193" s="139"/>
      <c r="FQ193" s="139"/>
      <c r="FR193" s="139"/>
      <c r="FS193" s="139"/>
      <c r="FT193" s="139"/>
      <c r="FU193" s="139"/>
      <c r="FV193" s="139"/>
      <c r="FW193" s="139"/>
      <c r="FX193" s="139"/>
      <c r="FY193" s="139"/>
      <c r="FZ193" s="139"/>
      <c r="GA193" s="139"/>
      <c r="GB193" s="139"/>
      <c r="GC193" s="139"/>
      <c r="GD193" s="139"/>
      <c r="GE193" s="139"/>
      <c r="GF193" s="139"/>
      <c r="GG193" s="139"/>
      <c r="GH193" s="139"/>
      <c r="GI193" s="139"/>
      <c r="GJ193" s="139"/>
      <c r="GK193" s="139"/>
      <c r="GL193" s="139"/>
      <c r="GM193" s="139"/>
      <c r="GN193" s="139"/>
      <c r="GO193" s="139"/>
      <c r="GP193" s="139"/>
      <c r="GQ193" s="139"/>
      <c r="GR193" s="139"/>
      <c r="GS193" s="139"/>
      <c r="GT193" s="139"/>
      <c r="GU193" s="139"/>
      <c r="GV193" s="139"/>
      <c r="GW193" s="139"/>
      <c r="GX193" s="139"/>
      <c r="GY193" s="139"/>
      <c r="GZ193" s="139"/>
      <c r="HA193" s="139"/>
      <c r="HB193" s="139"/>
      <c r="HC193" s="139"/>
      <c r="HD193" s="139"/>
      <c r="HE193" s="139"/>
      <c r="HF193" s="139"/>
      <c r="HG193" s="139"/>
      <c r="HH193" s="139"/>
      <c r="HI193" s="139"/>
      <c r="HJ193" s="139"/>
      <c r="HK193" s="139"/>
      <c r="HL193" s="139"/>
      <c r="HM193" s="139"/>
      <c r="HN193" s="139"/>
      <c r="HO193" s="139"/>
      <c r="HP193" s="139"/>
      <c r="HQ193" s="139"/>
      <c r="HR193" s="139"/>
      <c r="HS193" s="139"/>
      <c r="HT193" s="139"/>
      <c r="HU193" s="139"/>
      <c r="HV193" s="139"/>
      <c r="HW193" s="139"/>
      <c r="HX193" s="139"/>
      <c r="HY193" s="139"/>
      <c r="HZ193" s="139"/>
      <c r="IA193" s="139"/>
      <c r="IB193" s="139"/>
      <c r="IC193" s="139"/>
      <c r="ID193" s="139"/>
      <c r="IE193" s="139"/>
      <c r="IF193" s="139"/>
      <c r="IG193" s="139"/>
      <c r="IH193" s="139"/>
      <c r="II193" s="139"/>
      <c r="IJ193" s="139"/>
      <c r="IK193" s="139"/>
      <c r="IL193" s="139"/>
      <c r="IM193" s="139"/>
      <c r="IN193" s="139"/>
      <c r="IO193" s="139"/>
      <c r="IP193" s="139"/>
    </row>
    <row r="194" spans="2:250" x14ac:dyDescent="0.3">
      <c r="B194" s="5" t="s">
        <v>114</v>
      </c>
      <c r="C194" s="722" t="s">
        <v>217</v>
      </c>
      <c r="D194" s="270">
        <v>0</v>
      </c>
      <c r="E194" s="968">
        <v>0</v>
      </c>
      <c r="F194" s="968">
        <v>25334226.847400222</v>
      </c>
      <c r="G194" s="968">
        <v>4953.854717740639</v>
      </c>
      <c r="H194" s="968">
        <v>25334226.847400222</v>
      </c>
      <c r="I194" s="968">
        <v>4953.854717740639</v>
      </c>
      <c r="J194" s="968">
        <v>6565691.6246515838</v>
      </c>
      <c r="K194" s="968">
        <v>1686.00395229428</v>
      </c>
      <c r="L194" s="968">
        <v>330086.66639279138</v>
      </c>
      <c r="M194" s="968">
        <v>64.54514674644642</v>
      </c>
      <c r="N194" s="968">
        <v>6895778.2910443749</v>
      </c>
      <c r="O194" s="968">
        <v>1750.5490990407263</v>
      </c>
      <c r="P194" s="968">
        <v>32230005.138444595</v>
      </c>
      <c r="Q194" s="716">
        <v>6704.4038167813651</v>
      </c>
      <c r="R194" s="270">
        <v>7513319.8882118566</v>
      </c>
      <c r="S194" s="968">
        <v>1469.1545709409465</v>
      </c>
      <c r="T194" s="968">
        <v>0</v>
      </c>
      <c r="U194" s="968">
        <v>0</v>
      </c>
      <c r="V194" s="968">
        <v>0</v>
      </c>
      <c r="W194" s="968">
        <v>0</v>
      </c>
      <c r="X194" s="968">
        <v>7513319.8882118566</v>
      </c>
      <c r="Y194" s="716">
        <v>1469.1545709409465</v>
      </c>
      <c r="Z194" s="270">
        <v>6565691.6246515838</v>
      </c>
      <c r="AA194" s="968">
        <v>1686.00395229428</v>
      </c>
      <c r="AB194" s="968">
        <v>33177633.402004872</v>
      </c>
      <c r="AC194" s="968">
        <v>6487.5544354280319</v>
      </c>
      <c r="AD194" s="968">
        <v>39743325.026656456</v>
      </c>
      <c r="AE194" s="716">
        <v>8173.5583877223116</v>
      </c>
      <c r="AF194" s="139"/>
      <c r="AG194" s="139"/>
      <c r="AH194" s="139"/>
      <c r="AI194" s="139"/>
      <c r="AJ194" s="139"/>
      <c r="AK194" s="139"/>
      <c r="AL194" s="139"/>
      <c r="AM194" s="139"/>
      <c r="AN194" s="139"/>
      <c r="AO194" s="139"/>
      <c r="AP194" s="139"/>
      <c r="AQ194" s="139"/>
      <c r="AR194" s="139"/>
      <c r="AS194" s="139"/>
      <c r="AT194" s="139"/>
      <c r="AU194" s="139"/>
      <c r="AV194" s="139"/>
      <c r="AW194" s="139"/>
      <c r="AX194" s="139"/>
      <c r="AY194" s="139"/>
      <c r="AZ194" s="139"/>
      <c r="BA194" s="139"/>
      <c r="BB194" s="139"/>
      <c r="BC194" s="139"/>
      <c r="BD194" s="139"/>
      <c r="BE194" s="139"/>
      <c r="BF194" s="139"/>
      <c r="BG194" s="139"/>
      <c r="BH194" s="139"/>
      <c r="BI194" s="139"/>
      <c r="BJ194" s="139"/>
      <c r="BK194" s="139"/>
      <c r="BL194" s="139"/>
      <c r="BM194" s="139"/>
      <c r="BN194" s="139"/>
      <c r="BO194" s="139"/>
      <c r="BP194" s="139"/>
      <c r="BQ194" s="139"/>
      <c r="BR194" s="139"/>
      <c r="BS194" s="139"/>
      <c r="BT194" s="139"/>
      <c r="BU194" s="139"/>
      <c r="BV194" s="139"/>
      <c r="BW194" s="139"/>
      <c r="BX194" s="139"/>
      <c r="BY194" s="139"/>
      <c r="BZ194" s="139"/>
      <c r="CA194" s="139"/>
      <c r="CB194" s="139"/>
      <c r="CC194" s="139"/>
      <c r="CD194" s="139"/>
      <c r="CE194" s="139"/>
      <c r="CF194" s="139"/>
      <c r="CG194" s="139"/>
      <c r="CH194" s="139"/>
      <c r="CI194" s="139"/>
      <c r="CJ194" s="139"/>
      <c r="CK194" s="139"/>
      <c r="CL194" s="139"/>
      <c r="CM194" s="139"/>
      <c r="CN194" s="139"/>
      <c r="CO194" s="139"/>
      <c r="CP194" s="139"/>
      <c r="CQ194" s="139"/>
      <c r="CR194" s="139"/>
      <c r="CS194" s="139"/>
      <c r="CT194" s="139"/>
      <c r="CU194" s="139"/>
      <c r="CV194" s="139"/>
      <c r="CW194" s="139"/>
      <c r="CX194" s="139"/>
      <c r="CY194" s="139"/>
      <c r="CZ194" s="139"/>
      <c r="DA194" s="139"/>
      <c r="DB194" s="139"/>
      <c r="DC194" s="139"/>
      <c r="DD194" s="139"/>
      <c r="DE194" s="139"/>
      <c r="DF194" s="139"/>
      <c r="DG194" s="139"/>
      <c r="DH194" s="139"/>
      <c r="DI194" s="139"/>
      <c r="DJ194" s="139"/>
      <c r="DK194" s="139"/>
      <c r="DL194" s="139"/>
      <c r="DM194" s="139"/>
      <c r="DN194" s="139"/>
      <c r="DO194" s="139"/>
      <c r="DP194" s="139"/>
      <c r="DQ194" s="139"/>
      <c r="DR194" s="139"/>
      <c r="DS194" s="139"/>
      <c r="DT194" s="139"/>
      <c r="DU194" s="139"/>
      <c r="DV194" s="139"/>
      <c r="DW194" s="139"/>
      <c r="DX194" s="139"/>
      <c r="DY194" s="139"/>
      <c r="DZ194" s="139"/>
      <c r="EA194" s="139"/>
      <c r="EB194" s="139"/>
      <c r="EC194" s="139"/>
      <c r="ED194" s="139"/>
      <c r="EE194" s="139"/>
      <c r="EF194" s="139"/>
      <c r="EG194" s="139"/>
      <c r="EH194" s="139"/>
      <c r="EI194" s="139"/>
      <c r="EJ194" s="139"/>
      <c r="EK194" s="139"/>
      <c r="EL194" s="139"/>
      <c r="EM194" s="139"/>
      <c r="EN194" s="139"/>
      <c r="EO194" s="139"/>
      <c r="EP194" s="139"/>
      <c r="EQ194" s="139"/>
      <c r="ER194" s="139"/>
      <c r="ES194" s="139"/>
      <c r="ET194" s="139"/>
      <c r="EU194" s="139"/>
      <c r="EV194" s="139"/>
      <c r="EW194" s="139"/>
      <c r="EX194" s="139"/>
      <c r="EY194" s="139"/>
      <c r="EZ194" s="139"/>
      <c r="FA194" s="139"/>
      <c r="FB194" s="139"/>
      <c r="FC194" s="139"/>
      <c r="FD194" s="139"/>
      <c r="FE194" s="139"/>
      <c r="FF194" s="139"/>
      <c r="FG194" s="139"/>
      <c r="FH194" s="139"/>
      <c r="FI194" s="139"/>
      <c r="FJ194" s="139"/>
      <c r="FK194" s="139"/>
      <c r="FL194" s="139"/>
      <c r="FM194" s="139"/>
      <c r="FN194" s="139"/>
      <c r="FO194" s="139"/>
      <c r="FP194" s="139"/>
      <c r="FQ194" s="139"/>
      <c r="FR194" s="139"/>
      <c r="FS194" s="139"/>
      <c r="FT194" s="139"/>
      <c r="FU194" s="139"/>
      <c r="FV194" s="139"/>
      <c r="FW194" s="139"/>
      <c r="FX194" s="139"/>
      <c r="FY194" s="139"/>
      <c r="FZ194" s="139"/>
      <c r="GA194" s="139"/>
      <c r="GB194" s="139"/>
      <c r="GC194" s="139"/>
      <c r="GD194" s="139"/>
      <c r="GE194" s="139"/>
      <c r="GF194" s="139"/>
      <c r="GG194" s="139"/>
      <c r="GH194" s="139"/>
      <c r="GI194" s="139"/>
      <c r="GJ194" s="139"/>
      <c r="GK194" s="139"/>
      <c r="GL194" s="139"/>
      <c r="GM194" s="139"/>
      <c r="GN194" s="139"/>
      <c r="GO194" s="139"/>
      <c r="GP194" s="139"/>
      <c r="GQ194" s="139"/>
      <c r="GR194" s="139"/>
      <c r="GS194" s="139"/>
      <c r="GT194" s="139"/>
      <c r="GU194" s="139"/>
      <c r="GV194" s="139"/>
      <c r="GW194" s="139"/>
      <c r="GX194" s="139"/>
      <c r="GY194" s="139"/>
      <c r="GZ194" s="139"/>
      <c r="HA194" s="139"/>
      <c r="HB194" s="139"/>
      <c r="HC194" s="139"/>
      <c r="HD194" s="139"/>
      <c r="HE194" s="139"/>
      <c r="HF194" s="139"/>
      <c r="HG194" s="139"/>
      <c r="HH194" s="139"/>
      <c r="HI194" s="139"/>
      <c r="HJ194" s="139"/>
      <c r="HK194" s="139"/>
      <c r="HL194" s="139"/>
      <c r="HM194" s="139"/>
      <c r="HN194" s="139"/>
      <c r="HO194" s="139"/>
      <c r="HP194" s="139"/>
      <c r="HQ194" s="139"/>
      <c r="HR194" s="139"/>
      <c r="HS194" s="139"/>
      <c r="HT194" s="139"/>
      <c r="HU194" s="139"/>
      <c r="HV194" s="139"/>
      <c r="HW194" s="139"/>
      <c r="HX194" s="139"/>
      <c r="HY194" s="139"/>
      <c r="HZ194" s="139"/>
      <c r="IA194" s="139"/>
      <c r="IB194" s="139"/>
      <c r="IC194" s="139"/>
      <c r="ID194" s="139"/>
      <c r="IE194" s="139"/>
      <c r="IF194" s="139"/>
      <c r="IG194" s="139"/>
      <c r="IH194" s="139"/>
      <c r="II194" s="139"/>
      <c r="IJ194" s="139"/>
      <c r="IK194" s="139"/>
      <c r="IL194" s="139"/>
      <c r="IM194" s="139"/>
      <c r="IN194" s="139"/>
      <c r="IO194" s="139"/>
      <c r="IP194" s="139"/>
    </row>
    <row r="195" spans="2:250" x14ac:dyDescent="0.3">
      <c r="B195" s="5" t="s">
        <v>115</v>
      </c>
      <c r="C195" s="722" t="s">
        <v>218</v>
      </c>
      <c r="D195" s="270">
        <v>1263379.3926777754</v>
      </c>
      <c r="E195" s="968">
        <v>324.05129266036943</v>
      </c>
      <c r="F195" s="968">
        <v>18772740.346864726</v>
      </c>
      <c r="G195" s="968">
        <v>3670.8216474259284</v>
      </c>
      <c r="H195" s="968">
        <v>20036119.739542503</v>
      </c>
      <c r="I195" s="968">
        <v>3994.8729400862976</v>
      </c>
      <c r="J195" s="968">
        <v>5302078.7702128105</v>
      </c>
      <c r="K195" s="968">
        <v>1361.5208074029474</v>
      </c>
      <c r="L195" s="968">
        <v>59229.242321851176</v>
      </c>
      <c r="M195" s="968">
        <v>11.581686043614779</v>
      </c>
      <c r="N195" s="968">
        <v>5361308.0125346612</v>
      </c>
      <c r="O195" s="968">
        <v>1373.1024934465622</v>
      </c>
      <c r="P195" s="968">
        <v>25397427.752077162</v>
      </c>
      <c r="Q195" s="716">
        <v>5367.9754335328598</v>
      </c>
      <c r="R195" s="270">
        <v>31636038.585584067</v>
      </c>
      <c r="S195" s="968">
        <v>6186.1109850251078</v>
      </c>
      <c r="T195" s="968">
        <v>0</v>
      </c>
      <c r="U195" s="968">
        <v>0</v>
      </c>
      <c r="V195" s="968">
        <v>0</v>
      </c>
      <c r="W195" s="968">
        <v>0</v>
      </c>
      <c r="X195" s="968">
        <v>31636038.585584067</v>
      </c>
      <c r="Y195" s="716">
        <v>6186.1109850251078</v>
      </c>
      <c r="Z195" s="270">
        <v>6565458.1628905861</v>
      </c>
      <c r="AA195" s="968">
        <v>1685.5721000633168</v>
      </c>
      <c r="AB195" s="968">
        <v>50468008.174770646</v>
      </c>
      <c r="AC195" s="968">
        <v>9868.5143184946501</v>
      </c>
      <c r="AD195" s="968">
        <v>57033466.337661229</v>
      </c>
      <c r="AE195" s="716">
        <v>11554.086418557967</v>
      </c>
      <c r="AF195" s="139"/>
      <c r="AG195" s="139"/>
      <c r="AH195" s="139"/>
      <c r="AI195" s="139"/>
      <c r="AJ195" s="139"/>
      <c r="AK195" s="139"/>
      <c r="AL195" s="139"/>
      <c r="AM195" s="139"/>
      <c r="AN195" s="139"/>
      <c r="AO195" s="139"/>
      <c r="AP195" s="139"/>
      <c r="AQ195" s="139"/>
      <c r="AR195" s="139"/>
      <c r="AS195" s="139"/>
      <c r="AT195" s="139"/>
      <c r="AU195" s="139"/>
      <c r="AV195" s="139"/>
      <c r="AW195" s="139"/>
      <c r="AX195" s="139"/>
      <c r="AY195" s="139"/>
      <c r="AZ195" s="139"/>
      <c r="BA195" s="139"/>
      <c r="BB195" s="139"/>
      <c r="BC195" s="139"/>
      <c r="BD195" s="139"/>
      <c r="BE195" s="139"/>
      <c r="BF195" s="139"/>
      <c r="BG195" s="139"/>
      <c r="BH195" s="139"/>
      <c r="BI195" s="139"/>
      <c r="BJ195" s="139"/>
      <c r="BK195" s="139"/>
      <c r="BL195" s="139"/>
      <c r="BM195" s="139"/>
      <c r="BN195" s="139"/>
      <c r="BO195" s="139"/>
      <c r="BP195" s="139"/>
      <c r="BQ195" s="139"/>
      <c r="BR195" s="139"/>
      <c r="BS195" s="139"/>
      <c r="BT195" s="139"/>
      <c r="BU195" s="139"/>
      <c r="BV195" s="139"/>
      <c r="BW195" s="139"/>
      <c r="BX195" s="139"/>
      <c r="BY195" s="139"/>
      <c r="BZ195" s="139"/>
      <c r="CA195" s="139"/>
      <c r="CB195" s="139"/>
      <c r="CC195" s="139"/>
      <c r="CD195" s="139"/>
      <c r="CE195" s="139"/>
      <c r="CF195" s="139"/>
      <c r="CG195" s="139"/>
      <c r="CH195" s="139"/>
      <c r="CI195" s="139"/>
      <c r="CJ195" s="139"/>
      <c r="CK195" s="139"/>
      <c r="CL195" s="139"/>
      <c r="CM195" s="139"/>
      <c r="CN195" s="139"/>
      <c r="CO195" s="139"/>
      <c r="CP195" s="139"/>
      <c r="CQ195" s="139"/>
      <c r="CR195" s="139"/>
      <c r="CS195" s="139"/>
      <c r="CT195" s="139"/>
      <c r="CU195" s="139"/>
      <c r="CV195" s="139"/>
      <c r="CW195" s="139"/>
      <c r="CX195" s="139"/>
      <c r="CY195" s="139"/>
      <c r="CZ195" s="139"/>
      <c r="DA195" s="139"/>
      <c r="DB195" s="139"/>
      <c r="DC195" s="139"/>
      <c r="DD195" s="139"/>
      <c r="DE195" s="139"/>
      <c r="DF195" s="139"/>
      <c r="DG195" s="139"/>
      <c r="DH195" s="139"/>
      <c r="DI195" s="139"/>
      <c r="DJ195" s="139"/>
      <c r="DK195" s="139"/>
      <c r="DL195" s="139"/>
      <c r="DM195" s="139"/>
      <c r="DN195" s="139"/>
      <c r="DO195" s="139"/>
      <c r="DP195" s="139"/>
      <c r="DQ195" s="139"/>
      <c r="DR195" s="139"/>
      <c r="DS195" s="139"/>
      <c r="DT195" s="139"/>
      <c r="DU195" s="139"/>
      <c r="DV195" s="139"/>
      <c r="DW195" s="139"/>
      <c r="DX195" s="139"/>
      <c r="DY195" s="139"/>
      <c r="DZ195" s="139"/>
      <c r="EA195" s="139"/>
      <c r="EB195" s="139"/>
      <c r="EC195" s="139"/>
      <c r="ED195" s="139"/>
      <c r="EE195" s="139"/>
      <c r="EF195" s="139"/>
      <c r="EG195" s="139"/>
      <c r="EH195" s="139"/>
      <c r="EI195" s="139"/>
      <c r="EJ195" s="139"/>
      <c r="EK195" s="139"/>
      <c r="EL195" s="139"/>
      <c r="EM195" s="139"/>
      <c r="EN195" s="139"/>
      <c r="EO195" s="139"/>
      <c r="EP195" s="139"/>
      <c r="EQ195" s="139"/>
      <c r="ER195" s="139"/>
      <c r="ES195" s="139"/>
      <c r="ET195" s="139"/>
      <c r="EU195" s="139"/>
      <c r="EV195" s="139"/>
      <c r="EW195" s="139"/>
      <c r="EX195" s="139"/>
      <c r="EY195" s="139"/>
      <c r="EZ195" s="139"/>
      <c r="FA195" s="139"/>
      <c r="FB195" s="139"/>
      <c r="FC195" s="139"/>
      <c r="FD195" s="139"/>
      <c r="FE195" s="139"/>
      <c r="FF195" s="139"/>
      <c r="FG195" s="139"/>
      <c r="FH195" s="139"/>
      <c r="FI195" s="139"/>
      <c r="FJ195" s="139"/>
      <c r="FK195" s="139"/>
      <c r="FL195" s="139"/>
      <c r="FM195" s="139"/>
      <c r="FN195" s="139"/>
      <c r="FO195" s="139"/>
      <c r="FP195" s="139"/>
      <c r="FQ195" s="139"/>
      <c r="FR195" s="139"/>
      <c r="FS195" s="139"/>
      <c r="FT195" s="139"/>
      <c r="FU195" s="139"/>
      <c r="FV195" s="139"/>
      <c r="FW195" s="139"/>
      <c r="FX195" s="139"/>
      <c r="FY195" s="139"/>
      <c r="FZ195" s="139"/>
      <c r="GA195" s="139"/>
      <c r="GB195" s="139"/>
      <c r="GC195" s="139"/>
      <c r="GD195" s="139"/>
      <c r="GE195" s="139"/>
      <c r="GF195" s="139"/>
      <c r="GG195" s="139"/>
      <c r="GH195" s="139"/>
      <c r="GI195" s="139"/>
      <c r="GJ195" s="139"/>
      <c r="GK195" s="139"/>
      <c r="GL195" s="139"/>
      <c r="GM195" s="139"/>
      <c r="GN195" s="139"/>
      <c r="GO195" s="139"/>
      <c r="GP195" s="139"/>
      <c r="GQ195" s="139"/>
      <c r="GR195" s="139"/>
      <c r="GS195" s="139"/>
      <c r="GT195" s="139"/>
      <c r="GU195" s="139"/>
      <c r="GV195" s="139"/>
      <c r="GW195" s="139"/>
      <c r="GX195" s="139"/>
      <c r="GY195" s="139"/>
      <c r="GZ195" s="139"/>
      <c r="HA195" s="139"/>
      <c r="HB195" s="139"/>
      <c r="HC195" s="139"/>
      <c r="HD195" s="139"/>
      <c r="HE195" s="139"/>
      <c r="HF195" s="139"/>
      <c r="HG195" s="139"/>
      <c r="HH195" s="139"/>
      <c r="HI195" s="139"/>
      <c r="HJ195" s="139"/>
      <c r="HK195" s="139"/>
      <c r="HL195" s="139"/>
      <c r="HM195" s="139"/>
      <c r="HN195" s="139"/>
      <c r="HO195" s="139"/>
      <c r="HP195" s="139"/>
      <c r="HQ195" s="139"/>
      <c r="HR195" s="139"/>
      <c r="HS195" s="139"/>
      <c r="HT195" s="139"/>
      <c r="HU195" s="139"/>
      <c r="HV195" s="139"/>
      <c r="HW195" s="139"/>
      <c r="HX195" s="139"/>
      <c r="HY195" s="139"/>
      <c r="HZ195" s="139"/>
      <c r="IA195" s="139"/>
      <c r="IB195" s="139"/>
      <c r="IC195" s="139"/>
      <c r="ID195" s="139"/>
      <c r="IE195" s="139"/>
      <c r="IF195" s="139"/>
      <c r="IG195" s="139"/>
      <c r="IH195" s="139"/>
      <c r="II195" s="139"/>
      <c r="IJ195" s="139"/>
      <c r="IK195" s="139"/>
      <c r="IL195" s="139"/>
      <c r="IM195" s="139"/>
      <c r="IN195" s="139"/>
      <c r="IO195" s="139"/>
      <c r="IP195" s="139"/>
    </row>
    <row r="196" spans="2:250" x14ac:dyDescent="0.3">
      <c r="B196" s="5" t="s">
        <v>116</v>
      </c>
      <c r="C196" s="722" t="s">
        <v>219</v>
      </c>
      <c r="D196" s="270">
        <v>2112560.5223553004</v>
      </c>
      <c r="E196" s="968">
        <v>541.86254110217374</v>
      </c>
      <c r="F196" s="968">
        <v>26465294.124688491</v>
      </c>
      <c r="G196" s="968">
        <v>5175.0236131415868</v>
      </c>
      <c r="H196" s="968">
        <v>28577854.647043791</v>
      </c>
      <c r="I196" s="968">
        <v>5716.8861542437608</v>
      </c>
      <c r="J196" s="968">
        <v>5712197.7601980651</v>
      </c>
      <c r="K196" s="968">
        <v>1466.8352628412608</v>
      </c>
      <c r="L196" s="968">
        <v>106127.93623095084</v>
      </c>
      <c r="M196" s="968">
        <v>20.752256650600128</v>
      </c>
      <c r="N196" s="968">
        <v>5818325.6964290161</v>
      </c>
      <c r="O196" s="968">
        <v>1487.587519491861</v>
      </c>
      <c r="P196" s="968">
        <v>34396180.343472809</v>
      </c>
      <c r="Q196" s="716">
        <v>7204.4736737356216</v>
      </c>
      <c r="R196" s="270">
        <v>40305306.410007216</v>
      </c>
      <c r="S196" s="968">
        <v>7881.2996154128105</v>
      </c>
      <c r="T196" s="968">
        <v>0</v>
      </c>
      <c r="U196" s="968">
        <v>0</v>
      </c>
      <c r="V196" s="968">
        <v>0</v>
      </c>
      <c r="W196" s="968">
        <v>0</v>
      </c>
      <c r="X196" s="968">
        <v>40305306.410007216</v>
      </c>
      <c r="Y196" s="716">
        <v>7881.2996154128105</v>
      </c>
      <c r="Z196" s="270">
        <v>7824758.2825533655</v>
      </c>
      <c r="AA196" s="968">
        <v>2008.6978039434346</v>
      </c>
      <c r="AB196" s="968">
        <v>66876728.470926657</v>
      </c>
      <c r="AC196" s="968">
        <v>13077.075485204998</v>
      </c>
      <c r="AD196" s="968">
        <v>74701486.753480017</v>
      </c>
      <c r="AE196" s="716">
        <v>15085.773289148432</v>
      </c>
      <c r="AF196" s="139"/>
      <c r="AG196" s="139"/>
      <c r="AH196" s="139"/>
      <c r="AI196" s="139"/>
      <c r="AJ196" s="139"/>
      <c r="AK196" s="139"/>
      <c r="AL196" s="139"/>
      <c r="AM196" s="139"/>
      <c r="AN196" s="139"/>
      <c r="AO196" s="139"/>
      <c r="AP196" s="139"/>
      <c r="AQ196" s="139"/>
      <c r="AR196" s="139"/>
      <c r="AS196" s="139"/>
      <c r="AT196" s="139"/>
      <c r="AU196" s="139"/>
      <c r="AV196" s="139"/>
      <c r="AW196" s="139"/>
      <c r="AX196" s="139"/>
      <c r="AY196" s="139"/>
      <c r="AZ196" s="139"/>
      <c r="BA196" s="139"/>
      <c r="BB196" s="139"/>
      <c r="BC196" s="139"/>
      <c r="BD196" s="139"/>
      <c r="BE196" s="139"/>
      <c r="BF196" s="139"/>
      <c r="BG196" s="139"/>
      <c r="BH196" s="139"/>
      <c r="BI196" s="139"/>
      <c r="BJ196" s="139"/>
      <c r="BK196" s="139"/>
      <c r="BL196" s="139"/>
      <c r="BM196" s="139"/>
      <c r="BN196" s="139"/>
      <c r="BO196" s="139"/>
      <c r="BP196" s="139"/>
      <c r="BQ196" s="139"/>
      <c r="BR196" s="139"/>
      <c r="BS196" s="139"/>
      <c r="BT196" s="139"/>
      <c r="BU196" s="139"/>
      <c r="BV196" s="139"/>
      <c r="BW196" s="139"/>
      <c r="BX196" s="139"/>
      <c r="BY196" s="139"/>
      <c r="BZ196" s="139"/>
      <c r="CA196" s="139"/>
      <c r="CB196" s="139"/>
      <c r="CC196" s="139"/>
      <c r="CD196" s="139"/>
      <c r="CE196" s="139"/>
      <c r="CF196" s="139"/>
      <c r="CG196" s="139"/>
      <c r="CH196" s="139"/>
      <c r="CI196" s="139"/>
      <c r="CJ196" s="139"/>
      <c r="CK196" s="139"/>
      <c r="CL196" s="139"/>
      <c r="CM196" s="139"/>
      <c r="CN196" s="139"/>
      <c r="CO196" s="139"/>
      <c r="CP196" s="139"/>
      <c r="CQ196" s="139"/>
      <c r="CR196" s="139"/>
      <c r="CS196" s="139"/>
      <c r="CT196" s="139"/>
      <c r="CU196" s="139"/>
      <c r="CV196" s="139"/>
      <c r="CW196" s="139"/>
      <c r="CX196" s="139"/>
      <c r="CY196" s="139"/>
      <c r="CZ196" s="139"/>
      <c r="DA196" s="139"/>
      <c r="DB196" s="139"/>
      <c r="DC196" s="139"/>
      <c r="DD196" s="139"/>
      <c r="DE196" s="139"/>
      <c r="DF196" s="139"/>
      <c r="DG196" s="139"/>
      <c r="DH196" s="139"/>
      <c r="DI196" s="139"/>
      <c r="DJ196" s="139"/>
      <c r="DK196" s="139"/>
      <c r="DL196" s="139"/>
      <c r="DM196" s="139"/>
      <c r="DN196" s="139"/>
      <c r="DO196" s="139"/>
      <c r="DP196" s="139"/>
      <c r="DQ196" s="139"/>
      <c r="DR196" s="139"/>
      <c r="DS196" s="139"/>
      <c r="DT196" s="139"/>
      <c r="DU196" s="139"/>
      <c r="DV196" s="139"/>
      <c r="DW196" s="139"/>
      <c r="DX196" s="139"/>
      <c r="DY196" s="139"/>
      <c r="DZ196" s="139"/>
      <c r="EA196" s="139"/>
      <c r="EB196" s="139"/>
      <c r="EC196" s="139"/>
      <c r="ED196" s="139"/>
      <c r="EE196" s="139"/>
      <c r="EF196" s="139"/>
      <c r="EG196" s="139"/>
      <c r="EH196" s="139"/>
      <c r="EI196" s="139"/>
      <c r="EJ196" s="139"/>
      <c r="EK196" s="139"/>
      <c r="EL196" s="139"/>
      <c r="EM196" s="139"/>
      <c r="EN196" s="139"/>
      <c r="EO196" s="139"/>
      <c r="EP196" s="139"/>
      <c r="EQ196" s="139"/>
      <c r="ER196" s="139"/>
      <c r="ES196" s="139"/>
      <c r="ET196" s="139"/>
      <c r="EU196" s="139"/>
      <c r="EV196" s="139"/>
      <c r="EW196" s="139"/>
      <c r="EX196" s="139"/>
      <c r="EY196" s="139"/>
      <c r="EZ196" s="139"/>
      <c r="FA196" s="139"/>
      <c r="FB196" s="139"/>
      <c r="FC196" s="139"/>
      <c r="FD196" s="139"/>
      <c r="FE196" s="139"/>
      <c r="FF196" s="139"/>
      <c r="FG196" s="139"/>
      <c r="FH196" s="139"/>
      <c r="FI196" s="139"/>
      <c r="FJ196" s="139"/>
      <c r="FK196" s="139"/>
      <c r="FL196" s="139"/>
      <c r="FM196" s="139"/>
      <c r="FN196" s="139"/>
      <c r="FO196" s="139"/>
      <c r="FP196" s="139"/>
      <c r="FQ196" s="139"/>
      <c r="FR196" s="139"/>
      <c r="FS196" s="139"/>
      <c r="FT196" s="139"/>
      <c r="FU196" s="139"/>
      <c r="FV196" s="139"/>
      <c r="FW196" s="139"/>
      <c r="FX196" s="139"/>
      <c r="FY196" s="139"/>
      <c r="FZ196" s="139"/>
      <c r="GA196" s="139"/>
      <c r="GB196" s="139"/>
      <c r="GC196" s="139"/>
      <c r="GD196" s="139"/>
      <c r="GE196" s="139"/>
      <c r="GF196" s="139"/>
      <c r="GG196" s="139"/>
      <c r="GH196" s="139"/>
      <c r="GI196" s="139"/>
      <c r="GJ196" s="139"/>
      <c r="GK196" s="139"/>
      <c r="GL196" s="139"/>
      <c r="GM196" s="139"/>
      <c r="GN196" s="139"/>
      <c r="GO196" s="139"/>
      <c r="GP196" s="139"/>
      <c r="GQ196" s="139"/>
      <c r="GR196" s="139"/>
      <c r="GS196" s="139"/>
      <c r="GT196" s="139"/>
      <c r="GU196" s="139"/>
      <c r="GV196" s="139"/>
      <c r="GW196" s="139"/>
      <c r="GX196" s="139"/>
      <c r="GY196" s="139"/>
      <c r="GZ196" s="139"/>
      <c r="HA196" s="139"/>
      <c r="HB196" s="139"/>
      <c r="HC196" s="139"/>
      <c r="HD196" s="139"/>
      <c r="HE196" s="139"/>
      <c r="HF196" s="139"/>
      <c r="HG196" s="139"/>
      <c r="HH196" s="139"/>
      <c r="HI196" s="139"/>
      <c r="HJ196" s="139"/>
      <c r="HK196" s="139"/>
      <c r="HL196" s="139"/>
      <c r="HM196" s="139"/>
      <c r="HN196" s="139"/>
      <c r="HO196" s="139"/>
      <c r="HP196" s="139"/>
      <c r="HQ196" s="139"/>
      <c r="HR196" s="139"/>
      <c r="HS196" s="139"/>
      <c r="HT196" s="139"/>
      <c r="HU196" s="139"/>
      <c r="HV196" s="139"/>
      <c r="HW196" s="139"/>
      <c r="HX196" s="139"/>
      <c r="HY196" s="139"/>
      <c r="HZ196" s="139"/>
      <c r="IA196" s="139"/>
      <c r="IB196" s="139"/>
      <c r="IC196" s="139"/>
      <c r="ID196" s="139"/>
      <c r="IE196" s="139"/>
      <c r="IF196" s="139"/>
      <c r="IG196" s="139"/>
      <c r="IH196" s="139"/>
      <c r="II196" s="139"/>
      <c r="IJ196" s="139"/>
      <c r="IK196" s="139"/>
      <c r="IL196" s="139"/>
      <c r="IM196" s="139"/>
      <c r="IN196" s="139"/>
      <c r="IO196" s="139"/>
      <c r="IP196" s="139"/>
    </row>
    <row r="197" spans="2:250" x14ac:dyDescent="0.3">
      <c r="B197" s="5" t="s">
        <v>117</v>
      </c>
      <c r="C197" s="722" t="s">
        <v>220</v>
      </c>
      <c r="D197" s="270">
        <v>10192589.874865906</v>
      </c>
      <c r="E197" s="968">
        <v>2614.3547564968867</v>
      </c>
      <c r="F197" s="968">
        <v>15194879.162418205</v>
      </c>
      <c r="G197" s="968">
        <v>2971.2066714192561</v>
      </c>
      <c r="H197" s="968">
        <v>25387469.037284113</v>
      </c>
      <c r="I197" s="968">
        <v>5585.5614279161427</v>
      </c>
      <c r="J197" s="968">
        <v>6576447.7042748723</v>
      </c>
      <c r="K197" s="968">
        <v>1688.7660059807442</v>
      </c>
      <c r="L197" s="968">
        <v>365419.59659704554</v>
      </c>
      <c r="M197" s="968">
        <v>71.454147918586287</v>
      </c>
      <c r="N197" s="968">
        <v>6941867.300871918</v>
      </c>
      <c r="O197" s="968">
        <v>1760.2201538993306</v>
      </c>
      <c r="P197" s="968">
        <v>32329336.33815603</v>
      </c>
      <c r="Q197" s="716">
        <v>7345.7815818154731</v>
      </c>
      <c r="R197" s="270">
        <v>37832564.494127758</v>
      </c>
      <c r="S197" s="968">
        <v>7397.7796611817412</v>
      </c>
      <c r="T197" s="968">
        <v>0</v>
      </c>
      <c r="U197" s="968">
        <v>0</v>
      </c>
      <c r="V197" s="968">
        <v>0</v>
      </c>
      <c r="W197" s="968">
        <v>0</v>
      </c>
      <c r="X197" s="968">
        <v>37832564.494127758</v>
      </c>
      <c r="Y197" s="716">
        <v>7397.7796611817412</v>
      </c>
      <c r="Z197" s="270">
        <v>16769037.579140779</v>
      </c>
      <c r="AA197" s="968">
        <v>4303.1207624776307</v>
      </c>
      <c r="AB197" s="968">
        <v>53392863.253143013</v>
      </c>
      <c r="AC197" s="968">
        <v>10440.440480519585</v>
      </c>
      <c r="AD197" s="968">
        <v>70161900.832283795</v>
      </c>
      <c r="AE197" s="716">
        <v>14743.561242997215</v>
      </c>
      <c r="AF197" s="139"/>
      <c r="AG197" s="139"/>
      <c r="AH197" s="139"/>
      <c r="AI197" s="139"/>
      <c r="AJ197" s="139"/>
      <c r="AK197" s="139"/>
      <c r="AL197" s="139"/>
      <c r="AM197" s="139"/>
      <c r="AN197" s="139"/>
      <c r="AO197" s="139"/>
      <c r="AP197" s="139"/>
      <c r="AQ197" s="139"/>
      <c r="AR197" s="139"/>
      <c r="AS197" s="139"/>
      <c r="AT197" s="139"/>
      <c r="AU197" s="139"/>
      <c r="AV197" s="139"/>
      <c r="AW197" s="139"/>
      <c r="AX197" s="139"/>
      <c r="AY197" s="139"/>
      <c r="AZ197" s="139"/>
      <c r="BA197" s="139"/>
      <c r="BB197" s="139"/>
      <c r="BC197" s="139"/>
      <c r="BD197" s="139"/>
      <c r="BE197" s="139"/>
      <c r="BF197" s="139"/>
      <c r="BG197" s="139"/>
      <c r="BH197" s="139"/>
      <c r="BI197" s="139"/>
      <c r="BJ197" s="139"/>
      <c r="BK197" s="139"/>
      <c r="BL197" s="139"/>
      <c r="BM197" s="139"/>
      <c r="BN197" s="139"/>
      <c r="BO197" s="139"/>
      <c r="BP197" s="139"/>
      <c r="BQ197" s="139"/>
      <c r="BR197" s="139"/>
      <c r="BS197" s="139"/>
      <c r="BT197" s="139"/>
      <c r="BU197" s="139"/>
      <c r="BV197" s="139"/>
      <c r="BW197" s="139"/>
      <c r="BX197" s="139"/>
      <c r="BY197" s="139"/>
      <c r="BZ197" s="139"/>
      <c r="CA197" s="139"/>
      <c r="CB197" s="139"/>
      <c r="CC197" s="139"/>
      <c r="CD197" s="139"/>
      <c r="CE197" s="139"/>
      <c r="CF197" s="139"/>
      <c r="CG197" s="139"/>
      <c r="CH197" s="139"/>
      <c r="CI197" s="139"/>
      <c r="CJ197" s="139"/>
      <c r="CK197" s="139"/>
      <c r="CL197" s="139"/>
      <c r="CM197" s="139"/>
      <c r="CN197" s="139"/>
      <c r="CO197" s="139"/>
      <c r="CP197" s="139"/>
      <c r="CQ197" s="139"/>
      <c r="CR197" s="139"/>
      <c r="CS197" s="139"/>
      <c r="CT197" s="139"/>
      <c r="CU197" s="139"/>
      <c r="CV197" s="139"/>
      <c r="CW197" s="139"/>
      <c r="CX197" s="139"/>
      <c r="CY197" s="139"/>
      <c r="CZ197" s="139"/>
      <c r="DA197" s="139"/>
      <c r="DB197" s="139"/>
      <c r="DC197" s="139"/>
      <c r="DD197" s="139"/>
      <c r="DE197" s="139"/>
      <c r="DF197" s="139"/>
      <c r="DG197" s="139"/>
      <c r="DH197" s="139"/>
      <c r="DI197" s="139"/>
      <c r="DJ197" s="139"/>
      <c r="DK197" s="139"/>
      <c r="DL197" s="139"/>
      <c r="DM197" s="139"/>
      <c r="DN197" s="139"/>
      <c r="DO197" s="139"/>
      <c r="DP197" s="139"/>
      <c r="DQ197" s="139"/>
      <c r="DR197" s="139"/>
      <c r="DS197" s="139"/>
      <c r="DT197" s="139"/>
      <c r="DU197" s="139"/>
      <c r="DV197" s="139"/>
      <c r="DW197" s="139"/>
      <c r="DX197" s="139"/>
      <c r="DY197" s="139"/>
      <c r="DZ197" s="139"/>
      <c r="EA197" s="139"/>
      <c r="EB197" s="139"/>
      <c r="EC197" s="139"/>
      <c r="ED197" s="139"/>
      <c r="EE197" s="139"/>
      <c r="EF197" s="139"/>
      <c r="EG197" s="139"/>
      <c r="EH197" s="139"/>
      <c r="EI197" s="139"/>
      <c r="EJ197" s="139"/>
      <c r="EK197" s="139"/>
      <c r="EL197" s="139"/>
      <c r="EM197" s="139"/>
      <c r="EN197" s="139"/>
      <c r="EO197" s="139"/>
      <c r="EP197" s="139"/>
      <c r="EQ197" s="139"/>
      <c r="ER197" s="139"/>
      <c r="ES197" s="139"/>
      <c r="ET197" s="139"/>
      <c r="EU197" s="139"/>
      <c r="EV197" s="139"/>
      <c r="EW197" s="139"/>
      <c r="EX197" s="139"/>
      <c r="EY197" s="139"/>
      <c r="EZ197" s="139"/>
      <c r="FA197" s="139"/>
      <c r="FB197" s="139"/>
      <c r="FC197" s="139"/>
      <c r="FD197" s="139"/>
      <c r="FE197" s="139"/>
      <c r="FF197" s="139"/>
      <c r="FG197" s="139"/>
      <c r="FH197" s="139"/>
      <c r="FI197" s="139"/>
      <c r="FJ197" s="139"/>
      <c r="FK197" s="139"/>
      <c r="FL197" s="139"/>
      <c r="FM197" s="139"/>
      <c r="FN197" s="139"/>
      <c r="FO197" s="139"/>
      <c r="FP197" s="139"/>
      <c r="FQ197" s="139"/>
      <c r="FR197" s="139"/>
      <c r="FS197" s="139"/>
      <c r="FT197" s="139"/>
      <c r="FU197" s="139"/>
      <c r="FV197" s="139"/>
      <c r="FW197" s="139"/>
      <c r="FX197" s="139"/>
      <c r="FY197" s="139"/>
      <c r="FZ197" s="139"/>
      <c r="GA197" s="139"/>
      <c r="GB197" s="139"/>
      <c r="GC197" s="139"/>
      <c r="GD197" s="139"/>
      <c r="GE197" s="139"/>
      <c r="GF197" s="139"/>
      <c r="GG197" s="139"/>
      <c r="GH197" s="139"/>
      <c r="GI197" s="139"/>
      <c r="GJ197" s="139"/>
      <c r="GK197" s="139"/>
      <c r="GL197" s="139"/>
      <c r="GM197" s="139"/>
      <c r="GN197" s="139"/>
      <c r="GO197" s="139"/>
      <c r="GP197" s="139"/>
      <c r="GQ197" s="139"/>
      <c r="GR197" s="139"/>
      <c r="GS197" s="139"/>
      <c r="GT197" s="139"/>
      <c r="GU197" s="139"/>
      <c r="GV197" s="139"/>
      <c r="GW197" s="139"/>
      <c r="GX197" s="139"/>
      <c r="GY197" s="139"/>
      <c r="GZ197" s="139"/>
      <c r="HA197" s="139"/>
      <c r="HB197" s="139"/>
      <c r="HC197" s="139"/>
      <c r="HD197" s="139"/>
      <c r="HE197" s="139"/>
      <c r="HF197" s="139"/>
      <c r="HG197" s="139"/>
      <c r="HH197" s="139"/>
      <c r="HI197" s="139"/>
      <c r="HJ197" s="139"/>
      <c r="HK197" s="139"/>
      <c r="HL197" s="139"/>
      <c r="HM197" s="139"/>
      <c r="HN197" s="139"/>
      <c r="HO197" s="139"/>
      <c r="HP197" s="139"/>
      <c r="HQ197" s="139"/>
      <c r="HR197" s="139"/>
      <c r="HS197" s="139"/>
      <c r="HT197" s="139"/>
      <c r="HU197" s="139"/>
      <c r="HV197" s="139"/>
      <c r="HW197" s="139"/>
      <c r="HX197" s="139"/>
      <c r="HY197" s="139"/>
      <c r="HZ197" s="139"/>
      <c r="IA197" s="139"/>
      <c r="IB197" s="139"/>
      <c r="IC197" s="139"/>
      <c r="ID197" s="139"/>
      <c r="IE197" s="139"/>
      <c r="IF197" s="139"/>
      <c r="IG197" s="139"/>
      <c r="IH197" s="139"/>
      <c r="II197" s="139"/>
      <c r="IJ197" s="139"/>
      <c r="IK197" s="139"/>
      <c r="IL197" s="139"/>
      <c r="IM197" s="139"/>
      <c r="IN197" s="139"/>
      <c r="IO197" s="139"/>
      <c r="IP197" s="139"/>
    </row>
    <row r="198" spans="2:250" x14ac:dyDescent="0.3">
      <c r="B198" s="5" t="s">
        <v>118</v>
      </c>
      <c r="C198" s="722" t="s">
        <v>221</v>
      </c>
      <c r="D198" s="270">
        <v>0</v>
      </c>
      <c r="E198" s="968">
        <v>0</v>
      </c>
      <c r="F198" s="968">
        <v>56371810.773833647</v>
      </c>
      <c r="G198" s="968">
        <v>11022.943878715432</v>
      </c>
      <c r="H198" s="968">
        <v>56371810.773833647</v>
      </c>
      <c r="I198" s="968">
        <v>11022.943878715432</v>
      </c>
      <c r="J198" s="968">
        <v>7902403.5946494881</v>
      </c>
      <c r="K198" s="968">
        <v>2029.2582190700418</v>
      </c>
      <c r="L198" s="968">
        <v>332437.29583010997</v>
      </c>
      <c r="M198" s="968">
        <v>65.004788826619702</v>
      </c>
      <c r="N198" s="968">
        <v>8234840.8904795982</v>
      </c>
      <c r="O198" s="968">
        <v>2094.2630078966617</v>
      </c>
      <c r="P198" s="968">
        <v>64606651.664313242</v>
      </c>
      <c r="Q198" s="716">
        <v>13117.206886612094</v>
      </c>
      <c r="R198" s="270">
        <v>9468003.9052056484</v>
      </c>
      <c r="S198" s="968">
        <v>1851.3734836239123</v>
      </c>
      <c r="T198" s="968">
        <v>0</v>
      </c>
      <c r="U198" s="968">
        <v>0</v>
      </c>
      <c r="V198" s="968">
        <v>0</v>
      </c>
      <c r="W198" s="968">
        <v>0</v>
      </c>
      <c r="X198" s="968">
        <v>9468003.9052056484</v>
      </c>
      <c r="Y198" s="716">
        <v>1851.3734836239123</v>
      </c>
      <c r="Z198" s="270">
        <v>7902403.5946494881</v>
      </c>
      <c r="AA198" s="968">
        <v>2029.2582190700418</v>
      </c>
      <c r="AB198" s="968">
        <v>66172251.9748694</v>
      </c>
      <c r="AC198" s="968">
        <v>12939.322151165965</v>
      </c>
      <c r="AD198" s="968">
        <v>74074655.569518894</v>
      </c>
      <c r="AE198" s="716">
        <v>14968.580370236006</v>
      </c>
      <c r="AF198" s="139"/>
      <c r="AG198" s="139"/>
      <c r="AH198" s="139"/>
      <c r="AI198" s="139"/>
      <c r="AJ198" s="139"/>
      <c r="AK198" s="139"/>
      <c r="AL198" s="139"/>
      <c r="AM198" s="139"/>
      <c r="AN198" s="139"/>
      <c r="AO198" s="139"/>
      <c r="AP198" s="139"/>
      <c r="AQ198" s="139"/>
      <c r="AR198" s="139"/>
      <c r="AS198" s="139"/>
      <c r="AT198" s="139"/>
      <c r="AU198" s="139"/>
      <c r="AV198" s="139"/>
      <c r="AW198" s="139"/>
      <c r="AX198" s="139"/>
      <c r="AY198" s="139"/>
      <c r="AZ198" s="139"/>
      <c r="BA198" s="139"/>
      <c r="BB198" s="139"/>
      <c r="BC198" s="139"/>
      <c r="BD198" s="139"/>
      <c r="BE198" s="139"/>
      <c r="BF198" s="139"/>
      <c r="BG198" s="139"/>
      <c r="BH198" s="139"/>
      <c r="BI198" s="139"/>
      <c r="BJ198" s="139"/>
      <c r="BK198" s="139"/>
      <c r="BL198" s="139"/>
      <c r="BM198" s="139"/>
      <c r="BN198" s="139"/>
      <c r="BO198" s="139"/>
      <c r="BP198" s="139"/>
      <c r="BQ198" s="139"/>
      <c r="BR198" s="139"/>
      <c r="BS198" s="139"/>
      <c r="BT198" s="139"/>
      <c r="BU198" s="139"/>
      <c r="BV198" s="139"/>
      <c r="BW198" s="139"/>
      <c r="BX198" s="139"/>
      <c r="BY198" s="139"/>
      <c r="BZ198" s="139"/>
      <c r="CA198" s="139"/>
      <c r="CB198" s="139"/>
      <c r="CC198" s="139"/>
      <c r="CD198" s="139"/>
      <c r="CE198" s="139"/>
      <c r="CF198" s="139"/>
      <c r="CG198" s="139"/>
      <c r="CH198" s="139"/>
      <c r="CI198" s="139"/>
      <c r="CJ198" s="139"/>
      <c r="CK198" s="139"/>
      <c r="CL198" s="139"/>
      <c r="CM198" s="139"/>
      <c r="CN198" s="139"/>
      <c r="CO198" s="139"/>
      <c r="CP198" s="139"/>
      <c r="CQ198" s="139"/>
      <c r="CR198" s="139"/>
      <c r="CS198" s="139"/>
      <c r="CT198" s="139"/>
      <c r="CU198" s="139"/>
      <c r="CV198" s="139"/>
      <c r="CW198" s="139"/>
      <c r="CX198" s="139"/>
      <c r="CY198" s="139"/>
      <c r="CZ198" s="139"/>
      <c r="DA198" s="139"/>
      <c r="DB198" s="139"/>
      <c r="DC198" s="139"/>
      <c r="DD198" s="139"/>
      <c r="DE198" s="139"/>
      <c r="DF198" s="139"/>
      <c r="DG198" s="139"/>
      <c r="DH198" s="139"/>
      <c r="DI198" s="139"/>
      <c r="DJ198" s="139"/>
      <c r="DK198" s="139"/>
      <c r="DL198" s="139"/>
      <c r="DM198" s="139"/>
      <c r="DN198" s="139"/>
      <c r="DO198" s="139"/>
      <c r="DP198" s="139"/>
      <c r="DQ198" s="139"/>
      <c r="DR198" s="139"/>
      <c r="DS198" s="139"/>
      <c r="DT198" s="139"/>
      <c r="DU198" s="139"/>
      <c r="DV198" s="139"/>
      <c r="DW198" s="139"/>
      <c r="DX198" s="139"/>
      <c r="DY198" s="139"/>
      <c r="DZ198" s="139"/>
      <c r="EA198" s="139"/>
      <c r="EB198" s="139"/>
      <c r="EC198" s="139"/>
      <c r="ED198" s="139"/>
      <c r="EE198" s="139"/>
      <c r="EF198" s="139"/>
      <c r="EG198" s="139"/>
      <c r="EH198" s="139"/>
      <c r="EI198" s="139"/>
      <c r="EJ198" s="139"/>
      <c r="EK198" s="139"/>
      <c r="EL198" s="139"/>
      <c r="EM198" s="139"/>
      <c r="EN198" s="139"/>
      <c r="EO198" s="139"/>
      <c r="EP198" s="139"/>
      <c r="EQ198" s="139"/>
      <c r="ER198" s="139"/>
      <c r="ES198" s="139"/>
      <c r="ET198" s="139"/>
      <c r="EU198" s="139"/>
      <c r="EV198" s="139"/>
      <c r="EW198" s="139"/>
      <c r="EX198" s="139"/>
      <c r="EY198" s="139"/>
      <c r="EZ198" s="139"/>
      <c r="FA198" s="139"/>
      <c r="FB198" s="139"/>
      <c r="FC198" s="139"/>
      <c r="FD198" s="139"/>
      <c r="FE198" s="139"/>
      <c r="FF198" s="139"/>
      <c r="FG198" s="139"/>
      <c r="FH198" s="139"/>
      <c r="FI198" s="139"/>
      <c r="FJ198" s="139"/>
      <c r="FK198" s="139"/>
      <c r="FL198" s="139"/>
      <c r="FM198" s="139"/>
      <c r="FN198" s="139"/>
      <c r="FO198" s="139"/>
      <c r="FP198" s="139"/>
      <c r="FQ198" s="139"/>
      <c r="FR198" s="139"/>
      <c r="FS198" s="139"/>
      <c r="FT198" s="139"/>
      <c r="FU198" s="139"/>
      <c r="FV198" s="139"/>
      <c r="FW198" s="139"/>
      <c r="FX198" s="139"/>
      <c r="FY198" s="139"/>
      <c r="FZ198" s="139"/>
      <c r="GA198" s="139"/>
      <c r="GB198" s="139"/>
      <c r="GC198" s="139"/>
      <c r="GD198" s="139"/>
      <c r="GE198" s="139"/>
      <c r="GF198" s="139"/>
      <c r="GG198" s="139"/>
      <c r="GH198" s="139"/>
      <c r="GI198" s="139"/>
      <c r="GJ198" s="139"/>
      <c r="GK198" s="139"/>
      <c r="GL198" s="139"/>
      <c r="GM198" s="139"/>
      <c r="GN198" s="139"/>
      <c r="GO198" s="139"/>
      <c r="GP198" s="139"/>
      <c r="GQ198" s="139"/>
      <c r="GR198" s="139"/>
      <c r="GS198" s="139"/>
      <c r="GT198" s="139"/>
      <c r="GU198" s="139"/>
      <c r="GV198" s="139"/>
      <c r="GW198" s="139"/>
      <c r="GX198" s="139"/>
      <c r="GY198" s="139"/>
      <c r="GZ198" s="139"/>
      <c r="HA198" s="139"/>
      <c r="HB198" s="139"/>
      <c r="HC198" s="139"/>
      <c r="HD198" s="139"/>
      <c r="HE198" s="139"/>
      <c r="HF198" s="139"/>
      <c r="HG198" s="139"/>
      <c r="HH198" s="139"/>
      <c r="HI198" s="139"/>
      <c r="HJ198" s="139"/>
      <c r="HK198" s="139"/>
      <c r="HL198" s="139"/>
      <c r="HM198" s="139"/>
      <c r="HN198" s="139"/>
      <c r="HO198" s="139"/>
      <c r="HP198" s="139"/>
      <c r="HQ198" s="139"/>
      <c r="HR198" s="139"/>
      <c r="HS198" s="139"/>
      <c r="HT198" s="139"/>
      <c r="HU198" s="139"/>
      <c r="HV198" s="139"/>
      <c r="HW198" s="139"/>
      <c r="HX198" s="139"/>
      <c r="HY198" s="139"/>
      <c r="HZ198" s="139"/>
      <c r="IA198" s="139"/>
      <c r="IB198" s="139"/>
      <c r="IC198" s="139"/>
      <c r="ID198" s="139"/>
      <c r="IE198" s="139"/>
      <c r="IF198" s="139"/>
      <c r="IG198" s="139"/>
      <c r="IH198" s="139"/>
      <c r="II198" s="139"/>
      <c r="IJ198" s="139"/>
      <c r="IK198" s="139"/>
      <c r="IL198" s="139"/>
      <c r="IM198" s="139"/>
      <c r="IN198" s="139"/>
      <c r="IO198" s="139"/>
      <c r="IP198" s="139"/>
    </row>
    <row r="199" spans="2:250" x14ac:dyDescent="0.3">
      <c r="B199" s="5" t="s">
        <v>119</v>
      </c>
      <c r="C199" s="722" t="s">
        <v>222</v>
      </c>
      <c r="D199" s="270">
        <v>17259080.493004646</v>
      </c>
      <c r="E199" s="968">
        <v>4426.8787161656446</v>
      </c>
      <c r="F199" s="968">
        <v>36132196.488689572</v>
      </c>
      <c r="G199" s="968">
        <v>7065.2897013983584</v>
      </c>
      <c r="H199" s="968">
        <v>53391276.981694221</v>
      </c>
      <c r="I199" s="968">
        <v>11492.168417564004</v>
      </c>
      <c r="J199" s="968">
        <v>6130251.6808546754</v>
      </c>
      <c r="K199" s="968">
        <v>1574.1873291266718</v>
      </c>
      <c r="L199" s="968">
        <v>13683.607938806823</v>
      </c>
      <c r="M199" s="968">
        <v>2.675692696354286</v>
      </c>
      <c r="N199" s="968">
        <v>6143935.2887934819</v>
      </c>
      <c r="O199" s="968">
        <v>1576.863021823026</v>
      </c>
      <c r="P199" s="968">
        <v>59535212.270487703</v>
      </c>
      <c r="Q199" s="716">
        <v>13069.03143938703</v>
      </c>
      <c r="R199" s="270">
        <v>64183751.15614488</v>
      </c>
      <c r="S199" s="968">
        <v>12550.490701072569</v>
      </c>
      <c r="T199" s="968">
        <v>0</v>
      </c>
      <c r="U199" s="968">
        <v>0</v>
      </c>
      <c r="V199" s="968">
        <v>0</v>
      </c>
      <c r="W199" s="968">
        <v>0</v>
      </c>
      <c r="X199" s="968">
        <v>64183751.15614488</v>
      </c>
      <c r="Y199" s="716">
        <v>12550.490701072569</v>
      </c>
      <c r="Z199" s="270">
        <v>23389332.173859321</v>
      </c>
      <c r="AA199" s="968">
        <v>6001.0660452923166</v>
      </c>
      <c r="AB199" s="968">
        <v>100329631.25277326</v>
      </c>
      <c r="AC199" s="968">
        <v>19618.456095167283</v>
      </c>
      <c r="AD199" s="968">
        <v>123718963.42663258</v>
      </c>
      <c r="AE199" s="716">
        <v>25619.522140459601</v>
      </c>
      <c r="AF199" s="139"/>
      <c r="AG199" s="139"/>
      <c r="AH199" s="139"/>
      <c r="AI199" s="139"/>
      <c r="AJ199" s="139"/>
      <c r="AK199" s="139"/>
      <c r="AL199" s="139"/>
      <c r="AM199" s="139"/>
      <c r="AN199" s="139"/>
      <c r="AO199" s="139"/>
      <c r="AP199" s="139"/>
      <c r="AQ199" s="139"/>
      <c r="AR199" s="139"/>
      <c r="AS199" s="139"/>
      <c r="AT199" s="139"/>
      <c r="AU199" s="139"/>
      <c r="AV199" s="139"/>
      <c r="AW199" s="139"/>
      <c r="AX199" s="139"/>
      <c r="AY199" s="139"/>
      <c r="AZ199" s="139"/>
      <c r="BA199" s="139"/>
      <c r="BB199" s="139"/>
      <c r="BC199" s="139"/>
      <c r="BD199" s="139"/>
      <c r="BE199" s="139"/>
      <c r="BF199" s="139"/>
      <c r="BG199" s="139"/>
      <c r="BH199" s="139"/>
      <c r="BI199" s="139"/>
      <c r="BJ199" s="139"/>
      <c r="BK199" s="139"/>
      <c r="BL199" s="139"/>
      <c r="BM199" s="139"/>
      <c r="BN199" s="139"/>
      <c r="BO199" s="139"/>
      <c r="BP199" s="139"/>
      <c r="BQ199" s="139"/>
      <c r="BR199" s="139"/>
      <c r="BS199" s="139"/>
      <c r="BT199" s="139"/>
      <c r="BU199" s="139"/>
      <c r="BV199" s="139"/>
      <c r="BW199" s="139"/>
      <c r="BX199" s="139"/>
      <c r="BY199" s="139"/>
      <c r="BZ199" s="139"/>
      <c r="CA199" s="139"/>
      <c r="CB199" s="139"/>
      <c r="CC199" s="139"/>
      <c r="CD199" s="139"/>
      <c r="CE199" s="139"/>
      <c r="CF199" s="139"/>
      <c r="CG199" s="139"/>
      <c r="CH199" s="139"/>
      <c r="CI199" s="139"/>
      <c r="CJ199" s="139"/>
      <c r="CK199" s="139"/>
      <c r="CL199" s="139"/>
      <c r="CM199" s="139"/>
      <c r="CN199" s="139"/>
      <c r="CO199" s="139"/>
      <c r="CP199" s="139"/>
      <c r="CQ199" s="139"/>
      <c r="CR199" s="139"/>
      <c r="CS199" s="139"/>
      <c r="CT199" s="139"/>
      <c r="CU199" s="139"/>
      <c r="CV199" s="139"/>
      <c r="CW199" s="139"/>
      <c r="CX199" s="139"/>
      <c r="CY199" s="139"/>
      <c r="CZ199" s="139"/>
      <c r="DA199" s="139"/>
      <c r="DB199" s="139"/>
      <c r="DC199" s="139"/>
      <c r="DD199" s="139"/>
      <c r="DE199" s="139"/>
      <c r="DF199" s="139"/>
      <c r="DG199" s="139"/>
      <c r="DH199" s="139"/>
      <c r="DI199" s="139"/>
      <c r="DJ199" s="139"/>
      <c r="DK199" s="139"/>
      <c r="DL199" s="139"/>
      <c r="DM199" s="139"/>
      <c r="DN199" s="139"/>
      <c r="DO199" s="139"/>
      <c r="DP199" s="139"/>
      <c r="DQ199" s="139"/>
      <c r="DR199" s="139"/>
      <c r="DS199" s="139"/>
      <c r="DT199" s="139"/>
      <c r="DU199" s="139"/>
      <c r="DV199" s="139"/>
      <c r="DW199" s="139"/>
      <c r="DX199" s="139"/>
      <c r="DY199" s="139"/>
      <c r="DZ199" s="139"/>
      <c r="EA199" s="139"/>
      <c r="EB199" s="139"/>
      <c r="EC199" s="139"/>
      <c r="ED199" s="139"/>
      <c r="EE199" s="139"/>
      <c r="EF199" s="139"/>
      <c r="EG199" s="139"/>
      <c r="EH199" s="139"/>
      <c r="EI199" s="139"/>
      <c r="EJ199" s="139"/>
      <c r="EK199" s="139"/>
      <c r="EL199" s="139"/>
      <c r="EM199" s="139"/>
      <c r="EN199" s="139"/>
      <c r="EO199" s="139"/>
      <c r="EP199" s="139"/>
      <c r="EQ199" s="139"/>
      <c r="ER199" s="139"/>
      <c r="ES199" s="139"/>
      <c r="ET199" s="139"/>
      <c r="EU199" s="139"/>
      <c r="EV199" s="139"/>
      <c r="EW199" s="139"/>
      <c r="EX199" s="139"/>
      <c r="EY199" s="139"/>
      <c r="EZ199" s="139"/>
      <c r="FA199" s="139"/>
      <c r="FB199" s="139"/>
      <c r="FC199" s="139"/>
      <c r="FD199" s="139"/>
      <c r="FE199" s="139"/>
      <c r="FF199" s="139"/>
      <c r="FG199" s="139"/>
      <c r="FH199" s="139"/>
      <c r="FI199" s="139"/>
      <c r="FJ199" s="139"/>
      <c r="FK199" s="139"/>
      <c r="FL199" s="139"/>
      <c r="FM199" s="139"/>
      <c r="FN199" s="139"/>
      <c r="FO199" s="139"/>
      <c r="FP199" s="139"/>
      <c r="FQ199" s="139"/>
      <c r="FR199" s="139"/>
      <c r="FS199" s="139"/>
      <c r="FT199" s="139"/>
      <c r="FU199" s="139"/>
      <c r="FV199" s="139"/>
      <c r="FW199" s="139"/>
      <c r="FX199" s="139"/>
      <c r="FY199" s="139"/>
      <c r="FZ199" s="139"/>
      <c r="GA199" s="139"/>
      <c r="GB199" s="139"/>
      <c r="GC199" s="139"/>
      <c r="GD199" s="139"/>
      <c r="GE199" s="139"/>
      <c r="GF199" s="139"/>
      <c r="GG199" s="139"/>
      <c r="GH199" s="139"/>
      <c r="GI199" s="139"/>
      <c r="GJ199" s="139"/>
      <c r="GK199" s="139"/>
      <c r="GL199" s="139"/>
      <c r="GM199" s="139"/>
      <c r="GN199" s="139"/>
      <c r="GO199" s="139"/>
      <c r="GP199" s="139"/>
      <c r="GQ199" s="139"/>
      <c r="GR199" s="139"/>
      <c r="GS199" s="139"/>
      <c r="GT199" s="139"/>
      <c r="GU199" s="139"/>
      <c r="GV199" s="139"/>
      <c r="GW199" s="139"/>
      <c r="GX199" s="139"/>
      <c r="GY199" s="139"/>
      <c r="GZ199" s="139"/>
      <c r="HA199" s="139"/>
      <c r="HB199" s="139"/>
      <c r="HC199" s="139"/>
      <c r="HD199" s="139"/>
      <c r="HE199" s="139"/>
      <c r="HF199" s="139"/>
      <c r="HG199" s="139"/>
      <c r="HH199" s="139"/>
      <c r="HI199" s="139"/>
      <c r="HJ199" s="139"/>
      <c r="HK199" s="139"/>
      <c r="HL199" s="139"/>
      <c r="HM199" s="139"/>
      <c r="HN199" s="139"/>
      <c r="HO199" s="139"/>
      <c r="HP199" s="139"/>
      <c r="HQ199" s="139"/>
      <c r="HR199" s="139"/>
      <c r="HS199" s="139"/>
      <c r="HT199" s="139"/>
      <c r="HU199" s="139"/>
      <c r="HV199" s="139"/>
      <c r="HW199" s="139"/>
      <c r="HX199" s="139"/>
      <c r="HY199" s="139"/>
      <c r="HZ199" s="139"/>
      <c r="IA199" s="139"/>
      <c r="IB199" s="139"/>
      <c r="IC199" s="139"/>
      <c r="ID199" s="139"/>
      <c r="IE199" s="139"/>
      <c r="IF199" s="139"/>
      <c r="IG199" s="139"/>
      <c r="IH199" s="139"/>
      <c r="II199" s="139"/>
      <c r="IJ199" s="139"/>
      <c r="IK199" s="139"/>
      <c r="IL199" s="139"/>
      <c r="IM199" s="139"/>
      <c r="IN199" s="139"/>
      <c r="IO199" s="139"/>
      <c r="IP199" s="139"/>
    </row>
    <row r="200" spans="2:250" x14ac:dyDescent="0.3">
      <c r="B200" s="5" t="s">
        <v>120</v>
      </c>
      <c r="C200" s="722" t="s">
        <v>223</v>
      </c>
      <c r="D200" s="270">
        <v>51132.531194573487</v>
      </c>
      <c r="E200" s="968">
        <v>13.115270778224783</v>
      </c>
      <c r="F200" s="968">
        <v>10580518.367942343</v>
      </c>
      <c r="G200" s="968">
        <v>2068.9145616674455</v>
      </c>
      <c r="H200" s="968">
        <v>10631650.899136916</v>
      </c>
      <c r="I200" s="968">
        <v>2082.0298324456703</v>
      </c>
      <c r="J200" s="968">
        <v>2117948.8135587592</v>
      </c>
      <c r="K200" s="968">
        <v>543.86807583375366</v>
      </c>
      <c r="L200" s="968">
        <v>1131.1297935148191</v>
      </c>
      <c r="M200" s="968">
        <v>0.22118111982388772</v>
      </c>
      <c r="N200" s="968">
        <v>2119079.9433522741</v>
      </c>
      <c r="O200" s="968">
        <v>544.08925695357755</v>
      </c>
      <c r="P200" s="968">
        <v>12750730.84248919</v>
      </c>
      <c r="Q200" s="716">
        <v>2626.119089399248</v>
      </c>
      <c r="R200" s="270">
        <v>25878705.416209236</v>
      </c>
      <c r="S200" s="968">
        <v>5060.3220570855538</v>
      </c>
      <c r="T200" s="968">
        <v>0</v>
      </c>
      <c r="U200" s="968">
        <v>0</v>
      </c>
      <c r="V200" s="968">
        <v>0</v>
      </c>
      <c r="W200" s="968">
        <v>0</v>
      </c>
      <c r="X200" s="968">
        <v>25878705.416209236</v>
      </c>
      <c r="Y200" s="716">
        <v>5060.3220570855538</v>
      </c>
      <c r="Z200" s="270">
        <v>2169081.3447533324</v>
      </c>
      <c r="AA200" s="968">
        <v>556.9833466119785</v>
      </c>
      <c r="AB200" s="968">
        <v>36460354.913945094</v>
      </c>
      <c r="AC200" s="968">
        <v>7129.4577998728237</v>
      </c>
      <c r="AD200" s="968">
        <v>38629436.258698426</v>
      </c>
      <c r="AE200" s="716">
        <v>7686.4411464848017</v>
      </c>
      <c r="AF200" s="139"/>
      <c r="AG200" s="139"/>
      <c r="AH200" s="139"/>
      <c r="AI200" s="139"/>
      <c r="AJ200" s="139"/>
      <c r="AK200" s="139"/>
      <c r="AL200" s="139"/>
      <c r="AM200" s="139"/>
      <c r="AN200" s="139"/>
      <c r="AO200" s="139"/>
      <c r="AP200" s="139"/>
      <c r="AQ200" s="139"/>
      <c r="AR200" s="139"/>
      <c r="AS200" s="139"/>
      <c r="AT200" s="139"/>
      <c r="AU200" s="139"/>
      <c r="AV200" s="139"/>
      <c r="AW200" s="139"/>
      <c r="AX200" s="139"/>
      <c r="AY200" s="139"/>
      <c r="AZ200" s="139"/>
      <c r="BA200" s="139"/>
      <c r="BB200" s="139"/>
      <c r="BC200" s="139"/>
      <c r="BD200" s="139"/>
      <c r="BE200" s="139"/>
      <c r="BF200" s="139"/>
      <c r="BG200" s="139"/>
      <c r="BH200" s="139"/>
      <c r="BI200" s="139"/>
      <c r="BJ200" s="139"/>
      <c r="BK200" s="139"/>
      <c r="BL200" s="139"/>
      <c r="BM200" s="139"/>
      <c r="BN200" s="139"/>
      <c r="BO200" s="139"/>
      <c r="BP200" s="139"/>
      <c r="BQ200" s="139"/>
      <c r="BR200" s="139"/>
      <c r="BS200" s="139"/>
      <c r="BT200" s="139"/>
      <c r="BU200" s="139"/>
      <c r="BV200" s="139"/>
      <c r="BW200" s="139"/>
      <c r="BX200" s="139"/>
      <c r="BY200" s="139"/>
      <c r="BZ200" s="139"/>
      <c r="CA200" s="139"/>
      <c r="CB200" s="139"/>
      <c r="CC200" s="139"/>
      <c r="CD200" s="139"/>
      <c r="CE200" s="139"/>
      <c r="CF200" s="139"/>
      <c r="CG200" s="139"/>
      <c r="CH200" s="139"/>
      <c r="CI200" s="139"/>
      <c r="CJ200" s="139"/>
      <c r="CK200" s="139"/>
      <c r="CL200" s="139"/>
      <c r="CM200" s="139"/>
      <c r="CN200" s="139"/>
      <c r="CO200" s="139"/>
      <c r="CP200" s="139"/>
      <c r="CQ200" s="139"/>
      <c r="CR200" s="139"/>
      <c r="CS200" s="139"/>
      <c r="CT200" s="139"/>
      <c r="CU200" s="139"/>
      <c r="CV200" s="139"/>
      <c r="CW200" s="139"/>
      <c r="CX200" s="139"/>
      <c r="CY200" s="139"/>
      <c r="CZ200" s="139"/>
      <c r="DA200" s="139"/>
      <c r="DB200" s="139"/>
      <c r="DC200" s="139"/>
      <c r="DD200" s="139"/>
      <c r="DE200" s="139"/>
      <c r="DF200" s="139"/>
      <c r="DG200" s="139"/>
      <c r="DH200" s="139"/>
      <c r="DI200" s="139"/>
      <c r="DJ200" s="139"/>
      <c r="DK200" s="139"/>
      <c r="DL200" s="139"/>
      <c r="DM200" s="139"/>
      <c r="DN200" s="139"/>
      <c r="DO200" s="139"/>
      <c r="DP200" s="139"/>
      <c r="DQ200" s="139"/>
      <c r="DR200" s="139"/>
      <c r="DS200" s="139"/>
      <c r="DT200" s="139"/>
      <c r="DU200" s="139"/>
      <c r="DV200" s="139"/>
      <c r="DW200" s="139"/>
      <c r="DX200" s="139"/>
      <c r="DY200" s="139"/>
      <c r="DZ200" s="139"/>
      <c r="EA200" s="139"/>
      <c r="EB200" s="139"/>
      <c r="EC200" s="139"/>
      <c r="ED200" s="139"/>
      <c r="EE200" s="139"/>
      <c r="EF200" s="139"/>
      <c r="EG200" s="139"/>
      <c r="EH200" s="139"/>
      <c r="EI200" s="139"/>
      <c r="EJ200" s="139"/>
      <c r="EK200" s="139"/>
      <c r="EL200" s="139"/>
      <c r="EM200" s="139"/>
      <c r="EN200" s="139"/>
      <c r="EO200" s="139"/>
      <c r="EP200" s="139"/>
      <c r="EQ200" s="139"/>
      <c r="ER200" s="139"/>
      <c r="ES200" s="139"/>
      <c r="ET200" s="139"/>
      <c r="EU200" s="139"/>
      <c r="EV200" s="139"/>
      <c r="EW200" s="139"/>
      <c r="EX200" s="139"/>
      <c r="EY200" s="139"/>
      <c r="EZ200" s="139"/>
      <c r="FA200" s="139"/>
      <c r="FB200" s="139"/>
      <c r="FC200" s="139"/>
      <c r="FD200" s="139"/>
      <c r="FE200" s="139"/>
      <c r="FF200" s="139"/>
      <c r="FG200" s="139"/>
      <c r="FH200" s="139"/>
      <c r="FI200" s="139"/>
      <c r="FJ200" s="139"/>
      <c r="FK200" s="139"/>
      <c r="FL200" s="139"/>
      <c r="FM200" s="139"/>
      <c r="FN200" s="139"/>
      <c r="FO200" s="139"/>
      <c r="FP200" s="139"/>
      <c r="FQ200" s="139"/>
      <c r="FR200" s="139"/>
      <c r="FS200" s="139"/>
      <c r="FT200" s="139"/>
      <c r="FU200" s="139"/>
      <c r="FV200" s="139"/>
      <c r="FW200" s="139"/>
      <c r="FX200" s="139"/>
      <c r="FY200" s="139"/>
      <c r="FZ200" s="139"/>
      <c r="GA200" s="139"/>
      <c r="GB200" s="139"/>
      <c r="GC200" s="139"/>
      <c r="GD200" s="139"/>
      <c r="GE200" s="139"/>
      <c r="GF200" s="139"/>
      <c r="GG200" s="139"/>
      <c r="GH200" s="139"/>
      <c r="GI200" s="139"/>
      <c r="GJ200" s="139"/>
      <c r="GK200" s="139"/>
      <c r="GL200" s="139"/>
      <c r="GM200" s="139"/>
      <c r="GN200" s="139"/>
      <c r="GO200" s="139"/>
      <c r="GP200" s="139"/>
      <c r="GQ200" s="139"/>
      <c r="GR200" s="139"/>
      <c r="GS200" s="139"/>
      <c r="GT200" s="139"/>
      <c r="GU200" s="139"/>
      <c r="GV200" s="139"/>
      <c r="GW200" s="139"/>
      <c r="GX200" s="139"/>
      <c r="GY200" s="139"/>
      <c r="GZ200" s="139"/>
      <c r="HA200" s="139"/>
      <c r="HB200" s="139"/>
      <c r="HC200" s="139"/>
      <c r="HD200" s="139"/>
      <c r="HE200" s="139"/>
      <c r="HF200" s="139"/>
      <c r="HG200" s="139"/>
      <c r="HH200" s="139"/>
      <c r="HI200" s="139"/>
      <c r="HJ200" s="139"/>
      <c r="HK200" s="139"/>
      <c r="HL200" s="139"/>
      <c r="HM200" s="139"/>
      <c r="HN200" s="139"/>
      <c r="HO200" s="139"/>
      <c r="HP200" s="139"/>
      <c r="HQ200" s="139"/>
      <c r="HR200" s="139"/>
      <c r="HS200" s="139"/>
      <c r="HT200" s="139"/>
      <c r="HU200" s="139"/>
      <c r="HV200" s="139"/>
      <c r="HW200" s="139"/>
      <c r="HX200" s="139"/>
      <c r="HY200" s="139"/>
      <c r="HZ200" s="139"/>
      <c r="IA200" s="139"/>
      <c r="IB200" s="139"/>
      <c r="IC200" s="139"/>
      <c r="ID200" s="139"/>
      <c r="IE200" s="139"/>
      <c r="IF200" s="139"/>
      <c r="IG200" s="139"/>
      <c r="IH200" s="139"/>
      <c r="II200" s="139"/>
      <c r="IJ200" s="139"/>
      <c r="IK200" s="139"/>
      <c r="IL200" s="139"/>
      <c r="IM200" s="139"/>
      <c r="IN200" s="139"/>
      <c r="IO200" s="139"/>
      <c r="IP200" s="139"/>
    </row>
    <row r="201" spans="2:250" x14ac:dyDescent="0.3">
      <c r="B201" s="5" t="s">
        <v>121</v>
      </c>
      <c r="C201" s="722" t="s">
        <v>224</v>
      </c>
      <c r="D201" s="270">
        <v>1274245.7371689144</v>
      </c>
      <c r="E201" s="968">
        <v>326.83846253131617</v>
      </c>
      <c r="F201" s="968">
        <v>28915543.529154547</v>
      </c>
      <c r="G201" s="968">
        <v>5654.1453816908797</v>
      </c>
      <c r="H201" s="968">
        <v>30189789.266323462</v>
      </c>
      <c r="I201" s="968">
        <v>5980.9838442221962</v>
      </c>
      <c r="J201" s="968">
        <v>7774072.3348345989</v>
      </c>
      <c r="K201" s="968">
        <v>1996.3040348621764</v>
      </c>
      <c r="L201" s="968">
        <v>354606.59897779295</v>
      </c>
      <c r="M201" s="968">
        <v>69.339774364117631</v>
      </c>
      <c r="N201" s="968">
        <v>8128678.9338123919</v>
      </c>
      <c r="O201" s="968">
        <v>2065.6438092262943</v>
      </c>
      <c r="P201" s="968">
        <v>38318468.200135857</v>
      </c>
      <c r="Q201" s="716">
        <v>8046.6276534484905</v>
      </c>
      <c r="R201" s="270">
        <v>45312553.071687512</v>
      </c>
      <c r="S201" s="968">
        <v>8860.4166276377764</v>
      </c>
      <c r="T201" s="968">
        <v>0</v>
      </c>
      <c r="U201" s="968">
        <v>0</v>
      </c>
      <c r="V201" s="968">
        <v>0</v>
      </c>
      <c r="W201" s="968">
        <v>0</v>
      </c>
      <c r="X201" s="968">
        <v>45312553.071687512</v>
      </c>
      <c r="Y201" s="716">
        <v>8860.4166276377764</v>
      </c>
      <c r="Z201" s="270">
        <v>9048318.0720035136</v>
      </c>
      <c r="AA201" s="968">
        <v>2323.1424973934927</v>
      </c>
      <c r="AB201" s="968">
        <v>74582703.199819848</v>
      </c>
      <c r="AC201" s="968">
        <v>14583.901783692774</v>
      </c>
      <c r="AD201" s="968">
        <v>83631021.271823362</v>
      </c>
      <c r="AE201" s="716">
        <v>16907.044281086266</v>
      </c>
      <c r="AF201" s="139"/>
      <c r="AG201" s="139"/>
      <c r="AH201" s="139"/>
      <c r="AI201" s="139"/>
      <c r="AJ201" s="139"/>
      <c r="AK201" s="139"/>
      <c r="AL201" s="139"/>
      <c r="AM201" s="139"/>
      <c r="AN201" s="139"/>
      <c r="AO201" s="139"/>
      <c r="AP201" s="139"/>
      <c r="AQ201" s="139"/>
      <c r="AR201" s="139"/>
      <c r="AS201" s="139"/>
      <c r="AT201" s="139"/>
      <c r="AU201" s="139"/>
      <c r="AV201" s="139"/>
      <c r="AW201" s="139"/>
      <c r="AX201" s="139"/>
      <c r="AY201" s="139"/>
      <c r="AZ201" s="139"/>
      <c r="BA201" s="139"/>
      <c r="BB201" s="139"/>
      <c r="BC201" s="139"/>
      <c r="BD201" s="139"/>
      <c r="BE201" s="139"/>
      <c r="BF201" s="139"/>
      <c r="BG201" s="139"/>
      <c r="BH201" s="139"/>
      <c r="BI201" s="139"/>
      <c r="BJ201" s="139"/>
      <c r="BK201" s="139"/>
      <c r="BL201" s="139"/>
      <c r="BM201" s="139"/>
      <c r="BN201" s="139"/>
      <c r="BO201" s="139"/>
      <c r="BP201" s="139"/>
      <c r="BQ201" s="139"/>
      <c r="BR201" s="139"/>
      <c r="BS201" s="139"/>
      <c r="BT201" s="139"/>
      <c r="BU201" s="139"/>
      <c r="BV201" s="139"/>
      <c r="BW201" s="139"/>
      <c r="BX201" s="139"/>
      <c r="BY201" s="139"/>
      <c r="BZ201" s="139"/>
      <c r="CA201" s="139"/>
      <c r="CB201" s="139"/>
      <c r="CC201" s="139"/>
      <c r="CD201" s="139"/>
      <c r="CE201" s="139"/>
      <c r="CF201" s="139"/>
      <c r="CG201" s="139"/>
      <c r="CH201" s="139"/>
      <c r="CI201" s="139"/>
      <c r="CJ201" s="139"/>
      <c r="CK201" s="139"/>
      <c r="CL201" s="139"/>
      <c r="CM201" s="139"/>
      <c r="CN201" s="139"/>
      <c r="CO201" s="139"/>
      <c r="CP201" s="139"/>
      <c r="CQ201" s="139"/>
      <c r="CR201" s="139"/>
      <c r="CS201" s="139"/>
      <c r="CT201" s="139"/>
      <c r="CU201" s="139"/>
      <c r="CV201" s="139"/>
      <c r="CW201" s="139"/>
      <c r="CX201" s="139"/>
      <c r="CY201" s="139"/>
      <c r="CZ201" s="139"/>
      <c r="DA201" s="139"/>
      <c r="DB201" s="139"/>
      <c r="DC201" s="139"/>
      <c r="DD201" s="139"/>
      <c r="DE201" s="139"/>
      <c r="DF201" s="139"/>
      <c r="DG201" s="139"/>
      <c r="DH201" s="139"/>
      <c r="DI201" s="139"/>
      <c r="DJ201" s="139"/>
      <c r="DK201" s="139"/>
      <c r="DL201" s="139"/>
      <c r="DM201" s="139"/>
      <c r="DN201" s="139"/>
      <c r="DO201" s="139"/>
      <c r="DP201" s="139"/>
      <c r="DQ201" s="139"/>
      <c r="DR201" s="139"/>
      <c r="DS201" s="139"/>
      <c r="DT201" s="139"/>
      <c r="DU201" s="139"/>
      <c r="DV201" s="139"/>
      <c r="DW201" s="139"/>
      <c r="DX201" s="139"/>
      <c r="DY201" s="139"/>
      <c r="DZ201" s="139"/>
      <c r="EA201" s="139"/>
      <c r="EB201" s="139"/>
      <c r="EC201" s="139"/>
      <c r="ED201" s="139"/>
      <c r="EE201" s="139"/>
      <c r="EF201" s="139"/>
      <c r="EG201" s="139"/>
      <c r="EH201" s="139"/>
      <c r="EI201" s="139"/>
      <c r="EJ201" s="139"/>
      <c r="EK201" s="139"/>
      <c r="EL201" s="139"/>
      <c r="EM201" s="139"/>
      <c r="EN201" s="139"/>
      <c r="EO201" s="139"/>
      <c r="EP201" s="139"/>
      <c r="EQ201" s="139"/>
      <c r="ER201" s="139"/>
      <c r="ES201" s="139"/>
      <c r="ET201" s="139"/>
      <c r="EU201" s="139"/>
      <c r="EV201" s="139"/>
      <c r="EW201" s="139"/>
      <c r="EX201" s="139"/>
      <c r="EY201" s="139"/>
      <c r="EZ201" s="139"/>
      <c r="FA201" s="139"/>
      <c r="FB201" s="139"/>
      <c r="FC201" s="139"/>
      <c r="FD201" s="139"/>
      <c r="FE201" s="139"/>
      <c r="FF201" s="139"/>
      <c r="FG201" s="139"/>
      <c r="FH201" s="139"/>
      <c r="FI201" s="139"/>
      <c r="FJ201" s="139"/>
      <c r="FK201" s="139"/>
      <c r="FL201" s="139"/>
      <c r="FM201" s="139"/>
      <c r="FN201" s="139"/>
      <c r="FO201" s="139"/>
      <c r="FP201" s="139"/>
      <c r="FQ201" s="139"/>
      <c r="FR201" s="139"/>
      <c r="FS201" s="139"/>
      <c r="FT201" s="139"/>
      <c r="FU201" s="139"/>
      <c r="FV201" s="139"/>
      <c r="FW201" s="139"/>
      <c r="FX201" s="139"/>
      <c r="FY201" s="139"/>
      <c r="FZ201" s="139"/>
      <c r="GA201" s="139"/>
      <c r="GB201" s="139"/>
      <c r="GC201" s="139"/>
      <c r="GD201" s="139"/>
      <c r="GE201" s="139"/>
      <c r="GF201" s="139"/>
      <c r="GG201" s="139"/>
      <c r="GH201" s="139"/>
      <c r="GI201" s="139"/>
      <c r="GJ201" s="139"/>
      <c r="GK201" s="139"/>
      <c r="GL201" s="139"/>
      <c r="GM201" s="139"/>
      <c r="GN201" s="139"/>
      <c r="GO201" s="139"/>
      <c r="GP201" s="139"/>
      <c r="GQ201" s="139"/>
      <c r="GR201" s="139"/>
      <c r="GS201" s="139"/>
      <c r="GT201" s="139"/>
      <c r="GU201" s="139"/>
      <c r="GV201" s="139"/>
      <c r="GW201" s="139"/>
      <c r="GX201" s="139"/>
      <c r="GY201" s="139"/>
      <c r="GZ201" s="139"/>
      <c r="HA201" s="139"/>
      <c r="HB201" s="139"/>
      <c r="HC201" s="139"/>
      <c r="HD201" s="139"/>
      <c r="HE201" s="139"/>
      <c r="HF201" s="139"/>
      <c r="HG201" s="139"/>
      <c r="HH201" s="139"/>
      <c r="HI201" s="139"/>
      <c r="HJ201" s="139"/>
      <c r="HK201" s="139"/>
      <c r="HL201" s="139"/>
      <c r="HM201" s="139"/>
      <c r="HN201" s="139"/>
      <c r="HO201" s="139"/>
      <c r="HP201" s="139"/>
      <c r="HQ201" s="139"/>
      <c r="HR201" s="139"/>
      <c r="HS201" s="139"/>
      <c r="HT201" s="139"/>
      <c r="HU201" s="139"/>
      <c r="HV201" s="139"/>
      <c r="HW201" s="139"/>
      <c r="HX201" s="139"/>
      <c r="HY201" s="139"/>
      <c r="HZ201" s="139"/>
      <c r="IA201" s="139"/>
      <c r="IB201" s="139"/>
      <c r="IC201" s="139"/>
      <c r="ID201" s="139"/>
      <c r="IE201" s="139"/>
      <c r="IF201" s="139"/>
      <c r="IG201" s="139"/>
      <c r="IH201" s="139"/>
      <c r="II201" s="139"/>
      <c r="IJ201" s="139"/>
      <c r="IK201" s="139"/>
      <c r="IL201" s="139"/>
      <c r="IM201" s="139"/>
      <c r="IN201" s="139"/>
      <c r="IO201" s="139"/>
      <c r="IP201" s="139"/>
    </row>
    <row r="202" spans="2:250" x14ac:dyDescent="0.3">
      <c r="B202" s="5" t="s">
        <v>122</v>
      </c>
      <c r="C202" s="722" t="s">
        <v>225</v>
      </c>
      <c r="D202" s="270">
        <v>257768.21519497604</v>
      </c>
      <c r="E202" s="968">
        <v>66.11642062931179</v>
      </c>
      <c r="F202" s="968">
        <v>11457085.211855721</v>
      </c>
      <c r="G202" s="968">
        <v>2240.3184423262678</v>
      </c>
      <c r="H202" s="968">
        <v>11714853.427050697</v>
      </c>
      <c r="I202" s="968">
        <v>2306.4348629555798</v>
      </c>
      <c r="J202" s="968">
        <v>892971.31533774897</v>
      </c>
      <c r="K202" s="968">
        <v>229.30610406558051</v>
      </c>
      <c r="L202" s="968">
        <v>3941.2429372789393</v>
      </c>
      <c r="M202" s="968">
        <v>0.77067064395552365</v>
      </c>
      <c r="N202" s="968">
        <v>896912.5582750279</v>
      </c>
      <c r="O202" s="968">
        <v>230.07677470953604</v>
      </c>
      <c r="P202" s="968">
        <v>12611765.985325724</v>
      </c>
      <c r="Q202" s="716">
        <v>2536.5116376651158</v>
      </c>
      <c r="R202" s="270">
        <v>32765629.243061364</v>
      </c>
      <c r="S202" s="968">
        <v>6406.9911421882189</v>
      </c>
      <c r="T202" s="968">
        <v>0</v>
      </c>
      <c r="U202" s="968">
        <v>0</v>
      </c>
      <c r="V202" s="968">
        <v>0</v>
      </c>
      <c r="W202" s="968">
        <v>0</v>
      </c>
      <c r="X202" s="968">
        <v>32765629.243061364</v>
      </c>
      <c r="Y202" s="716">
        <v>6406.9911421882189</v>
      </c>
      <c r="Z202" s="270">
        <v>1150739.5305327249</v>
      </c>
      <c r="AA202" s="968">
        <v>295.42252469489233</v>
      </c>
      <c r="AB202" s="968">
        <v>44226655.697854362</v>
      </c>
      <c r="AC202" s="968">
        <v>8648.080255158442</v>
      </c>
      <c r="AD202" s="968">
        <v>45377395.228387088</v>
      </c>
      <c r="AE202" s="716">
        <v>8943.5027798533338</v>
      </c>
      <c r="AF202" s="139"/>
      <c r="AG202" s="139"/>
      <c r="AH202" s="139"/>
      <c r="AI202" s="139"/>
      <c r="AJ202" s="139"/>
      <c r="AK202" s="139"/>
      <c r="AL202" s="139"/>
      <c r="AM202" s="139"/>
      <c r="AN202" s="139"/>
      <c r="AO202" s="139"/>
      <c r="AP202" s="139"/>
      <c r="AQ202" s="139"/>
      <c r="AR202" s="139"/>
      <c r="AS202" s="139"/>
      <c r="AT202" s="139"/>
      <c r="AU202" s="139"/>
      <c r="AV202" s="139"/>
      <c r="AW202" s="139"/>
      <c r="AX202" s="139"/>
      <c r="AY202" s="139"/>
      <c r="AZ202" s="139"/>
      <c r="BA202" s="139"/>
      <c r="BB202" s="139"/>
      <c r="BC202" s="139"/>
      <c r="BD202" s="139"/>
      <c r="BE202" s="139"/>
      <c r="BF202" s="139"/>
      <c r="BG202" s="139"/>
      <c r="BH202" s="139"/>
      <c r="BI202" s="139"/>
      <c r="BJ202" s="139"/>
      <c r="BK202" s="139"/>
      <c r="BL202" s="139"/>
      <c r="BM202" s="139"/>
      <c r="BN202" s="139"/>
      <c r="BO202" s="139"/>
      <c r="BP202" s="139"/>
      <c r="BQ202" s="139"/>
      <c r="BR202" s="139"/>
      <c r="BS202" s="139"/>
      <c r="BT202" s="139"/>
      <c r="BU202" s="139"/>
      <c r="BV202" s="139"/>
      <c r="BW202" s="139"/>
      <c r="BX202" s="139"/>
      <c r="BY202" s="139"/>
      <c r="BZ202" s="139"/>
      <c r="CA202" s="139"/>
      <c r="CB202" s="139"/>
      <c r="CC202" s="139"/>
      <c r="CD202" s="139"/>
      <c r="CE202" s="139"/>
      <c r="CF202" s="139"/>
      <c r="CG202" s="139"/>
      <c r="CH202" s="139"/>
      <c r="CI202" s="139"/>
      <c r="CJ202" s="139"/>
      <c r="CK202" s="139"/>
      <c r="CL202" s="139"/>
      <c r="CM202" s="139"/>
      <c r="CN202" s="139"/>
      <c r="CO202" s="139"/>
      <c r="CP202" s="139"/>
      <c r="CQ202" s="139"/>
      <c r="CR202" s="139"/>
      <c r="CS202" s="139"/>
      <c r="CT202" s="139"/>
      <c r="CU202" s="139"/>
      <c r="CV202" s="139"/>
      <c r="CW202" s="139"/>
      <c r="CX202" s="139"/>
      <c r="CY202" s="139"/>
      <c r="CZ202" s="139"/>
      <c r="DA202" s="139"/>
      <c r="DB202" s="139"/>
      <c r="DC202" s="139"/>
      <c r="DD202" s="139"/>
      <c r="DE202" s="139"/>
      <c r="DF202" s="139"/>
      <c r="DG202" s="139"/>
      <c r="DH202" s="139"/>
      <c r="DI202" s="139"/>
      <c r="DJ202" s="139"/>
      <c r="DK202" s="139"/>
      <c r="DL202" s="139"/>
      <c r="DM202" s="139"/>
      <c r="DN202" s="139"/>
      <c r="DO202" s="139"/>
      <c r="DP202" s="139"/>
      <c r="DQ202" s="139"/>
      <c r="DR202" s="139"/>
      <c r="DS202" s="139"/>
      <c r="DT202" s="139"/>
      <c r="DU202" s="139"/>
      <c r="DV202" s="139"/>
      <c r="DW202" s="139"/>
      <c r="DX202" s="139"/>
      <c r="DY202" s="139"/>
      <c r="DZ202" s="139"/>
      <c r="EA202" s="139"/>
      <c r="EB202" s="139"/>
      <c r="EC202" s="139"/>
      <c r="ED202" s="139"/>
      <c r="EE202" s="139"/>
      <c r="EF202" s="139"/>
      <c r="EG202" s="139"/>
      <c r="EH202" s="139"/>
      <c r="EI202" s="139"/>
      <c r="EJ202" s="139"/>
      <c r="EK202" s="139"/>
      <c r="EL202" s="139"/>
      <c r="EM202" s="139"/>
      <c r="EN202" s="139"/>
      <c r="EO202" s="139"/>
      <c r="EP202" s="139"/>
      <c r="EQ202" s="139"/>
      <c r="ER202" s="139"/>
      <c r="ES202" s="139"/>
      <c r="ET202" s="139"/>
      <c r="EU202" s="139"/>
      <c r="EV202" s="139"/>
      <c r="EW202" s="139"/>
      <c r="EX202" s="139"/>
      <c r="EY202" s="139"/>
      <c r="EZ202" s="139"/>
      <c r="FA202" s="139"/>
      <c r="FB202" s="139"/>
      <c r="FC202" s="139"/>
      <c r="FD202" s="139"/>
      <c r="FE202" s="139"/>
      <c r="FF202" s="139"/>
      <c r="FG202" s="139"/>
      <c r="FH202" s="139"/>
      <c r="FI202" s="139"/>
      <c r="FJ202" s="139"/>
      <c r="FK202" s="139"/>
      <c r="FL202" s="139"/>
      <c r="FM202" s="139"/>
      <c r="FN202" s="139"/>
      <c r="FO202" s="139"/>
      <c r="FP202" s="139"/>
      <c r="FQ202" s="139"/>
      <c r="FR202" s="139"/>
      <c r="FS202" s="139"/>
      <c r="FT202" s="139"/>
      <c r="FU202" s="139"/>
      <c r="FV202" s="139"/>
      <c r="FW202" s="139"/>
      <c r="FX202" s="139"/>
      <c r="FY202" s="139"/>
      <c r="FZ202" s="139"/>
      <c r="GA202" s="139"/>
      <c r="GB202" s="139"/>
      <c r="GC202" s="139"/>
      <c r="GD202" s="139"/>
      <c r="GE202" s="139"/>
      <c r="GF202" s="139"/>
      <c r="GG202" s="139"/>
      <c r="GH202" s="139"/>
      <c r="GI202" s="139"/>
      <c r="GJ202" s="139"/>
      <c r="GK202" s="139"/>
      <c r="GL202" s="139"/>
      <c r="GM202" s="139"/>
      <c r="GN202" s="139"/>
      <c r="GO202" s="139"/>
      <c r="GP202" s="139"/>
      <c r="GQ202" s="139"/>
      <c r="GR202" s="139"/>
      <c r="GS202" s="139"/>
      <c r="GT202" s="139"/>
      <c r="GU202" s="139"/>
      <c r="GV202" s="139"/>
      <c r="GW202" s="139"/>
      <c r="GX202" s="139"/>
      <c r="GY202" s="139"/>
      <c r="GZ202" s="139"/>
      <c r="HA202" s="139"/>
      <c r="HB202" s="139"/>
      <c r="HC202" s="139"/>
      <c r="HD202" s="139"/>
      <c r="HE202" s="139"/>
      <c r="HF202" s="139"/>
      <c r="HG202" s="139"/>
      <c r="HH202" s="139"/>
      <c r="HI202" s="139"/>
      <c r="HJ202" s="139"/>
      <c r="HK202" s="139"/>
      <c r="HL202" s="139"/>
      <c r="HM202" s="139"/>
      <c r="HN202" s="139"/>
      <c r="HO202" s="139"/>
      <c r="HP202" s="139"/>
      <c r="HQ202" s="139"/>
      <c r="HR202" s="139"/>
      <c r="HS202" s="139"/>
      <c r="HT202" s="139"/>
      <c r="HU202" s="139"/>
      <c r="HV202" s="139"/>
      <c r="HW202" s="139"/>
      <c r="HX202" s="139"/>
      <c r="HY202" s="139"/>
      <c r="HZ202" s="139"/>
      <c r="IA202" s="139"/>
      <c r="IB202" s="139"/>
      <c r="IC202" s="139"/>
      <c r="ID202" s="139"/>
      <c r="IE202" s="139"/>
      <c r="IF202" s="139"/>
      <c r="IG202" s="139"/>
      <c r="IH202" s="139"/>
      <c r="II202" s="139"/>
      <c r="IJ202" s="139"/>
      <c r="IK202" s="139"/>
      <c r="IL202" s="139"/>
      <c r="IM202" s="139"/>
      <c r="IN202" s="139"/>
      <c r="IO202" s="139"/>
      <c r="IP202" s="139"/>
    </row>
    <row r="203" spans="2:250" x14ac:dyDescent="0.3">
      <c r="B203" s="5" t="s">
        <v>226</v>
      </c>
      <c r="C203" s="722" t="s">
        <v>227</v>
      </c>
      <c r="D203" s="270">
        <v>1593088.9941730106</v>
      </c>
      <c r="E203" s="968">
        <v>408.62036445804159</v>
      </c>
      <c r="F203" s="968">
        <v>21945244.436373141</v>
      </c>
      <c r="G203" s="968">
        <v>4291.1730970884037</v>
      </c>
      <c r="H203" s="968">
        <v>23538333.43054615</v>
      </c>
      <c r="I203" s="968">
        <v>4699.7934615464455</v>
      </c>
      <c r="J203" s="968">
        <v>530945.69591539633</v>
      </c>
      <c r="K203" s="968">
        <v>136.34154525411461</v>
      </c>
      <c r="L203" s="968">
        <v>402.2818951629597</v>
      </c>
      <c r="M203" s="968">
        <v>7.8662201780165128E-2</v>
      </c>
      <c r="N203" s="968">
        <v>531347.97781055933</v>
      </c>
      <c r="O203" s="968">
        <v>136.42020745589477</v>
      </c>
      <c r="P203" s="968">
        <v>24069681.408356708</v>
      </c>
      <c r="Q203" s="716">
        <v>4836.2136690023399</v>
      </c>
      <c r="R203" s="270">
        <v>0</v>
      </c>
      <c r="S203" s="968">
        <v>0</v>
      </c>
      <c r="T203" s="968">
        <v>0</v>
      </c>
      <c r="U203" s="968">
        <v>0</v>
      </c>
      <c r="V203" s="968">
        <v>0</v>
      </c>
      <c r="W203" s="968">
        <v>0</v>
      </c>
      <c r="X203" s="968">
        <v>0</v>
      </c>
      <c r="Y203" s="716">
        <v>0</v>
      </c>
      <c r="Z203" s="270">
        <v>2124034.6900884071</v>
      </c>
      <c r="AA203" s="968">
        <v>544.96190971215617</v>
      </c>
      <c r="AB203" s="968">
        <v>21945646.718268305</v>
      </c>
      <c r="AC203" s="968">
        <v>4291.2517592901841</v>
      </c>
      <c r="AD203" s="968">
        <v>24069681.408356711</v>
      </c>
      <c r="AE203" s="716">
        <v>4836.2136690023399</v>
      </c>
      <c r="AF203" s="139"/>
      <c r="AG203" s="139"/>
      <c r="AH203" s="139"/>
      <c r="AI203" s="139"/>
      <c r="AJ203" s="139"/>
      <c r="AK203" s="139"/>
      <c r="AL203" s="139"/>
      <c r="AM203" s="139"/>
      <c r="AN203" s="139"/>
      <c r="AO203" s="139"/>
      <c r="AP203" s="139"/>
      <c r="AQ203" s="139"/>
      <c r="AR203" s="139"/>
      <c r="AS203" s="139"/>
      <c r="AT203" s="139"/>
      <c r="AU203" s="139"/>
      <c r="AV203" s="139"/>
      <c r="AW203" s="139"/>
      <c r="AX203" s="139"/>
      <c r="AY203" s="139"/>
      <c r="AZ203" s="139"/>
      <c r="BA203" s="139"/>
      <c r="BB203" s="139"/>
      <c r="BC203" s="139"/>
      <c r="BD203" s="139"/>
      <c r="BE203" s="139"/>
      <c r="BF203" s="139"/>
      <c r="BG203" s="139"/>
      <c r="BH203" s="139"/>
      <c r="BI203" s="139"/>
      <c r="BJ203" s="139"/>
      <c r="BK203" s="139"/>
      <c r="BL203" s="139"/>
      <c r="BM203" s="139"/>
      <c r="BN203" s="139"/>
      <c r="BO203" s="139"/>
      <c r="BP203" s="139"/>
      <c r="BQ203" s="139"/>
      <c r="BR203" s="139"/>
      <c r="BS203" s="139"/>
      <c r="BT203" s="139"/>
      <c r="BU203" s="139"/>
      <c r="BV203" s="139"/>
      <c r="BW203" s="139"/>
      <c r="BX203" s="139"/>
      <c r="BY203" s="139"/>
      <c r="BZ203" s="139"/>
      <c r="CA203" s="139"/>
      <c r="CB203" s="139"/>
      <c r="CC203" s="139"/>
      <c r="CD203" s="139"/>
      <c r="CE203" s="139"/>
      <c r="CF203" s="139"/>
      <c r="CG203" s="139"/>
      <c r="CH203" s="139"/>
      <c r="CI203" s="139"/>
      <c r="CJ203" s="139"/>
      <c r="CK203" s="139"/>
      <c r="CL203" s="139"/>
      <c r="CM203" s="139"/>
      <c r="CN203" s="139"/>
      <c r="CO203" s="139"/>
      <c r="CP203" s="139"/>
      <c r="CQ203" s="139"/>
      <c r="CR203" s="139"/>
      <c r="CS203" s="139"/>
      <c r="CT203" s="139"/>
      <c r="CU203" s="139"/>
      <c r="CV203" s="139"/>
      <c r="CW203" s="139"/>
      <c r="CX203" s="139"/>
      <c r="CY203" s="139"/>
      <c r="CZ203" s="139"/>
      <c r="DA203" s="139"/>
      <c r="DB203" s="139"/>
      <c r="DC203" s="139"/>
      <c r="DD203" s="139"/>
      <c r="DE203" s="139"/>
      <c r="DF203" s="139"/>
      <c r="DG203" s="139"/>
      <c r="DH203" s="139"/>
      <c r="DI203" s="139"/>
      <c r="DJ203" s="139"/>
      <c r="DK203" s="139"/>
      <c r="DL203" s="139"/>
      <c r="DM203" s="139"/>
      <c r="DN203" s="139"/>
      <c r="DO203" s="139"/>
      <c r="DP203" s="139"/>
      <c r="DQ203" s="139"/>
      <c r="DR203" s="139"/>
      <c r="DS203" s="139"/>
      <c r="DT203" s="139"/>
      <c r="DU203" s="139"/>
      <c r="DV203" s="139"/>
      <c r="DW203" s="139"/>
      <c r="DX203" s="139"/>
      <c r="DY203" s="139"/>
      <c r="DZ203" s="139"/>
      <c r="EA203" s="139"/>
      <c r="EB203" s="139"/>
      <c r="EC203" s="139"/>
      <c r="ED203" s="139"/>
      <c r="EE203" s="139"/>
      <c r="EF203" s="139"/>
      <c r="EG203" s="139"/>
      <c r="EH203" s="139"/>
      <c r="EI203" s="139"/>
      <c r="EJ203" s="139"/>
      <c r="EK203" s="139"/>
      <c r="EL203" s="139"/>
      <c r="EM203" s="139"/>
      <c r="EN203" s="139"/>
      <c r="EO203" s="139"/>
      <c r="EP203" s="139"/>
      <c r="EQ203" s="139"/>
      <c r="ER203" s="139"/>
      <c r="ES203" s="139"/>
      <c r="ET203" s="139"/>
      <c r="EU203" s="139"/>
      <c r="EV203" s="139"/>
      <c r="EW203" s="139"/>
      <c r="EX203" s="139"/>
      <c r="EY203" s="139"/>
      <c r="EZ203" s="139"/>
      <c r="FA203" s="139"/>
      <c r="FB203" s="139"/>
      <c r="FC203" s="139"/>
      <c r="FD203" s="139"/>
      <c r="FE203" s="139"/>
      <c r="FF203" s="139"/>
      <c r="FG203" s="139"/>
      <c r="FH203" s="139"/>
      <c r="FI203" s="139"/>
      <c r="FJ203" s="139"/>
      <c r="FK203" s="139"/>
      <c r="FL203" s="139"/>
      <c r="FM203" s="139"/>
      <c r="FN203" s="139"/>
      <c r="FO203" s="139"/>
      <c r="FP203" s="139"/>
      <c r="FQ203" s="139"/>
      <c r="FR203" s="139"/>
      <c r="FS203" s="139"/>
      <c r="FT203" s="139"/>
      <c r="FU203" s="139"/>
      <c r="FV203" s="139"/>
      <c r="FW203" s="139"/>
      <c r="FX203" s="139"/>
      <c r="FY203" s="139"/>
      <c r="FZ203" s="139"/>
      <c r="GA203" s="139"/>
      <c r="GB203" s="139"/>
      <c r="GC203" s="139"/>
      <c r="GD203" s="139"/>
      <c r="GE203" s="139"/>
      <c r="GF203" s="139"/>
      <c r="GG203" s="139"/>
      <c r="GH203" s="139"/>
      <c r="GI203" s="139"/>
      <c r="GJ203" s="139"/>
      <c r="GK203" s="139"/>
      <c r="GL203" s="139"/>
      <c r="GM203" s="139"/>
      <c r="GN203" s="139"/>
      <c r="GO203" s="139"/>
      <c r="GP203" s="139"/>
      <c r="GQ203" s="139"/>
      <c r="GR203" s="139"/>
      <c r="GS203" s="139"/>
      <c r="GT203" s="139"/>
      <c r="GU203" s="139"/>
      <c r="GV203" s="139"/>
      <c r="GW203" s="139"/>
      <c r="GX203" s="139"/>
      <c r="GY203" s="139"/>
      <c r="GZ203" s="139"/>
      <c r="HA203" s="139"/>
      <c r="HB203" s="139"/>
      <c r="HC203" s="139"/>
      <c r="HD203" s="139"/>
      <c r="HE203" s="139"/>
      <c r="HF203" s="139"/>
      <c r="HG203" s="139"/>
      <c r="HH203" s="139"/>
      <c r="HI203" s="139"/>
      <c r="HJ203" s="139"/>
      <c r="HK203" s="139"/>
      <c r="HL203" s="139"/>
      <c r="HM203" s="139"/>
      <c r="HN203" s="139"/>
      <c r="HO203" s="139"/>
      <c r="HP203" s="139"/>
      <c r="HQ203" s="139"/>
      <c r="HR203" s="139"/>
      <c r="HS203" s="139"/>
      <c r="HT203" s="139"/>
      <c r="HU203" s="139"/>
      <c r="HV203" s="139"/>
      <c r="HW203" s="139"/>
      <c r="HX203" s="139"/>
      <c r="HY203" s="139"/>
      <c r="HZ203" s="139"/>
      <c r="IA203" s="139"/>
      <c r="IB203" s="139"/>
      <c r="IC203" s="139"/>
      <c r="ID203" s="139"/>
      <c r="IE203" s="139"/>
      <c r="IF203" s="139"/>
      <c r="IG203" s="139"/>
      <c r="IH203" s="139"/>
      <c r="II203" s="139"/>
      <c r="IJ203" s="139"/>
      <c r="IK203" s="139"/>
      <c r="IL203" s="139"/>
      <c r="IM203" s="139"/>
      <c r="IN203" s="139"/>
      <c r="IO203" s="139"/>
      <c r="IP203" s="139"/>
    </row>
    <row r="204" spans="2:250" x14ac:dyDescent="0.3">
      <c r="B204" s="5" t="s">
        <v>124</v>
      </c>
      <c r="C204" s="722" t="s">
        <v>228</v>
      </c>
      <c r="D204" s="270">
        <v>1292023.535249091</v>
      </c>
      <c r="E204" s="968">
        <v>331.39839004155186</v>
      </c>
      <c r="F204" s="968">
        <v>51286860.298461631</v>
      </c>
      <c r="G204" s="968">
        <v>10028.632662761187</v>
      </c>
      <c r="H204" s="968">
        <v>52578883.833710723</v>
      </c>
      <c r="I204" s="968">
        <v>10360.031052802738</v>
      </c>
      <c r="J204" s="968">
        <v>3654895.6293471949</v>
      </c>
      <c r="K204" s="968">
        <v>938.54064866006604</v>
      </c>
      <c r="L204" s="968">
        <v>2773.5543930194153</v>
      </c>
      <c r="M204" s="968">
        <v>0.54234082601101652</v>
      </c>
      <c r="N204" s="968">
        <v>3657669.1837402144</v>
      </c>
      <c r="O204" s="968">
        <v>939.08298948607705</v>
      </c>
      <c r="P204" s="968">
        <v>56236553.017450936</v>
      </c>
      <c r="Q204" s="716">
        <v>11299.114042288815</v>
      </c>
      <c r="R204" s="270">
        <v>51538762.474028304</v>
      </c>
      <c r="S204" s="968">
        <v>10077.889614171494</v>
      </c>
      <c r="T204" s="968">
        <v>0</v>
      </c>
      <c r="U204" s="968">
        <v>0</v>
      </c>
      <c r="V204" s="968">
        <v>0</v>
      </c>
      <c r="W204" s="968">
        <v>0</v>
      </c>
      <c r="X204" s="968">
        <v>51538762.474028304</v>
      </c>
      <c r="Y204" s="716">
        <v>10077.889614171494</v>
      </c>
      <c r="Z204" s="270">
        <v>4946919.1645962857</v>
      </c>
      <c r="AA204" s="968">
        <v>1269.9390387016178</v>
      </c>
      <c r="AB204" s="968">
        <v>102828396.32688296</v>
      </c>
      <c r="AC204" s="968">
        <v>20107.06461775869</v>
      </c>
      <c r="AD204" s="968">
        <v>107775315.49147925</v>
      </c>
      <c r="AE204" s="716">
        <v>21377.003656460307</v>
      </c>
      <c r="AF204" s="139"/>
      <c r="AG204" s="139"/>
      <c r="AH204" s="139"/>
      <c r="AI204" s="139"/>
      <c r="AJ204" s="139"/>
      <c r="AK204" s="139"/>
      <c r="AL204" s="139"/>
      <c r="AM204" s="139"/>
      <c r="AN204" s="139"/>
      <c r="AO204" s="139"/>
      <c r="AP204" s="139"/>
      <c r="AQ204" s="139"/>
      <c r="AR204" s="139"/>
      <c r="AS204" s="139"/>
      <c r="AT204" s="139"/>
      <c r="AU204" s="139"/>
      <c r="AV204" s="139"/>
      <c r="AW204" s="139"/>
      <c r="AX204" s="139"/>
      <c r="AY204" s="139"/>
      <c r="AZ204" s="139"/>
      <c r="BA204" s="139"/>
      <c r="BB204" s="139"/>
      <c r="BC204" s="139"/>
      <c r="BD204" s="139"/>
      <c r="BE204" s="139"/>
      <c r="BF204" s="139"/>
      <c r="BG204" s="139"/>
      <c r="BH204" s="139"/>
      <c r="BI204" s="139"/>
      <c r="BJ204" s="139"/>
      <c r="BK204" s="139"/>
      <c r="BL204" s="139"/>
      <c r="BM204" s="139"/>
      <c r="BN204" s="139"/>
      <c r="BO204" s="139"/>
      <c r="BP204" s="139"/>
      <c r="BQ204" s="139"/>
      <c r="BR204" s="139"/>
      <c r="BS204" s="139"/>
      <c r="BT204" s="139"/>
      <c r="BU204" s="139"/>
      <c r="BV204" s="139"/>
      <c r="BW204" s="139"/>
      <c r="BX204" s="139"/>
      <c r="BY204" s="139"/>
      <c r="BZ204" s="139"/>
      <c r="CA204" s="139"/>
      <c r="CB204" s="139"/>
      <c r="CC204" s="139"/>
      <c r="CD204" s="139"/>
      <c r="CE204" s="139"/>
      <c r="CF204" s="139"/>
      <c r="CG204" s="139"/>
      <c r="CH204" s="139"/>
      <c r="CI204" s="139"/>
      <c r="CJ204" s="139"/>
      <c r="CK204" s="139"/>
      <c r="CL204" s="139"/>
      <c r="CM204" s="139"/>
      <c r="CN204" s="139"/>
      <c r="CO204" s="139"/>
      <c r="CP204" s="139"/>
      <c r="CQ204" s="139"/>
      <c r="CR204" s="139"/>
      <c r="CS204" s="139"/>
      <c r="CT204" s="139"/>
      <c r="CU204" s="139"/>
      <c r="CV204" s="139"/>
      <c r="CW204" s="139"/>
      <c r="CX204" s="139"/>
      <c r="CY204" s="139"/>
      <c r="CZ204" s="139"/>
      <c r="DA204" s="139"/>
      <c r="DB204" s="139"/>
      <c r="DC204" s="139"/>
      <c r="DD204" s="139"/>
      <c r="DE204" s="139"/>
      <c r="DF204" s="139"/>
      <c r="DG204" s="139"/>
      <c r="DH204" s="139"/>
      <c r="DI204" s="139"/>
      <c r="DJ204" s="139"/>
      <c r="DK204" s="139"/>
      <c r="DL204" s="139"/>
      <c r="DM204" s="139"/>
      <c r="DN204" s="139"/>
      <c r="DO204" s="139"/>
      <c r="DP204" s="139"/>
      <c r="DQ204" s="139"/>
      <c r="DR204" s="139"/>
      <c r="DS204" s="139"/>
      <c r="DT204" s="139"/>
      <c r="DU204" s="139"/>
      <c r="DV204" s="139"/>
      <c r="DW204" s="139"/>
      <c r="DX204" s="139"/>
      <c r="DY204" s="139"/>
      <c r="DZ204" s="139"/>
      <c r="EA204" s="139"/>
      <c r="EB204" s="139"/>
      <c r="EC204" s="139"/>
      <c r="ED204" s="139"/>
      <c r="EE204" s="139"/>
      <c r="EF204" s="139"/>
      <c r="EG204" s="139"/>
      <c r="EH204" s="139"/>
      <c r="EI204" s="139"/>
      <c r="EJ204" s="139"/>
      <c r="EK204" s="139"/>
      <c r="EL204" s="139"/>
      <c r="EM204" s="139"/>
      <c r="EN204" s="139"/>
      <c r="EO204" s="139"/>
      <c r="EP204" s="139"/>
      <c r="EQ204" s="139"/>
      <c r="ER204" s="139"/>
      <c r="ES204" s="139"/>
      <c r="ET204" s="139"/>
      <c r="EU204" s="139"/>
      <c r="EV204" s="139"/>
      <c r="EW204" s="139"/>
      <c r="EX204" s="139"/>
      <c r="EY204" s="139"/>
      <c r="EZ204" s="139"/>
      <c r="FA204" s="139"/>
      <c r="FB204" s="139"/>
      <c r="FC204" s="139"/>
      <c r="FD204" s="139"/>
      <c r="FE204" s="139"/>
      <c r="FF204" s="139"/>
      <c r="FG204" s="139"/>
      <c r="FH204" s="139"/>
      <c r="FI204" s="139"/>
      <c r="FJ204" s="139"/>
      <c r="FK204" s="139"/>
      <c r="FL204" s="139"/>
      <c r="FM204" s="139"/>
      <c r="FN204" s="139"/>
      <c r="FO204" s="139"/>
      <c r="FP204" s="139"/>
      <c r="FQ204" s="139"/>
      <c r="FR204" s="139"/>
      <c r="FS204" s="139"/>
      <c r="FT204" s="139"/>
      <c r="FU204" s="139"/>
      <c r="FV204" s="139"/>
      <c r="FW204" s="139"/>
      <c r="FX204" s="139"/>
      <c r="FY204" s="139"/>
      <c r="FZ204" s="139"/>
      <c r="GA204" s="139"/>
      <c r="GB204" s="139"/>
      <c r="GC204" s="139"/>
      <c r="GD204" s="139"/>
      <c r="GE204" s="139"/>
      <c r="GF204" s="139"/>
      <c r="GG204" s="139"/>
      <c r="GH204" s="139"/>
      <c r="GI204" s="139"/>
      <c r="GJ204" s="139"/>
      <c r="GK204" s="139"/>
      <c r="GL204" s="139"/>
      <c r="GM204" s="139"/>
      <c r="GN204" s="139"/>
      <c r="GO204" s="139"/>
      <c r="GP204" s="139"/>
      <c r="GQ204" s="139"/>
      <c r="GR204" s="139"/>
      <c r="GS204" s="139"/>
      <c r="GT204" s="139"/>
      <c r="GU204" s="139"/>
      <c r="GV204" s="139"/>
      <c r="GW204" s="139"/>
      <c r="GX204" s="139"/>
      <c r="GY204" s="139"/>
      <c r="GZ204" s="139"/>
      <c r="HA204" s="139"/>
      <c r="HB204" s="139"/>
      <c r="HC204" s="139"/>
      <c r="HD204" s="139"/>
      <c r="HE204" s="139"/>
      <c r="HF204" s="139"/>
      <c r="HG204" s="139"/>
      <c r="HH204" s="139"/>
      <c r="HI204" s="139"/>
      <c r="HJ204" s="139"/>
      <c r="HK204" s="139"/>
      <c r="HL204" s="139"/>
      <c r="HM204" s="139"/>
      <c r="HN204" s="139"/>
      <c r="HO204" s="139"/>
      <c r="HP204" s="139"/>
      <c r="HQ204" s="139"/>
      <c r="HR204" s="139"/>
      <c r="HS204" s="139"/>
      <c r="HT204" s="139"/>
      <c r="HU204" s="139"/>
      <c r="HV204" s="139"/>
      <c r="HW204" s="139"/>
      <c r="HX204" s="139"/>
      <c r="HY204" s="139"/>
      <c r="HZ204" s="139"/>
      <c r="IA204" s="139"/>
      <c r="IB204" s="139"/>
      <c r="IC204" s="139"/>
      <c r="ID204" s="139"/>
      <c r="IE204" s="139"/>
      <c r="IF204" s="139"/>
      <c r="IG204" s="139"/>
      <c r="IH204" s="139"/>
      <c r="II204" s="139"/>
      <c r="IJ204" s="139"/>
      <c r="IK204" s="139"/>
      <c r="IL204" s="139"/>
      <c r="IM204" s="139"/>
      <c r="IN204" s="139"/>
      <c r="IO204" s="139"/>
      <c r="IP204" s="139"/>
    </row>
    <row r="205" spans="2:250" x14ac:dyDescent="0.3">
      <c r="B205" s="5" t="s">
        <v>125</v>
      </c>
      <c r="C205" s="722" t="s">
        <v>229</v>
      </c>
      <c r="D205" s="270">
        <v>3777136.0617929981</v>
      </c>
      <c r="E205" s="968">
        <v>968.81889199082048</v>
      </c>
      <c r="F205" s="968">
        <v>96379743.626780927</v>
      </c>
      <c r="G205" s="968">
        <v>18846.095068780742</v>
      </c>
      <c r="H205" s="968">
        <v>100156879.68857393</v>
      </c>
      <c r="I205" s="968">
        <v>19814.913960771562</v>
      </c>
      <c r="J205" s="968">
        <v>4691732.8176001795</v>
      </c>
      <c r="K205" s="968">
        <v>1204.7900702315499</v>
      </c>
      <c r="L205" s="968">
        <v>6807.7763023231037</v>
      </c>
      <c r="M205" s="968">
        <v>1.3311925781562597</v>
      </c>
      <c r="N205" s="968">
        <v>4698540.5939025022</v>
      </c>
      <c r="O205" s="968">
        <v>1206.1212628097062</v>
      </c>
      <c r="P205" s="968">
        <v>104855420.28247643</v>
      </c>
      <c r="Q205" s="716">
        <v>21021.035223581268</v>
      </c>
      <c r="R205" s="270">
        <v>0</v>
      </c>
      <c r="S205" s="968">
        <v>0</v>
      </c>
      <c r="T205" s="968">
        <v>1595714.7730232005</v>
      </c>
      <c r="U205" s="968">
        <v>312.02606671695662</v>
      </c>
      <c r="V205" s="968">
        <v>0</v>
      </c>
      <c r="W205" s="968">
        <v>0</v>
      </c>
      <c r="X205" s="968">
        <v>1595714.7730232005</v>
      </c>
      <c r="Y205" s="716">
        <v>312.02606671695662</v>
      </c>
      <c r="Z205" s="270">
        <v>8468868.8793931771</v>
      </c>
      <c r="AA205" s="968">
        <v>2173.6089622223703</v>
      </c>
      <c r="AB205" s="968">
        <v>97982266.176106453</v>
      </c>
      <c r="AC205" s="968">
        <v>19159.452328075855</v>
      </c>
      <c r="AD205" s="968">
        <v>106451135.05549963</v>
      </c>
      <c r="AE205" s="716">
        <v>21333.061290298225</v>
      </c>
      <c r="AF205" s="139"/>
      <c r="AG205" s="139"/>
      <c r="AH205" s="139"/>
      <c r="AI205" s="139"/>
      <c r="AJ205" s="139"/>
      <c r="AK205" s="139"/>
      <c r="AL205" s="139"/>
      <c r="AM205" s="139"/>
      <c r="AN205" s="139"/>
      <c r="AO205" s="139"/>
      <c r="AP205" s="139"/>
      <c r="AQ205" s="139"/>
      <c r="AR205" s="139"/>
      <c r="AS205" s="139"/>
      <c r="AT205" s="139"/>
      <c r="AU205" s="139"/>
      <c r="AV205" s="139"/>
      <c r="AW205" s="139"/>
      <c r="AX205" s="139"/>
      <c r="AY205" s="139"/>
      <c r="AZ205" s="139"/>
      <c r="BA205" s="139"/>
      <c r="BB205" s="139"/>
      <c r="BC205" s="139"/>
      <c r="BD205" s="139"/>
      <c r="BE205" s="139"/>
      <c r="BF205" s="139"/>
      <c r="BG205" s="139"/>
      <c r="BH205" s="139"/>
      <c r="BI205" s="139"/>
      <c r="BJ205" s="139"/>
      <c r="BK205" s="139"/>
      <c r="BL205" s="139"/>
      <c r="BM205" s="139"/>
      <c r="BN205" s="139"/>
      <c r="BO205" s="139"/>
      <c r="BP205" s="139"/>
      <c r="BQ205" s="139"/>
      <c r="BR205" s="139"/>
      <c r="BS205" s="139"/>
      <c r="BT205" s="139"/>
      <c r="BU205" s="139"/>
      <c r="BV205" s="139"/>
      <c r="BW205" s="139"/>
      <c r="BX205" s="139"/>
      <c r="BY205" s="139"/>
      <c r="BZ205" s="139"/>
      <c r="CA205" s="139"/>
      <c r="CB205" s="139"/>
      <c r="CC205" s="139"/>
      <c r="CD205" s="139"/>
      <c r="CE205" s="139"/>
      <c r="CF205" s="139"/>
      <c r="CG205" s="139"/>
      <c r="CH205" s="139"/>
      <c r="CI205" s="139"/>
      <c r="CJ205" s="139"/>
      <c r="CK205" s="139"/>
      <c r="CL205" s="139"/>
      <c r="CM205" s="139"/>
      <c r="CN205" s="139"/>
      <c r="CO205" s="139"/>
      <c r="CP205" s="139"/>
      <c r="CQ205" s="139"/>
      <c r="CR205" s="139"/>
      <c r="CS205" s="139"/>
      <c r="CT205" s="139"/>
      <c r="CU205" s="139"/>
      <c r="CV205" s="139"/>
      <c r="CW205" s="139"/>
      <c r="CX205" s="139"/>
      <c r="CY205" s="139"/>
      <c r="CZ205" s="139"/>
      <c r="DA205" s="139"/>
      <c r="DB205" s="139"/>
      <c r="DC205" s="139"/>
      <c r="DD205" s="139"/>
      <c r="DE205" s="139"/>
      <c r="DF205" s="139"/>
      <c r="DG205" s="139"/>
      <c r="DH205" s="139"/>
      <c r="DI205" s="139"/>
      <c r="DJ205" s="139"/>
      <c r="DK205" s="139"/>
      <c r="DL205" s="139"/>
      <c r="DM205" s="139"/>
      <c r="DN205" s="139"/>
      <c r="DO205" s="139"/>
      <c r="DP205" s="139"/>
      <c r="DQ205" s="139"/>
      <c r="DR205" s="139"/>
      <c r="DS205" s="139"/>
      <c r="DT205" s="139"/>
      <c r="DU205" s="139"/>
      <c r="DV205" s="139"/>
      <c r="DW205" s="139"/>
      <c r="DX205" s="139"/>
      <c r="DY205" s="139"/>
      <c r="DZ205" s="139"/>
      <c r="EA205" s="139"/>
      <c r="EB205" s="139"/>
      <c r="EC205" s="139"/>
      <c r="ED205" s="139"/>
      <c r="EE205" s="139"/>
      <c r="EF205" s="139"/>
      <c r="EG205" s="139"/>
      <c r="EH205" s="139"/>
      <c r="EI205" s="139"/>
      <c r="EJ205" s="139"/>
      <c r="EK205" s="139"/>
      <c r="EL205" s="139"/>
      <c r="EM205" s="139"/>
      <c r="EN205" s="139"/>
      <c r="EO205" s="139"/>
      <c r="EP205" s="139"/>
      <c r="EQ205" s="139"/>
      <c r="ER205" s="139"/>
      <c r="ES205" s="139"/>
      <c r="ET205" s="139"/>
      <c r="EU205" s="139"/>
      <c r="EV205" s="139"/>
      <c r="EW205" s="139"/>
      <c r="EX205" s="139"/>
      <c r="EY205" s="139"/>
      <c r="EZ205" s="139"/>
      <c r="FA205" s="139"/>
      <c r="FB205" s="139"/>
      <c r="FC205" s="139"/>
      <c r="FD205" s="139"/>
      <c r="FE205" s="139"/>
      <c r="FF205" s="139"/>
      <c r="FG205" s="139"/>
      <c r="FH205" s="139"/>
      <c r="FI205" s="139"/>
      <c r="FJ205" s="139"/>
      <c r="FK205" s="139"/>
      <c r="FL205" s="139"/>
      <c r="FM205" s="139"/>
      <c r="FN205" s="139"/>
      <c r="FO205" s="139"/>
      <c r="FP205" s="139"/>
      <c r="FQ205" s="139"/>
      <c r="FR205" s="139"/>
      <c r="FS205" s="139"/>
      <c r="FT205" s="139"/>
      <c r="FU205" s="139"/>
      <c r="FV205" s="139"/>
      <c r="FW205" s="139"/>
      <c r="FX205" s="139"/>
      <c r="FY205" s="139"/>
      <c r="FZ205" s="139"/>
      <c r="GA205" s="139"/>
      <c r="GB205" s="139"/>
      <c r="GC205" s="139"/>
      <c r="GD205" s="139"/>
      <c r="GE205" s="139"/>
      <c r="GF205" s="139"/>
      <c r="GG205" s="139"/>
      <c r="GH205" s="139"/>
      <c r="GI205" s="139"/>
      <c r="GJ205" s="139"/>
      <c r="GK205" s="139"/>
      <c r="GL205" s="139"/>
      <c r="GM205" s="139"/>
      <c r="GN205" s="139"/>
      <c r="GO205" s="139"/>
      <c r="GP205" s="139"/>
      <c r="GQ205" s="139"/>
      <c r="GR205" s="139"/>
      <c r="GS205" s="139"/>
      <c r="GT205" s="139"/>
      <c r="GU205" s="139"/>
      <c r="GV205" s="139"/>
      <c r="GW205" s="139"/>
      <c r="GX205" s="139"/>
      <c r="GY205" s="139"/>
      <c r="GZ205" s="139"/>
      <c r="HA205" s="139"/>
      <c r="HB205" s="139"/>
      <c r="HC205" s="139"/>
      <c r="HD205" s="139"/>
      <c r="HE205" s="139"/>
      <c r="HF205" s="139"/>
      <c r="HG205" s="139"/>
      <c r="HH205" s="139"/>
      <c r="HI205" s="139"/>
      <c r="HJ205" s="139"/>
      <c r="HK205" s="139"/>
      <c r="HL205" s="139"/>
      <c r="HM205" s="139"/>
      <c r="HN205" s="139"/>
      <c r="HO205" s="139"/>
      <c r="HP205" s="139"/>
      <c r="HQ205" s="139"/>
      <c r="HR205" s="139"/>
      <c r="HS205" s="139"/>
      <c r="HT205" s="139"/>
      <c r="HU205" s="139"/>
      <c r="HV205" s="139"/>
      <c r="HW205" s="139"/>
      <c r="HX205" s="139"/>
      <c r="HY205" s="139"/>
      <c r="HZ205" s="139"/>
      <c r="IA205" s="139"/>
      <c r="IB205" s="139"/>
      <c r="IC205" s="139"/>
      <c r="ID205" s="139"/>
      <c r="IE205" s="139"/>
      <c r="IF205" s="139"/>
      <c r="IG205" s="139"/>
      <c r="IH205" s="139"/>
      <c r="II205" s="139"/>
      <c r="IJ205" s="139"/>
      <c r="IK205" s="139"/>
      <c r="IL205" s="139"/>
      <c r="IM205" s="139"/>
      <c r="IN205" s="139"/>
      <c r="IO205" s="139"/>
      <c r="IP205" s="139"/>
    </row>
    <row r="206" spans="2:250" x14ac:dyDescent="0.3">
      <c r="B206" s="5" t="s">
        <v>126</v>
      </c>
      <c r="C206" s="722" t="s">
        <v>230</v>
      </c>
      <c r="D206" s="270">
        <v>1758459.7309073075</v>
      </c>
      <c r="E206" s="968">
        <v>451.03723568257823</v>
      </c>
      <c r="F206" s="968">
        <v>32898109.407784425</v>
      </c>
      <c r="G206" s="968">
        <v>6432.8963135981667</v>
      </c>
      <c r="H206" s="968">
        <v>34656569.138691731</v>
      </c>
      <c r="I206" s="968">
        <v>6883.933549280745</v>
      </c>
      <c r="J206" s="968">
        <v>1050070.1375227347</v>
      </c>
      <c r="K206" s="968">
        <v>269.64751061446299</v>
      </c>
      <c r="L206" s="968">
        <v>437.57914006189367</v>
      </c>
      <c r="M206" s="968">
        <v>8.5564225047702683E-2</v>
      </c>
      <c r="N206" s="968">
        <v>1050507.7166627967</v>
      </c>
      <c r="O206" s="968">
        <v>269.73307483951066</v>
      </c>
      <c r="P206" s="968">
        <v>35707076.855354525</v>
      </c>
      <c r="Q206" s="716">
        <v>7153.6666241202556</v>
      </c>
      <c r="R206" s="270">
        <v>15005532.117304664</v>
      </c>
      <c r="S206" s="968">
        <v>2934.1817502177541</v>
      </c>
      <c r="T206" s="968">
        <v>0</v>
      </c>
      <c r="U206" s="968">
        <v>0</v>
      </c>
      <c r="V206" s="968">
        <v>2443769.9416246535</v>
      </c>
      <c r="W206" s="968">
        <v>477.85477438528477</v>
      </c>
      <c r="X206" s="968">
        <v>17449302.058929317</v>
      </c>
      <c r="Y206" s="716">
        <v>3412.0365246030387</v>
      </c>
      <c r="Z206" s="270">
        <v>2808529.8684300422</v>
      </c>
      <c r="AA206" s="968">
        <v>720.68474629704122</v>
      </c>
      <c r="AB206" s="968">
        <v>50347849.045853809</v>
      </c>
      <c r="AC206" s="968">
        <v>9845.0184024262544</v>
      </c>
      <c r="AD206" s="968">
        <v>53156378.914283849</v>
      </c>
      <c r="AE206" s="716">
        <v>10565.703148723296</v>
      </c>
      <c r="AF206" s="139"/>
      <c r="AG206" s="139"/>
      <c r="AH206" s="139"/>
      <c r="AI206" s="139"/>
      <c r="AJ206" s="139"/>
      <c r="AK206" s="139"/>
      <c r="AL206" s="139"/>
      <c r="AM206" s="139"/>
      <c r="AN206" s="139"/>
      <c r="AO206" s="139"/>
      <c r="AP206" s="139"/>
      <c r="AQ206" s="139"/>
      <c r="AR206" s="139"/>
      <c r="AS206" s="139"/>
      <c r="AT206" s="139"/>
      <c r="AU206" s="139"/>
      <c r="AV206" s="139"/>
      <c r="AW206" s="139"/>
      <c r="AX206" s="139"/>
      <c r="AY206" s="139"/>
      <c r="AZ206" s="139"/>
      <c r="BA206" s="139"/>
      <c r="BB206" s="139"/>
      <c r="BC206" s="139"/>
      <c r="BD206" s="139"/>
      <c r="BE206" s="139"/>
      <c r="BF206" s="139"/>
      <c r="BG206" s="139"/>
      <c r="BH206" s="139"/>
      <c r="BI206" s="139"/>
      <c r="BJ206" s="139"/>
      <c r="BK206" s="139"/>
      <c r="BL206" s="139"/>
      <c r="BM206" s="139"/>
      <c r="BN206" s="139"/>
      <c r="BO206" s="139"/>
      <c r="BP206" s="139"/>
      <c r="BQ206" s="139"/>
      <c r="BR206" s="139"/>
      <c r="BS206" s="139"/>
      <c r="BT206" s="139"/>
      <c r="BU206" s="139"/>
      <c r="BV206" s="139"/>
      <c r="BW206" s="139"/>
      <c r="BX206" s="139"/>
      <c r="BY206" s="139"/>
      <c r="BZ206" s="139"/>
      <c r="CA206" s="139"/>
      <c r="CB206" s="139"/>
      <c r="CC206" s="139"/>
      <c r="CD206" s="139"/>
      <c r="CE206" s="139"/>
      <c r="CF206" s="139"/>
      <c r="CG206" s="139"/>
      <c r="CH206" s="139"/>
      <c r="CI206" s="139"/>
      <c r="CJ206" s="139"/>
      <c r="CK206" s="139"/>
      <c r="CL206" s="139"/>
      <c r="CM206" s="139"/>
      <c r="CN206" s="139"/>
      <c r="CO206" s="139"/>
      <c r="CP206" s="139"/>
      <c r="CQ206" s="139"/>
      <c r="CR206" s="139"/>
      <c r="CS206" s="139"/>
      <c r="CT206" s="139"/>
      <c r="CU206" s="139"/>
      <c r="CV206" s="139"/>
      <c r="CW206" s="139"/>
      <c r="CX206" s="139"/>
      <c r="CY206" s="139"/>
      <c r="CZ206" s="139"/>
      <c r="DA206" s="139"/>
      <c r="DB206" s="139"/>
      <c r="DC206" s="139"/>
      <c r="DD206" s="139"/>
      <c r="DE206" s="139"/>
      <c r="DF206" s="139"/>
      <c r="DG206" s="139"/>
      <c r="DH206" s="139"/>
      <c r="DI206" s="139"/>
      <c r="DJ206" s="139"/>
      <c r="DK206" s="139"/>
      <c r="DL206" s="139"/>
      <c r="DM206" s="139"/>
      <c r="DN206" s="139"/>
      <c r="DO206" s="139"/>
      <c r="DP206" s="139"/>
      <c r="DQ206" s="139"/>
      <c r="DR206" s="139"/>
      <c r="DS206" s="139"/>
      <c r="DT206" s="139"/>
      <c r="DU206" s="139"/>
      <c r="DV206" s="139"/>
      <c r="DW206" s="139"/>
      <c r="DX206" s="139"/>
      <c r="DY206" s="139"/>
      <c r="DZ206" s="139"/>
      <c r="EA206" s="139"/>
      <c r="EB206" s="139"/>
      <c r="EC206" s="139"/>
      <c r="ED206" s="139"/>
      <c r="EE206" s="139"/>
      <c r="EF206" s="139"/>
      <c r="EG206" s="139"/>
      <c r="EH206" s="139"/>
      <c r="EI206" s="139"/>
      <c r="EJ206" s="139"/>
      <c r="EK206" s="139"/>
      <c r="EL206" s="139"/>
      <c r="EM206" s="139"/>
      <c r="EN206" s="139"/>
      <c r="EO206" s="139"/>
      <c r="EP206" s="139"/>
      <c r="EQ206" s="139"/>
      <c r="ER206" s="139"/>
      <c r="ES206" s="139"/>
      <c r="ET206" s="139"/>
      <c r="EU206" s="139"/>
      <c r="EV206" s="139"/>
      <c r="EW206" s="139"/>
      <c r="EX206" s="139"/>
      <c r="EY206" s="139"/>
      <c r="EZ206" s="139"/>
      <c r="FA206" s="139"/>
      <c r="FB206" s="139"/>
      <c r="FC206" s="139"/>
      <c r="FD206" s="139"/>
      <c r="FE206" s="139"/>
      <c r="FF206" s="139"/>
      <c r="FG206" s="139"/>
      <c r="FH206" s="139"/>
      <c r="FI206" s="139"/>
      <c r="FJ206" s="139"/>
      <c r="FK206" s="139"/>
      <c r="FL206" s="139"/>
      <c r="FM206" s="139"/>
      <c r="FN206" s="139"/>
      <c r="FO206" s="139"/>
      <c r="FP206" s="139"/>
      <c r="FQ206" s="139"/>
      <c r="FR206" s="139"/>
      <c r="FS206" s="139"/>
      <c r="FT206" s="139"/>
      <c r="FU206" s="139"/>
      <c r="FV206" s="139"/>
      <c r="FW206" s="139"/>
      <c r="FX206" s="139"/>
      <c r="FY206" s="139"/>
      <c r="FZ206" s="139"/>
      <c r="GA206" s="139"/>
      <c r="GB206" s="139"/>
      <c r="GC206" s="139"/>
      <c r="GD206" s="139"/>
      <c r="GE206" s="139"/>
      <c r="GF206" s="139"/>
      <c r="GG206" s="139"/>
      <c r="GH206" s="139"/>
      <c r="GI206" s="139"/>
      <c r="GJ206" s="139"/>
      <c r="GK206" s="139"/>
      <c r="GL206" s="139"/>
      <c r="GM206" s="139"/>
      <c r="GN206" s="139"/>
      <c r="GO206" s="139"/>
      <c r="GP206" s="139"/>
      <c r="GQ206" s="139"/>
      <c r="GR206" s="139"/>
      <c r="GS206" s="139"/>
      <c r="GT206" s="139"/>
      <c r="GU206" s="139"/>
      <c r="GV206" s="139"/>
      <c r="GW206" s="139"/>
      <c r="GX206" s="139"/>
      <c r="GY206" s="139"/>
      <c r="GZ206" s="139"/>
      <c r="HA206" s="139"/>
      <c r="HB206" s="139"/>
      <c r="HC206" s="139"/>
      <c r="HD206" s="139"/>
      <c r="HE206" s="139"/>
      <c r="HF206" s="139"/>
      <c r="HG206" s="139"/>
      <c r="HH206" s="139"/>
      <c r="HI206" s="139"/>
      <c r="HJ206" s="139"/>
      <c r="HK206" s="139"/>
      <c r="HL206" s="139"/>
      <c r="HM206" s="139"/>
      <c r="HN206" s="139"/>
      <c r="HO206" s="139"/>
      <c r="HP206" s="139"/>
      <c r="HQ206" s="139"/>
      <c r="HR206" s="139"/>
      <c r="HS206" s="139"/>
      <c r="HT206" s="139"/>
      <c r="HU206" s="139"/>
      <c r="HV206" s="139"/>
      <c r="HW206" s="139"/>
      <c r="HX206" s="139"/>
      <c r="HY206" s="139"/>
      <c r="HZ206" s="139"/>
      <c r="IA206" s="139"/>
      <c r="IB206" s="139"/>
      <c r="IC206" s="139"/>
      <c r="ID206" s="139"/>
      <c r="IE206" s="139"/>
      <c r="IF206" s="139"/>
      <c r="IG206" s="139"/>
      <c r="IH206" s="139"/>
      <c r="II206" s="139"/>
      <c r="IJ206" s="139"/>
      <c r="IK206" s="139"/>
      <c r="IL206" s="139"/>
      <c r="IM206" s="139"/>
      <c r="IN206" s="139"/>
      <c r="IO206" s="139"/>
      <c r="IP206" s="139"/>
    </row>
    <row r="207" spans="2:250" x14ac:dyDescent="0.3">
      <c r="B207" s="5" t="s">
        <v>127</v>
      </c>
      <c r="C207" s="722" t="s">
        <v>231</v>
      </c>
      <c r="D207" s="270">
        <v>0</v>
      </c>
      <c r="E207" s="968">
        <v>0</v>
      </c>
      <c r="F207" s="968">
        <v>62279276.974453039</v>
      </c>
      <c r="G207" s="968">
        <v>12178.089819584548</v>
      </c>
      <c r="H207" s="968">
        <v>62279276.974453039</v>
      </c>
      <c r="I207" s="968">
        <v>12178.089819584548</v>
      </c>
      <c r="J207" s="968">
        <v>8414465.1477778275</v>
      </c>
      <c r="K207" s="968">
        <v>2160.7505052978681</v>
      </c>
      <c r="L207" s="968">
        <v>288733.9425024456</v>
      </c>
      <c r="M207" s="968">
        <v>56.459035116928206</v>
      </c>
      <c r="N207" s="968">
        <v>8703199.0902802739</v>
      </c>
      <c r="O207" s="968">
        <v>2217.2095404147963</v>
      </c>
      <c r="P207" s="968">
        <v>70982476.064733312</v>
      </c>
      <c r="Q207" s="716">
        <v>14395.299359999344</v>
      </c>
      <c r="R207" s="270">
        <v>37459979.555248149</v>
      </c>
      <c r="S207" s="968">
        <v>7324.9244022332223</v>
      </c>
      <c r="T207" s="968">
        <v>21668778.29724038</v>
      </c>
      <c r="U207" s="968">
        <v>4237.112908242384</v>
      </c>
      <c r="V207" s="968">
        <v>0</v>
      </c>
      <c r="W207" s="968">
        <v>0</v>
      </c>
      <c r="X207" s="968">
        <v>59128757.852488533</v>
      </c>
      <c r="Y207" s="716">
        <v>11562.037310475607</v>
      </c>
      <c r="Z207" s="270">
        <v>8414465.1477778275</v>
      </c>
      <c r="AA207" s="968">
        <v>2160.7505052978681</v>
      </c>
      <c r="AB207" s="968">
        <v>121696768.76944402</v>
      </c>
      <c r="AC207" s="968">
        <v>23796.586165177079</v>
      </c>
      <c r="AD207" s="968">
        <v>130111233.91722184</v>
      </c>
      <c r="AE207" s="716">
        <v>25957.336670474946</v>
      </c>
      <c r="AF207" s="139"/>
      <c r="AG207" s="139"/>
      <c r="AH207" s="139"/>
      <c r="AI207" s="139"/>
      <c r="AJ207" s="139"/>
      <c r="AK207" s="139"/>
      <c r="AL207" s="139"/>
      <c r="AM207" s="139"/>
      <c r="AN207" s="139"/>
      <c r="AO207" s="139"/>
      <c r="AP207" s="139"/>
      <c r="AQ207" s="139"/>
      <c r="AR207" s="139"/>
      <c r="AS207" s="139"/>
      <c r="AT207" s="139"/>
      <c r="AU207" s="139"/>
      <c r="AV207" s="139"/>
      <c r="AW207" s="139"/>
      <c r="AX207" s="139"/>
      <c r="AY207" s="139"/>
      <c r="AZ207" s="139"/>
      <c r="BA207" s="139"/>
      <c r="BB207" s="139"/>
      <c r="BC207" s="139"/>
      <c r="BD207" s="139"/>
      <c r="BE207" s="139"/>
      <c r="BF207" s="139"/>
      <c r="BG207" s="139"/>
      <c r="BH207" s="139"/>
      <c r="BI207" s="139"/>
      <c r="BJ207" s="139"/>
      <c r="BK207" s="139"/>
      <c r="BL207" s="139"/>
      <c r="BM207" s="139"/>
      <c r="BN207" s="139"/>
      <c r="BO207" s="139"/>
      <c r="BP207" s="139"/>
      <c r="BQ207" s="139"/>
      <c r="BR207" s="139"/>
      <c r="BS207" s="139"/>
      <c r="BT207" s="139"/>
      <c r="BU207" s="139"/>
      <c r="BV207" s="139"/>
      <c r="BW207" s="139"/>
      <c r="BX207" s="139"/>
      <c r="BY207" s="139"/>
      <c r="BZ207" s="139"/>
      <c r="CA207" s="139"/>
      <c r="CB207" s="139"/>
      <c r="CC207" s="139"/>
      <c r="CD207" s="139"/>
      <c r="CE207" s="139"/>
      <c r="CF207" s="139"/>
      <c r="CG207" s="139"/>
      <c r="CH207" s="139"/>
      <c r="CI207" s="139"/>
      <c r="CJ207" s="139"/>
      <c r="CK207" s="139"/>
      <c r="CL207" s="139"/>
      <c r="CM207" s="139"/>
      <c r="CN207" s="139"/>
      <c r="CO207" s="139"/>
      <c r="CP207" s="139"/>
      <c r="CQ207" s="139"/>
      <c r="CR207" s="139"/>
      <c r="CS207" s="139"/>
      <c r="CT207" s="139"/>
      <c r="CU207" s="139"/>
      <c r="CV207" s="139"/>
      <c r="CW207" s="139"/>
      <c r="CX207" s="139"/>
      <c r="CY207" s="139"/>
      <c r="CZ207" s="139"/>
      <c r="DA207" s="139"/>
      <c r="DB207" s="139"/>
      <c r="DC207" s="139"/>
      <c r="DD207" s="139"/>
      <c r="DE207" s="139"/>
      <c r="DF207" s="139"/>
      <c r="DG207" s="139"/>
      <c r="DH207" s="139"/>
      <c r="DI207" s="139"/>
      <c r="DJ207" s="139"/>
      <c r="DK207" s="139"/>
      <c r="DL207" s="139"/>
      <c r="DM207" s="139"/>
      <c r="DN207" s="139"/>
      <c r="DO207" s="139"/>
      <c r="DP207" s="139"/>
      <c r="DQ207" s="139"/>
      <c r="DR207" s="139"/>
      <c r="DS207" s="139"/>
      <c r="DT207" s="139"/>
      <c r="DU207" s="139"/>
      <c r="DV207" s="139"/>
      <c r="DW207" s="139"/>
      <c r="DX207" s="139"/>
      <c r="DY207" s="139"/>
      <c r="DZ207" s="139"/>
      <c r="EA207" s="139"/>
      <c r="EB207" s="139"/>
      <c r="EC207" s="139"/>
      <c r="ED207" s="139"/>
      <c r="EE207" s="139"/>
      <c r="EF207" s="139"/>
      <c r="EG207" s="139"/>
      <c r="EH207" s="139"/>
      <c r="EI207" s="139"/>
      <c r="EJ207" s="139"/>
      <c r="EK207" s="139"/>
      <c r="EL207" s="139"/>
      <c r="EM207" s="139"/>
      <c r="EN207" s="139"/>
      <c r="EO207" s="139"/>
      <c r="EP207" s="139"/>
      <c r="EQ207" s="139"/>
      <c r="ER207" s="139"/>
      <c r="ES207" s="139"/>
      <c r="ET207" s="139"/>
      <c r="EU207" s="139"/>
      <c r="EV207" s="139"/>
      <c r="EW207" s="139"/>
      <c r="EX207" s="139"/>
      <c r="EY207" s="139"/>
      <c r="EZ207" s="139"/>
      <c r="FA207" s="139"/>
      <c r="FB207" s="139"/>
      <c r="FC207" s="139"/>
      <c r="FD207" s="139"/>
      <c r="FE207" s="139"/>
      <c r="FF207" s="139"/>
      <c r="FG207" s="139"/>
      <c r="FH207" s="139"/>
      <c r="FI207" s="139"/>
      <c r="FJ207" s="139"/>
      <c r="FK207" s="139"/>
      <c r="FL207" s="139"/>
      <c r="FM207" s="139"/>
      <c r="FN207" s="139"/>
      <c r="FO207" s="139"/>
      <c r="FP207" s="139"/>
      <c r="FQ207" s="139"/>
      <c r="FR207" s="139"/>
      <c r="FS207" s="139"/>
      <c r="FT207" s="139"/>
      <c r="FU207" s="139"/>
      <c r="FV207" s="139"/>
      <c r="FW207" s="139"/>
      <c r="FX207" s="139"/>
      <c r="FY207" s="139"/>
      <c r="FZ207" s="139"/>
      <c r="GA207" s="139"/>
      <c r="GB207" s="139"/>
      <c r="GC207" s="139"/>
      <c r="GD207" s="139"/>
      <c r="GE207" s="139"/>
      <c r="GF207" s="139"/>
      <c r="GG207" s="139"/>
      <c r="GH207" s="139"/>
      <c r="GI207" s="139"/>
      <c r="GJ207" s="139"/>
      <c r="GK207" s="139"/>
      <c r="GL207" s="139"/>
      <c r="GM207" s="139"/>
      <c r="GN207" s="139"/>
      <c r="GO207" s="139"/>
      <c r="GP207" s="139"/>
      <c r="GQ207" s="139"/>
      <c r="GR207" s="139"/>
      <c r="GS207" s="139"/>
      <c r="GT207" s="139"/>
      <c r="GU207" s="139"/>
      <c r="GV207" s="139"/>
      <c r="GW207" s="139"/>
      <c r="GX207" s="139"/>
      <c r="GY207" s="139"/>
      <c r="GZ207" s="139"/>
      <c r="HA207" s="139"/>
      <c r="HB207" s="139"/>
      <c r="HC207" s="139"/>
      <c r="HD207" s="139"/>
      <c r="HE207" s="139"/>
      <c r="HF207" s="139"/>
      <c r="HG207" s="139"/>
      <c r="HH207" s="139"/>
      <c r="HI207" s="139"/>
      <c r="HJ207" s="139"/>
      <c r="HK207" s="139"/>
      <c r="HL207" s="139"/>
      <c r="HM207" s="139"/>
      <c r="HN207" s="139"/>
      <c r="HO207" s="139"/>
      <c r="HP207" s="139"/>
      <c r="HQ207" s="139"/>
      <c r="HR207" s="139"/>
      <c r="HS207" s="139"/>
      <c r="HT207" s="139"/>
      <c r="HU207" s="139"/>
      <c r="HV207" s="139"/>
      <c r="HW207" s="139"/>
      <c r="HX207" s="139"/>
      <c r="HY207" s="139"/>
      <c r="HZ207" s="139"/>
      <c r="IA207" s="139"/>
      <c r="IB207" s="139"/>
      <c r="IC207" s="139"/>
      <c r="ID207" s="139"/>
      <c r="IE207" s="139"/>
      <c r="IF207" s="139"/>
      <c r="IG207" s="139"/>
      <c r="IH207" s="139"/>
      <c r="II207" s="139"/>
      <c r="IJ207" s="139"/>
      <c r="IK207" s="139"/>
      <c r="IL207" s="139"/>
      <c r="IM207" s="139"/>
      <c r="IN207" s="139"/>
      <c r="IO207" s="139"/>
      <c r="IP207" s="139"/>
    </row>
    <row r="208" spans="2:250" x14ac:dyDescent="0.3">
      <c r="B208" s="5" t="s">
        <v>128</v>
      </c>
      <c r="C208" s="722" t="s">
        <v>232</v>
      </c>
      <c r="D208" s="270">
        <v>0</v>
      </c>
      <c r="E208" s="968">
        <v>0</v>
      </c>
      <c r="F208" s="968">
        <v>20854362.584511589</v>
      </c>
      <c r="G208" s="968">
        <v>4077.8620597753957</v>
      </c>
      <c r="H208" s="968">
        <v>20854362.584511589</v>
      </c>
      <c r="I208" s="968">
        <v>4077.8620597753957</v>
      </c>
      <c r="J208" s="968">
        <v>2589792.8177529722</v>
      </c>
      <c r="K208" s="968">
        <v>665.03289767078559</v>
      </c>
      <c r="L208" s="968">
        <v>122433.4635956034</v>
      </c>
      <c r="M208" s="968">
        <v>23.940639471484289</v>
      </c>
      <c r="N208" s="968">
        <v>2712226.2813485758</v>
      </c>
      <c r="O208" s="968">
        <v>688.97353714226983</v>
      </c>
      <c r="P208" s="968">
        <v>23566588.865860164</v>
      </c>
      <c r="Q208" s="716">
        <v>4766.8355969176655</v>
      </c>
      <c r="R208" s="270">
        <v>29506096.292430244</v>
      </c>
      <c r="S208" s="968">
        <v>5769.6220690218097</v>
      </c>
      <c r="T208" s="968">
        <v>0</v>
      </c>
      <c r="U208" s="968">
        <v>0</v>
      </c>
      <c r="V208" s="968">
        <v>0</v>
      </c>
      <c r="W208" s="968">
        <v>0</v>
      </c>
      <c r="X208" s="968">
        <v>29506096.292430244</v>
      </c>
      <c r="Y208" s="716">
        <v>5769.6220690218097</v>
      </c>
      <c r="Z208" s="270">
        <v>2589792.8177529722</v>
      </c>
      <c r="AA208" s="968">
        <v>665.03289767078559</v>
      </c>
      <c r="AB208" s="968">
        <v>50482892.340537436</v>
      </c>
      <c r="AC208" s="968">
        <v>9871.424768268691</v>
      </c>
      <c r="AD208" s="968">
        <v>53072685.158290409</v>
      </c>
      <c r="AE208" s="716">
        <v>10536.457665939477</v>
      </c>
      <c r="AF208" s="139"/>
      <c r="AG208" s="139"/>
      <c r="AH208" s="139"/>
      <c r="AI208" s="139"/>
      <c r="AJ208" s="139"/>
      <c r="AK208" s="139"/>
      <c r="AL208" s="139"/>
      <c r="AM208" s="139"/>
      <c r="AN208" s="139"/>
      <c r="AO208" s="139"/>
      <c r="AP208" s="139"/>
      <c r="AQ208" s="139"/>
      <c r="AR208" s="139"/>
      <c r="AS208" s="139"/>
      <c r="AT208" s="139"/>
      <c r="AU208" s="139"/>
      <c r="AV208" s="139"/>
      <c r="AW208" s="139"/>
      <c r="AX208" s="139"/>
      <c r="AY208" s="139"/>
      <c r="AZ208" s="139"/>
      <c r="BA208" s="139"/>
      <c r="BB208" s="139"/>
      <c r="BC208" s="139"/>
      <c r="BD208" s="139"/>
      <c r="BE208" s="139"/>
      <c r="BF208" s="139"/>
      <c r="BG208" s="139"/>
      <c r="BH208" s="139"/>
      <c r="BI208" s="139"/>
      <c r="BJ208" s="139"/>
      <c r="BK208" s="139"/>
      <c r="BL208" s="139"/>
      <c r="BM208" s="139"/>
      <c r="BN208" s="139"/>
      <c r="BO208" s="139"/>
      <c r="BP208" s="139"/>
      <c r="BQ208" s="139"/>
      <c r="BR208" s="139"/>
      <c r="BS208" s="139"/>
      <c r="BT208" s="139"/>
      <c r="BU208" s="139"/>
      <c r="BV208" s="139"/>
      <c r="BW208" s="139"/>
      <c r="BX208" s="139"/>
      <c r="BY208" s="139"/>
      <c r="BZ208" s="139"/>
      <c r="CA208" s="139"/>
      <c r="CB208" s="139"/>
      <c r="CC208" s="139"/>
      <c r="CD208" s="139"/>
      <c r="CE208" s="139"/>
      <c r="CF208" s="139"/>
      <c r="CG208" s="139"/>
      <c r="CH208" s="139"/>
      <c r="CI208" s="139"/>
      <c r="CJ208" s="139"/>
      <c r="CK208" s="139"/>
      <c r="CL208" s="139"/>
      <c r="CM208" s="139"/>
      <c r="CN208" s="139"/>
      <c r="CO208" s="139"/>
      <c r="CP208" s="139"/>
      <c r="CQ208" s="139"/>
      <c r="CR208" s="139"/>
      <c r="CS208" s="139"/>
      <c r="CT208" s="139"/>
      <c r="CU208" s="139"/>
      <c r="CV208" s="139"/>
      <c r="CW208" s="139"/>
      <c r="CX208" s="139"/>
      <c r="CY208" s="139"/>
      <c r="CZ208" s="139"/>
      <c r="DA208" s="139"/>
      <c r="DB208" s="139"/>
      <c r="DC208" s="139"/>
      <c r="DD208" s="139"/>
      <c r="DE208" s="139"/>
      <c r="DF208" s="139"/>
      <c r="DG208" s="139"/>
      <c r="DH208" s="139"/>
      <c r="DI208" s="139"/>
      <c r="DJ208" s="139"/>
      <c r="DK208" s="139"/>
      <c r="DL208" s="139"/>
      <c r="DM208" s="139"/>
      <c r="DN208" s="139"/>
      <c r="DO208" s="139"/>
      <c r="DP208" s="139"/>
      <c r="DQ208" s="139"/>
      <c r="DR208" s="139"/>
      <c r="DS208" s="139"/>
      <c r="DT208" s="139"/>
      <c r="DU208" s="139"/>
      <c r="DV208" s="139"/>
      <c r="DW208" s="139"/>
      <c r="DX208" s="139"/>
      <c r="DY208" s="139"/>
      <c r="DZ208" s="139"/>
      <c r="EA208" s="139"/>
      <c r="EB208" s="139"/>
      <c r="EC208" s="139"/>
      <c r="ED208" s="139"/>
      <c r="EE208" s="139"/>
      <c r="EF208" s="139"/>
      <c r="EG208" s="139"/>
      <c r="EH208" s="139"/>
      <c r="EI208" s="139"/>
      <c r="EJ208" s="139"/>
      <c r="EK208" s="139"/>
      <c r="EL208" s="139"/>
      <c r="EM208" s="139"/>
      <c r="EN208" s="139"/>
      <c r="EO208" s="139"/>
      <c r="EP208" s="139"/>
      <c r="EQ208" s="139"/>
      <c r="ER208" s="139"/>
      <c r="ES208" s="139"/>
      <c r="ET208" s="139"/>
      <c r="EU208" s="139"/>
      <c r="EV208" s="139"/>
      <c r="EW208" s="139"/>
      <c r="EX208" s="139"/>
      <c r="EY208" s="139"/>
      <c r="EZ208" s="139"/>
      <c r="FA208" s="139"/>
      <c r="FB208" s="139"/>
      <c r="FC208" s="139"/>
      <c r="FD208" s="139"/>
      <c r="FE208" s="139"/>
      <c r="FF208" s="139"/>
      <c r="FG208" s="139"/>
      <c r="FH208" s="139"/>
      <c r="FI208" s="139"/>
      <c r="FJ208" s="139"/>
      <c r="FK208" s="139"/>
      <c r="FL208" s="139"/>
      <c r="FM208" s="139"/>
      <c r="FN208" s="139"/>
      <c r="FO208" s="139"/>
      <c r="FP208" s="139"/>
      <c r="FQ208" s="139"/>
      <c r="FR208" s="139"/>
      <c r="FS208" s="139"/>
      <c r="FT208" s="139"/>
      <c r="FU208" s="139"/>
      <c r="FV208" s="139"/>
      <c r="FW208" s="139"/>
      <c r="FX208" s="139"/>
      <c r="FY208" s="139"/>
      <c r="FZ208" s="139"/>
      <c r="GA208" s="139"/>
      <c r="GB208" s="139"/>
      <c r="GC208" s="139"/>
      <c r="GD208" s="139"/>
      <c r="GE208" s="139"/>
      <c r="GF208" s="139"/>
      <c r="GG208" s="139"/>
      <c r="GH208" s="139"/>
      <c r="GI208" s="139"/>
      <c r="GJ208" s="139"/>
      <c r="GK208" s="139"/>
      <c r="GL208" s="139"/>
      <c r="GM208" s="139"/>
      <c r="GN208" s="139"/>
      <c r="GO208" s="139"/>
      <c r="GP208" s="139"/>
      <c r="GQ208" s="139"/>
      <c r="GR208" s="139"/>
      <c r="GS208" s="139"/>
      <c r="GT208" s="139"/>
      <c r="GU208" s="139"/>
      <c r="GV208" s="139"/>
      <c r="GW208" s="139"/>
      <c r="GX208" s="139"/>
      <c r="GY208" s="139"/>
      <c r="GZ208" s="139"/>
      <c r="HA208" s="139"/>
      <c r="HB208" s="139"/>
      <c r="HC208" s="139"/>
      <c r="HD208" s="139"/>
      <c r="HE208" s="139"/>
      <c r="HF208" s="139"/>
      <c r="HG208" s="139"/>
      <c r="HH208" s="139"/>
      <c r="HI208" s="139"/>
      <c r="HJ208" s="139"/>
      <c r="HK208" s="139"/>
      <c r="HL208" s="139"/>
      <c r="HM208" s="139"/>
      <c r="HN208" s="139"/>
      <c r="HO208" s="139"/>
      <c r="HP208" s="139"/>
      <c r="HQ208" s="139"/>
      <c r="HR208" s="139"/>
      <c r="HS208" s="139"/>
      <c r="HT208" s="139"/>
      <c r="HU208" s="139"/>
      <c r="HV208" s="139"/>
      <c r="HW208" s="139"/>
      <c r="HX208" s="139"/>
      <c r="HY208" s="139"/>
      <c r="HZ208" s="139"/>
      <c r="IA208" s="139"/>
      <c r="IB208" s="139"/>
      <c r="IC208" s="139"/>
      <c r="ID208" s="139"/>
      <c r="IE208" s="139"/>
      <c r="IF208" s="139"/>
      <c r="IG208" s="139"/>
      <c r="IH208" s="139"/>
      <c r="II208" s="139"/>
      <c r="IJ208" s="139"/>
      <c r="IK208" s="139"/>
      <c r="IL208" s="139"/>
      <c r="IM208" s="139"/>
      <c r="IN208" s="139"/>
      <c r="IO208" s="139"/>
      <c r="IP208" s="139"/>
    </row>
    <row r="209" spans="2:257" x14ac:dyDescent="0.3">
      <c r="B209" s="5" t="s">
        <v>129</v>
      </c>
      <c r="C209" s="722" t="s">
        <v>234</v>
      </c>
      <c r="D209" s="270">
        <v>50474.253825450352</v>
      </c>
      <c r="E209" s="968">
        <v>12.94642551002606</v>
      </c>
      <c r="F209" s="968">
        <v>17901016.134459842</v>
      </c>
      <c r="G209" s="968">
        <v>3500.3646949322774</v>
      </c>
      <c r="H209" s="968">
        <v>17951490.388285294</v>
      </c>
      <c r="I209" s="968">
        <v>3513.3111204423035</v>
      </c>
      <c r="J209" s="968">
        <v>1436143.1783927297</v>
      </c>
      <c r="K209" s="968">
        <v>368.78720677946899</v>
      </c>
      <c r="L209" s="968">
        <v>501.15321406849318</v>
      </c>
      <c r="M209" s="968">
        <v>9.7995499478953155E-2</v>
      </c>
      <c r="N209" s="968">
        <v>1436644.3316067981</v>
      </c>
      <c r="O209" s="968">
        <v>368.88520227894793</v>
      </c>
      <c r="P209" s="968">
        <v>19388134.719892092</v>
      </c>
      <c r="Q209" s="716">
        <v>3882.1963227212514</v>
      </c>
      <c r="R209" s="270">
        <v>6036700.562853571</v>
      </c>
      <c r="S209" s="968">
        <v>1180.4164280603873</v>
      </c>
      <c r="T209" s="968">
        <v>0</v>
      </c>
      <c r="U209" s="968">
        <v>0</v>
      </c>
      <c r="V209" s="968">
        <v>0</v>
      </c>
      <c r="W209" s="968">
        <v>0</v>
      </c>
      <c r="X209" s="968">
        <v>6036700.562853571</v>
      </c>
      <c r="Y209" s="716">
        <v>1180.4164280603873</v>
      </c>
      <c r="Z209" s="270">
        <v>1486617.43221818</v>
      </c>
      <c r="AA209" s="968">
        <v>381.73363228949506</v>
      </c>
      <c r="AB209" s="968">
        <v>23938217.85052748</v>
      </c>
      <c r="AC209" s="968">
        <v>4680.8791184921438</v>
      </c>
      <c r="AD209" s="968">
        <v>25424835.282745659</v>
      </c>
      <c r="AE209" s="716">
        <v>5062.6127507816391</v>
      </c>
      <c r="AF209" s="139"/>
      <c r="AG209" s="139"/>
      <c r="AH209" s="139"/>
      <c r="AI209" s="139"/>
      <c r="AJ209" s="139"/>
      <c r="AK209" s="139"/>
      <c r="AL209" s="139"/>
      <c r="AM209" s="139"/>
      <c r="AN209" s="139"/>
      <c r="AO209" s="139"/>
      <c r="AP209" s="139"/>
      <c r="AQ209" s="139"/>
      <c r="AR209" s="139"/>
      <c r="AS209" s="139"/>
      <c r="AT209" s="139"/>
      <c r="AU209" s="139"/>
      <c r="AV209" s="139"/>
      <c r="AW209" s="139"/>
      <c r="AX209" s="139"/>
      <c r="AY209" s="139"/>
      <c r="AZ209" s="139"/>
      <c r="BA209" s="139"/>
      <c r="BB209" s="139"/>
      <c r="BC209" s="139"/>
      <c r="BD209" s="139"/>
      <c r="BE209" s="139"/>
      <c r="BF209" s="139"/>
      <c r="BG209" s="139"/>
      <c r="BH209" s="139"/>
      <c r="BI209" s="139"/>
      <c r="BJ209" s="139"/>
      <c r="BK209" s="139"/>
      <c r="BL209" s="139"/>
      <c r="BM209" s="139"/>
      <c r="BN209" s="139"/>
      <c r="BO209" s="139"/>
      <c r="BP209" s="139"/>
      <c r="BQ209" s="139"/>
      <c r="BR209" s="139"/>
      <c r="BS209" s="139"/>
      <c r="BT209" s="139"/>
      <c r="BU209" s="139"/>
      <c r="BV209" s="139"/>
      <c r="BW209" s="139"/>
      <c r="BX209" s="139"/>
      <c r="BY209" s="139"/>
      <c r="BZ209" s="139"/>
      <c r="CA209" s="139"/>
      <c r="CB209" s="139"/>
      <c r="CC209" s="139"/>
      <c r="CD209" s="139"/>
      <c r="CE209" s="139"/>
      <c r="CF209" s="139"/>
      <c r="CG209" s="139"/>
      <c r="CH209" s="139"/>
      <c r="CI209" s="139"/>
      <c r="CJ209" s="139"/>
      <c r="CK209" s="139"/>
      <c r="CL209" s="139"/>
      <c r="CM209" s="139"/>
      <c r="CN209" s="139"/>
      <c r="CO209" s="139"/>
      <c r="CP209" s="139"/>
      <c r="CQ209" s="139"/>
      <c r="CR209" s="139"/>
      <c r="CS209" s="139"/>
      <c r="CT209" s="139"/>
      <c r="CU209" s="139"/>
      <c r="CV209" s="139"/>
      <c r="CW209" s="139"/>
      <c r="CX209" s="139"/>
      <c r="CY209" s="139"/>
      <c r="CZ209" s="139"/>
      <c r="DA209" s="139"/>
      <c r="DB209" s="139"/>
      <c r="DC209" s="139"/>
      <c r="DD209" s="139"/>
      <c r="DE209" s="139"/>
      <c r="DF209" s="139"/>
      <c r="DG209" s="139"/>
      <c r="DH209" s="139"/>
      <c r="DI209" s="139"/>
      <c r="DJ209" s="139"/>
      <c r="DK209" s="139"/>
      <c r="DL209" s="139"/>
      <c r="DM209" s="139"/>
      <c r="DN209" s="139"/>
      <c r="DO209" s="139"/>
      <c r="DP209" s="139"/>
      <c r="DQ209" s="139"/>
      <c r="DR209" s="139"/>
      <c r="DS209" s="139"/>
      <c r="DT209" s="139"/>
      <c r="DU209" s="139"/>
      <c r="DV209" s="139"/>
      <c r="DW209" s="139"/>
      <c r="DX209" s="139"/>
      <c r="DY209" s="139"/>
      <c r="DZ209" s="139"/>
      <c r="EA209" s="139"/>
      <c r="EB209" s="139"/>
      <c r="EC209" s="139"/>
      <c r="ED209" s="139"/>
      <c r="EE209" s="139"/>
      <c r="EF209" s="139"/>
      <c r="EG209" s="139"/>
      <c r="EH209" s="139"/>
      <c r="EI209" s="139"/>
      <c r="EJ209" s="139"/>
      <c r="EK209" s="139"/>
      <c r="EL209" s="139"/>
      <c r="EM209" s="139"/>
      <c r="EN209" s="139"/>
      <c r="EO209" s="139"/>
      <c r="EP209" s="139"/>
      <c r="EQ209" s="139"/>
      <c r="ER209" s="139"/>
      <c r="ES209" s="139"/>
      <c r="ET209" s="139"/>
      <c r="EU209" s="139"/>
      <c r="EV209" s="139"/>
      <c r="EW209" s="139"/>
      <c r="EX209" s="139"/>
      <c r="EY209" s="139"/>
      <c r="EZ209" s="139"/>
      <c r="FA209" s="139"/>
      <c r="FB209" s="139"/>
      <c r="FC209" s="139"/>
      <c r="FD209" s="139"/>
      <c r="FE209" s="139"/>
      <c r="FF209" s="139"/>
      <c r="FG209" s="139"/>
      <c r="FH209" s="139"/>
      <c r="FI209" s="139"/>
      <c r="FJ209" s="139"/>
      <c r="FK209" s="139"/>
      <c r="FL209" s="139"/>
      <c r="FM209" s="139"/>
      <c r="FN209" s="139"/>
      <c r="FO209" s="139"/>
      <c r="FP209" s="139"/>
      <c r="FQ209" s="139"/>
      <c r="FR209" s="139"/>
      <c r="FS209" s="139"/>
      <c r="FT209" s="139"/>
      <c r="FU209" s="139"/>
      <c r="FV209" s="139"/>
      <c r="FW209" s="139"/>
      <c r="FX209" s="139"/>
      <c r="FY209" s="139"/>
      <c r="FZ209" s="139"/>
      <c r="GA209" s="139"/>
      <c r="GB209" s="139"/>
      <c r="GC209" s="139"/>
      <c r="GD209" s="139"/>
      <c r="GE209" s="139"/>
      <c r="GF209" s="139"/>
      <c r="GG209" s="139"/>
      <c r="GH209" s="139"/>
      <c r="GI209" s="139"/>
      <c r="GJ209" s="139"/>
      <c r="GK209" s="139"/>
      <c r="GL209" s="139"/>
      <c r="GM209" s="139"/>
      <c r="GN209" s="139"/>
      <c r="GO209" s="139"/>
      <c r="GP209" s="139"/>
      <c r="GQ209" s="139"/>
      <c r="GR209" s="139"/>
      <c r="GS209" s="139"/>
      <c r="GT209" s="139"/>
      <c r="GU209" s="139"/>
      <c r="GV209" s="139"/>
      <c r="GW209" s="139"/>
      <c r="GX209" s="139"/>
      <c r="GY209" s="139"/>
      <c r="GZ209" s="139"/>
      <c r="HA209" s="139"/>
      <c r="HB209" s="139"/>
      <c r="HC209" s="139"/>
      <c r="HD209" s="139"/>
      <c r="HE209" s="139"/>
      <c r="HF209" s="139"/>
      <c r="HG209" s="139"/>
      <c r="HH209" s="139"/>
      <c r="HI209" s="139"/>
      <c r="HJ209" s="139"/>
      <c r="HK209" s="139"/>
      <c r="HL209" s="139"/>
      <c r="HM209" s="139"/>
      <c r="HN209" s="139"/>
      <c r="HO209" s="139"/>
      <c r="HP209" s="139"/>
      <c r="HQ209" s="139"/>
      <c r="HR209" s="139"/>
      <c r="HS209" s="139"/>
      <c r="HT209" s="139"/>
      <c r="HU209" s="139"/>
      <c r="HV209" s="139"/>
      <c r="HW209" s="139"/>
      <c r="HX209" s="139"/>
      <c r="HY209" s="139"/>
      <c r="HZ209" s="139"/>
      <c r="IA209" s="139"/>
      <c r="IB209" s="139"/>
      <c r="IC209" s="139"/>
      <c r="ID209" s="139"/>
      <c r="IE209" s="139"/>
      <c r="IF209" s="139"/>
      <c r="IG209" s="139"/>
      <c r="IH209" s="139"/>
      <c r="II209" s="139"/>
      <c r="IJ209" s="139"/>
      <c r="IK209" s="139"/>
      <c r="IL209" s="139"/>
      <c r="IM209" s="139"/>
      <c r="IN209" s="139"/>
      <c r="IO209" s="139"/>
      <c r="IP209" s="139"/>
    </row>
    <row r="210" spans="2:257" x14ac:dyDescent="0.3">
      <c r="B210" s="5" t="s">
        <v>130</v>
      </c>
      <c r="C210" s="722" t="s">
        <v>235</v>
      </c>
      <c r="D210" s="270">
        <v>1615615.6124960072</v>
      </c>
      <c r="E210" s="968">
        <v>414.39834360598519</v>
      </c>
      <c r="F210" s="968">
        <v>72368500.706583738</v>
      </c>
      <c r="G210" s="968">
        <v>14150.936628165382</v>
      </c>
      <c r="H210" s="968">
        <v>73984116.319079742</v>
      </c>
      <c r="I210" s="968">
        <v>14565.334971771366</v>
      </c>
      <c r="J210" s="968">
        <v>2293133.2742181625</v>
      </c>
      <c r="K210" s="968">
        <v>588.85369348648192</v>
      </c>
      <c r="L210" s="968">
        <v>2186.3488716788752</v>
      </c>
      <c r="M210" s="968">
        <v>0.42751865836808722</v>
      </c>
      <c r="N210" s="968">
        <v>2295319.6230898416</v>
      </c>
      <c r="O210" s="968">
        <v>589.28121214484997</v>
      </c>
      <c r="P210" s="968">
        <v>76279435.942169577</v>
      </c>
      <c r="Q210" s="716">
        <v>15154.616183916216</v>
      </c>
      <c r="R210" s="270">
        <v>29425612.676646065</v>
      </c>
      <c r="S210" s="968">
        <v>5753.8843027913708</v>
      </c>
      <c r="T210" s="968">
        <v>0</v>
      </c>
      <c r="U210" s="968">
        <v>0</v>
      </c>
      <c r="V210" s="968">
        <v>0</v>
      </c>
      <c r="W210" s="968">
        <v>0</v>
      </c>
      <c r="X210" s="968">
        <v>29425612.676646065</v>
      </c>
      <c r="Y210" s="716">
        <v>5753.8843027913708</v>
      </c>
      <c r="Z210" s="270">
        <v>3908748.8867141698</v>
      </c>
      <c r="AA210" s="968">
        <v>1003.2520370924672</v>
      </c>
      <c r="AB210" s="968">
        <v>101796299.73210149</v>
      </c>
      <c r="AC210" s="968">
        <v>19905.248449615119</v>
      </c>
      <c r="AD210" s="968">
        <v>105705048.61881566</v>
      </c>
      <c r="AE210" s="716">
        <v>20908.500486707588</v>
      </c>
      <c r="AF210" s="139"/>
      <c r="AG210" s="139"/>
      <c r="AH210" s="139"/>
      <c r="AI210" s="139"/>
      <c r="AJ210" s="139"/>
      <c r="AK210" s="139"/>
      <c r="AL210" s="139"/>
      <c r="AM210" s="139"/>
      <c r="AN210" s="139"/>
      <c r="AO210" s="139"/>
      <c r="AP210" s="139"/>
      <c r="AQ210" s="139"/>
      <c r="AR210" s="139"/>
      <c r="AS210" s="139"/>
      <c r="AT210" s="139"/>
      <c r="AU210" s="139"/>
      <c r="AV210" s="139"/>
      <c r="AW210" s="139"/>
      <c r="AX210" s="139"/>
      <c r="AY210" s="139"/>
      <c r="AZ210" s="139"/>
      <c r="BA210" s="139"/>
      <c r="BB210" s="139"/>
      <c r="BC210" s="139"/>
      <c r="BD210" s="139"/>
      <c r="BE210" s="139"/>
      <c r="BF210" s="139"/>
      <c r="BG210" s="139"/>
      <c r="BH210" s="139"/>
      <c r="BI210" s="139"/>
      <c r="BJ210" s="139"/>
      <c r="BK210" s="139"/>
      <c r="BL210" s="139"/>
      <c r="BM210" s="139"/>
      <c r="BN210" s="139"/>
      <c r="BO210" s="139"/>
      <c r="BP210" s="139"/>
      <c r="BQ210" s="139"/>
      <c r="BR210" s="139"/>
      <c r="BS210" s="139"/>
      <c r="BT210" s="139"/>
      <c r="BU210" s="139"/>
      <c r="BV210" s="139"/>
      <c r="BW210" s="139"/>
      <c r="BX210" s="139"/>
      <c r="BY210" s="139"/>
      <c r="BZ210" s="139"/>
      <c r="CA210" s="139"/>
      <c r="CB210" s="139"/>
      <c r="CC210" s="139"/>
      <c r="CD210" s="139"/>
      <c r="CE210" s="139"/>
      <c r="CF210" s="139"/>
      <c r="CG210" s="139"/>
      <c r="CH210" s="139"/>
      <c r="CI210" s="139"/>
      <c r="CJ210" s="139"/>
      <c r="CK210" s="139"/>
      <c r="CL210" s="139"/>
      <c r="CM210" s="139"/>
      <c r="CN210" s="139"/>
      <c r="CO210" s="139"/>
      <c r="CP210" s="139"/>
      <c r="CQ210" s="139"/>
      <c r="CR210" s="139"/>
      <c r="CS210" s="139"/>
      <c r="CT210" s="139"/>
      <c r="CU210" s="139"/>
      <c r="CV210" s="139"/>
      <c r="CW210" s="139"/>
      <c r="CX210" s="139"/>
      <c r="CY210" s="139"/>
      <c r="CZ210" s="139"/>
      <c r="DA210" s="139"/>
      <c r="DB210" s="139"/>
      <c r="DC210" s="139"/>
      <c r="DD210" s="139"/>
      <c r="DE210" s="139"/>
      <c r="DF210" s="139"/>
      <c r="DG210" s="139"/>
      <c r="DH210" s="139"/>
      <c r="DI210" s="139"/>
      <c r="DJ210" s="139"/>
      <c r="DK210" s="139"/>
      <c r="DL210" s="139"/>
      <c r="DM210" s="139"/>
      <c r="DN210" s="139"/>
      <c r="DO210" s="139"/>
      <c r="DP210" s="139"/>
      <c r="DQ210" s="139"/>
      <c r="DR210" s="139"/>
      <c r="DS210" s="139"/>
      <c r="DT210" s="139"/>
      <c r="DU210" s="139"/>
      <c r="DV210" s="139"/>
      <c r="DW210" s="139"/>
      <c r="DX210" s="139"/>
      <c r="DY210" s="139"/>
      <c r="DZ210" s="139"/>
      <c r="EA210" s="139"/>
      <c r="EB210" s="139"/>
      <c r="EC210" s="139"/>
      <c r="ED210" s="139"/>
      <c r="EE210" s="139"/>
      <c r="EF210" s="139"/>
      <c r="EG210" s="139"/>
      <c r="EH210" s="139"/>
      <c r="EI210" s="139"/>
      <c r="EJ210" s="139"/>
      <c r="EK210" s="139"/>
      <c r="EL210" s="139"/>
      <c r="EM210" s="139"/>
      <c r="EN210" s="139"/>
      <c r="EO210" s="139"/>
      <c r="EP210" s="139"/>
      <c r="EQ210" s="139"/>
      <c r="ER210" s="139"/>
      <c r="ES210" s="139"/>
      <c r="ET210" s="139"/>
      <c r="EU210" s="139"/>
      <c r="EV210" s="139"/>
      <c r="EW210" s="139"/>
      <c r="EX210" s="139"/>
      <c r="EY210" s="139"/>
      <c r="EZ210" s="139"/>
      <c r="FA210" s="139"/>
      <c r="FB210" s="139"/>
      <c r="FC210" s="139"/>
      <c r="FD210" s="139"/>
      <c r="FE210" s="139"/>
      <c r="FF210" s="139"/>
      <c r="FG210" s="139"/>
      <c r="FH210" s="139"/>
      <c r="FI210" s="139"/>
      <c r="FJ210" s="139"/>
      <c r="FK210" s="139"/>
      <c r="FL210" s="139"/>
      <c r="FM210" s="139"/>
      <c r="FN210" s="139"/>
      <c r="FO210" s="139"/>
      <c r="FP210" s="139"/>
      <c r="FQ210" s="139"/>
      <c r="FR210" s="139"/>
      <c r="FS210" s="139"/>
      <c r="FT210" s="139"/>
      <c r="FU210" s="139"/>
      <c r="FV210" s="139"/>
      <c r="FW210" s="139"/>
      <c r="FX210" s="139"/>
      <c r="FY210" s="139"/>
      <c r="FZ210" s="139"/>
      <c r="GA210" s="139"/>
      <c r="GB210" s="139"/>
      <c r="GC210" s="139"/>
      <c r="GD210" s="139"/>
      <c r="GE210" s="139"/>
      <c r="GF210" s="139"/>
      <c r="GG210" s="139"/>
      <c r="GH210" s="139"/>
      <c r="GI210" s="139"/>
      <c r="GJ210" s="139"/>
      <c r="GK210" s="139"/>
      <c r="GL210" s="139"/>
      <c r="GM210" s="139"/>
      <c r="GN210" s="139"/>
      <c r="GO210" s="139"/>
      <c r="GP210" s="139"/>
      <c r="GQ210" s="139"/>
      <c r="GR210" s="139"/>
      <c r="GS210" s="139"/>
      <c r="GT210" s="139"/>
      <c r="GU210" s="139"/>
      <c r="GV210" s="139"/>
      <c r="GW210" s="139"/>
      <c r="GX210" s="139"/>
      <c r="GY210" s="139"/>
      <c r="GZ210" s="139"/>
      <c r="HA210" s="139"/>
      <c r="HB210" s="139"/>
      <c r="HC210" s="139"/>
      <c r="HD210" s="139"/>
      <c r="HE210" s="139"/>
      <c r="HF210" s="139"/>
      <c r="HG210" s="139"/>
      <c r="HH210" s="139"/>
      <c r="HI210" s="139"/>
      <c r="HJ210" s="139"/>
      <c r="HK210" s="139"/>
      <c r="HL210" s="139"/>
      <c r="HM210" s="139"/>
      <c r="HN210" s="139"/>
      <c r="HO210" s="139"/>
      <c r="HP210" s="139"/>
      <c r="HQ210" s="139"/>
      <c r="HR210" s="139"/>
      <c r="HS210" s="139"/>
      <c r="HT210" s="139"/>
      <c r="HU210" s="139"/>
      <c r="HV210" s="139"/>
      <c r="HW210" s="139"/>
      <c r="HX210" s="139"/>
      <c r="HY210" s="139"/>
      <c r="HZ210" s="139"/>
      <c r="IA210" s="139"/>
      <c r="IB210" s="139"/>
      <c r="IC210" s="139"/>
      <c r="ID210" s="139"/>
      <c r="IE210" s="139"/>
      <c r="IF210" s="139"/>
      <c r="IG210" s="139"/>
      <c r="IH210" s="139"/>
      <c r="II210" s="139"/>
      <c r="IJ210" s="139"/>
      <c r="IK210" s="139"/>
      <c r="IL210" s="139"/>
      <c r="IM210" s="139"/>
      <c r="IN210" s="139"/>
      <c r="IO210" s="139"/>
      <c r="IP210" s="139"/>
    </row>
    <row r="211" spans="2:257" x14ac:dyDescent="0.3">
      <c r="B211" s="5" t="s">
        <v>131</v>
      </c>
      <c r="C211" s="722" t="s">
        <v>236</v>
      </c>
      <c r="D211" s="270">
        <v>762.53231601561913</v>
      </c>
      <c r="E211" s="968">
        <v>0.19558620643354865</v>
      </c>
      <c r="F211" s="968">
        <v>15724990.21707111</v>
      </c>
      <c r="G211" s="968">
        <v>3074.864587046085</v>
      </c>
      <c r="H211" s="968">
        <v>15725752.749387126</v>
      </c>
      <c r="I211" s="968">
        <v>3075.0601732525188</v>
      </c>
      <c r="J211" s="968">
        <v>519496.90192413703</v>
      </c>
      <c r="K211" s="968">
        <v>133.40160944509913</v>
      </c>
      <c r="L211" s="968">
        <v>116.02738865585144</v>
      </c>
      <c r="M211" s="968">
        <v>2.2687995577765189E-2</v>
      </c>
      <c r="N211" s="968">
        <v>519612.9293127929</v>
      </c>
      <c r="O211" s="968">
        <v>133.4242974406769</v>
      </c>
      <c r="P211" s="968">
        <v>16245365.67869992</v>
      </c>
      <c r="Q211" s="716">
        <v>3208.4844706931958</v>
      </c>
      <c r="R211" s="270">
        <v>0</v>
      </c>
      <c r="S211" s="968">
        <v>0</v>
      </c>
      <c r="T211" s="968">
        <v>0</v>
      </c>
      <c r="U211" s="968">
        <v>0</v>
      </c>
      <c r="V211" s="968">
        <v>581377.37410936202</v>
      </c>
      <c r="W211" s="968">
        <v>113.68253173334465</v>
      </c>
      <c r="X211" s="968">
        <v>581377.37410936202</v>
      </c>
      <c r="Y211" s="716">
        <v>113.68253173334465</v>
      </c>
      <c r="Z211" s="270">
        <v>520259.43424015265</v>
      </c>
      <c r="AA211" s="968">
        <v>133.59719565153267</v>
      </c>
      <c r="AB211" s="968">
        <v>16306483.618569128</v>
      </c>
      <c r="AC211" s="968">
        <v>3188.5698067750072</v>
      </c>
      <c r="AD211" s="968">
        <v>16826743.052809279</v>
      </c>
      <c r="AE211" s="716">
        <v>3322.16700242654</v>
      </c>
      <c r="AF211" s="139"/>
      <c r="AG211" s="139"/>
      <c r="AH211" s="139"/>
      <c r="AI211" s="139"/>
      <c r="AJ211" s="139"/>
      <c r="AK211" s="139"/>
      <c r="AL211" s="139"/>
      <c r="AM211" s="139"/>
      <c r="AN211" s="139"/>
      <c r="AO211" s="139"/>
      <c r="AP211" s="139"/>
      <c r="AQ211" s="139"/>
      <c r="AR211" s="139"/>
      <c r="AS211" s="139"/>
      <c r="AT211" s="139"/>
      <c r="AU211" s="139"/>
      <c r="AV211" s="139"/>
      <c r="AW211" s="139"/>
      <c r="AX211" s="139"/>
      <c r="AY211" s="139"/>
      <c r="AZ211" s="139"/>
      <c r="BA211" s="139"/>
      <c r="BB211" s="139"/>
      <c r="BC211" s="139"/>
      <c r="BD211" s="139"/>
      <c r="BE211" s="139"/>
      <c r="BF211" s="139"/>
      <c r="BG211" s="139"/>
      <c r="BH211" s="139"/>
      <c r="BI211" s="139"/>
      <c r="BJ211" s="139"/>
      <c r="BK211" s="139"/>
      <c r="BL211" s="139"/>
      <c r="BM211" s="139"/>
      <c r="BN211" s="139"/>
      <c r="BO211" s="139"/>
      <c r="BP211" s="139"/>
      <c r="BQ211" s="139"/>
      <c r="BR211" s="139"/>
      <c r="BS211" s="139"/>
      <c r="BT211" s="139"/>
      <c r="BU211" s="139"/>
      <c r="BV211" s="139"/>
      <c r="BW211" s="139"/>
      <c r="BX211" s="139"/>
      <c r="BY211" s="139"/>
      <c r="BZ211" s="139"/>
      <c r="CA211" s="139"/>
      <c r="CB211" s="139"/>
      <c r="CC211" s="139"/>
      <c r="CD211" s="139"/>
      <c r="CE211" s="139"/>
      <c r="CF211" s="139"/>
      <c r="CG211" s="139"/>
      <c r="CH211" s="139"/>
      <c r="CI211" s="139"/>
      <c r="CJ211" s="139"/>
      <c r="CK211" s="139"/>
      <c r="CL211" s="139"/>
      <c r="CM211" s="139"/>
      <c r="CN211" s="139"/>
      <c r="CO211" s="139"/>
      <c r="CP211" s="139"/>
      <c r="CQ211" s="139"/>
      <c r="CR211" s="139"/>
      <c r="CS211" s="139"/>
      <c r="CT211" s="139"/>
      <c r="CU211" s="139"/>
      <c r="CV211" s="139"/>
      <c r="CW211" s="139"/>
      <c r="CX211" s="139"/>
      <c r="CY211" s="139"/>
      <c r="CZ211" s="139"/>
      <c r="DA211" s="139"/>
      <c r="DB211" s="139"/>
      <c r="DC211" s="139"/>
      <c r="DD211" s="139"/>
      <c r="DE211" s="139"/>
      <c r="DF211" s="139"/>
      <c r="DG211" s="139"/>
      <c r="DH211" s="139"/>
      <c r="DI211" s="139"/>
      <c r="DJ211" s="139"/>
      <c r="DK211" s="139"/>
      <c r="DL211" s="139"/>
      <c r="DM211" s="139"/>
      <c r="DN211" s="139"/>
      <c r="DO211" s="139"/>
      <c r="DP211" s="139"/>
      <c r="DQ211" s="139"/>
      <c r="DR211" s="139"/>
      <c r="DS211" s="139"/>
      <c r="DT211" s="139"/>
      <c r="DU211" s="139"/>
      <c r="DV211" s="139"/>
      <c r="DW211" s="139"/>
      <c r="DX211" s="139"/>
      <c r="DY211" s="139"/>
      <c r="DZ211" s="139"/>
      <c r="EA211" s="139"/>
      <c r="EB211" s="139"/>
      <c r="EC211" s="139"/>
      <c r="ED211" s="139"/>
      <c r="EE211" s="139"/>
      <c r="EF211" s="139"/>
      <c r="EG211" s="139"/>
      <c r="EH211" s="139"/>
      <c r="EI211" s="139"/>
      <c r="EJ211" s="139"/>
      <c r="EK211" s="139"/>
      <c r="EL211" s="139"/>
      <c r="EM211" s="139"/>
      <c r="EN211" s="139"/>
      <c r="EO211" s="139"/>
      <c r="EP211" s="139"/>
      <c r="EQ211" s="139"/>
      <c r="ER211" s="139"/>
      <c r="ES211" s="139"/>
      <c r="ET211" s="139"/>
      <c r="EU211" s="139"/>
      <c r="EV211" s="139"/>
      <c r="EW211" s="139"/>
      <c r="EX211" s="139"/>
      <c r="EY211" s="139"/>
      <c r="EZ211" s="139"/>
      <c r="FA211" s="139"/>
      <c r="FB211" s="139"/>
      <c r="FC211" s="139"/>
      <c r="FD211" s="139"/>
      <c r="FE211" s="139"/>
      <c r="FF211" s="139"/>
      <c r="FG211" s="139"/>
      <c r="FH211" s="139"/>
      <c r="FI211" s="139"/>
      <c r="FJ211" s="139"/>
      <c r="FK211" s="139"/>
      <c r="FL211" s="139"/>
      <c r="FM211" s="139"/>
      <c r="FN211" s="139"/>
      <c r="FO211" s="139"/>
      <c r="FP211" s="139"/>
      <c r="FQ211" s="139"/>
      <c r="FR211" s="139"/>
      <c r="FS211" s="139"/>
      <c r="FT211" s="139"/>
      <c r="FU211" s="139"/>
      <c r="FV211" s="139"/>
      <c r="FW211" s="139"/>
      <c r="FX211" s="139"/>
      <c r="FY211" s="139"/>
      <c r="FZ211" s="139"/>
      <c r="GA211" s="139"/>
      <c r="GB211" s="139"/>
      <c r="GC211" s="139"/>
      <c r="GD211" s="139"/>
      <c r="GE211" s="139"/>
      <c r="GF211" s="139"/>
      <c r="GG211" s="139"/>
      <c r="GH211" s="139"/>
      <c r="GI211" s="139"/>
      <c r="GJ211" s="139"/>
      <c r="GK211" s="139"/>
      <c r="GL211" s="139"/>
      <c r="GM211" s="139"/>
      <c r="GN211" s="139"/>
      <c r="GO211" s="139"/>
      <c r="GP211" s="139"/>
      <c r="GQ211" s="139"/>
      <c r="GR211" s="139"/>
      <c r="GS211" s="139"/>
      <c r="GT211" s="139"/>
      <c r="GU211" s="139"/>
      <c r="GV211" s="139"/>
      <c r="GW211" s="139"/>
      <c r="GX211" s="139"/>
      <c r="GY211" s="139"/>
      <c r="GZ211" s="139"/>
      <c r="HA211" s="139"/>
      <c r="HB211" s="139"/>
      <c r="HC211" s="139"/>
      <c r="HD211" s="139"/>
      <c r="HE211" s="139"/>
      <c r="HF211" s="139"/>
      <c r="HG211" s="139"/>
      <c r="HH211" s="139"/>
      <c r="HI211" s="139"/>
      <c r="HJ211" s="139"/>
      <c r="HK211" s="139"/>
      <c r="HL211" s="139"/>
      <c r="HM211" s="139"/>
      <c r="HN211" s="139"/>
      <c r="HO211" s="139"/>
      <c r="HP211" s="139"/>
      <c r="HQ211" s="139"/>
      <c r="HR211" s="139"/>
      <c r="HS211" s="139"/>
      <c r="HT211" s="139"/>
      <c r="HU211" s="139"/>
      <c r="HV211" s="139"/>
      <c r="HW211" s="139"/>
      <c r="HX211" s="139"/>
      <c r="HY211" s="139"/>
      <c r="HZ211" s="139"/>
      <c r="IA211" s="139"/>
      <c r="IB211" s="139"/>
      <c r="IC211" s="139"/>
      <c r="ID211" s="139"/>
      <c r="IE211" s="139"/>
      <c r="IF211" s="139"/>
      <c r="IG211" s="139"/>
      <c r="IH211" s="139"/>
      <c r="II211" s="139"/>
      <c r="IJ211" s="139"/>
      <c r="IK211" s="139"/>
      <c r="IL211" s="139"/>
      <c r="IM211" s="139"/>
      <c r="IN211" s="139"/>
      <c r="IO211" s="139"/>
      <c r="IP211" s="139"/>
    </row>
    <row r="212" spans="2:257" x14ac:dyDescent="0.3">
      <c r="B212" s="5" t="s">
        <v>132</v>
      </c>
      <c r="C212" s="722" t="s">
        <v>237</v>
      </c>
      <c r="D212" s="270">
        <v>0</v>
      </c>
      <c r="E212" s="968">
        <v>0</v>
      </c>
      <c r="F212" s="968">
        <v>60116413.89206183</v>
      </c>
      <c r="G212" s="968">
        <v>11755.163572453768</v>
      </c>
      <c r="H212" s="968">
        <v>60116413.89206183</v>
      </c>
      <c r="I212" s="968">
        <v>11755.163572453768</v>
      </c>
      <c r="J212" s="968">
        <v>271749.30779459031</v>
      </c>
      <c r="K212" s="968">
        <v>69.782504748572833</v>
      </c>
      <c r="L212" s="968">
        <v>485.27274932426712</v>
      </c>
      <c r="M212" s="968">
        <v>9.4890233402867202E-2</v>
      </c>
      <c r="N212" s="968">
        <v>272234.58054391458</v>
      </c>
      <c r="O212" s="968">
        <v>69.877394981975698</v>
      </c>
      <c r="P212" s="968">
        <v>60388648.472605743</v>
      </c>
      <c r="Q212" s="716">
        <v>11825.040967435743</v>
      </c>
      <c r="R212" s="270">
        <v>31655978.900129154</v>
      </c>
      <c r="S212" s="968">
        <v>6190.0101141312543</v>
      </c>
      <c r="T212" s="968">
        <v>15196932.445696356</v>
      </c>
      <c r="U212" s="968">
        <v>2971.6081704314652</v>
      </c>
      <c r="V212" s="968">
        <v>0</v>
      </c>
      <c r="W212" s="968">
        <v>0</v>
      </c>
      <c r="X212" s="968">
        <v>46852911.345825508</v>
      </c>
      <c r="Y212" s="716">
        <v>9161.6182845627191</v>
      </c>
      <c r="Z212" s="270">
        <v>271749.30779459031</v>
      </c>
      <c r="AA212" s="968">
        <v>69.782504748572833</v>
      </c>
      <c r="AB212" s="968">
        <v>106969810.51063666</v>
      </c>
      <c r="AC212" s="968">
        <v>20916.876747249888</v>
      </c>
      <c r="AD212" s="968">
        <v>107241559.81843124</v>
      </c>
      <c r="AE212" s="716">
        <v>20986.659251998459</v>
      </c>
      <c r="AF212" s="139"/>
      <c r="AG212" s="139"/>
      <c r="AH212" s="139"/>
      <c r="AI212" s="139"/>
      <c r="AJ212" s="139"/>
      <c r="AK212" s="139"/>
      <c r="AL212" s="139"/>
      <c r="AM212" s="139"/>
      <c r="AN212" s="139"/>
      <c r="AO212" s="139"/>
      <c r="AP212" s="139"/>
      <c r="AQ212" s="139"/>
      <c r="AR212" s="139"/>
      <c r="AS212" s="139"/>
      <c r="AT212" s="139"/>
      <c r="AU212" s="139"/>
      <c r="AV212" s="139"/>
      <c r="AW212" s="139"/>
      <c r="AX212" s="139"/>
      <c r="AY212" s="139"/>
      <c r="AZ212" s="139"/>
      <c r="BA212" s="139"/>
      <c r="BB212" s="139"/>
      <c r="BC212" s="139"/>
      <c r="BD212" s="139"/>
      <c r="BE212" s="139"/>
      <c r="BF212" s="139"/>
      <c r="BG212" s="139"/>
      <c r="BH212" s="139"/>
      <c r="BI212" s="139"/>
      <c r="BJ212" s="139"/>
      <c r="BK212" s="139"/>
      <c r="BL212" s="139"/>
      <c r="BM212" s="139"/>
      <c r="BN212" s="139"/>
      <c r="BO212" s="139"/>
      <c r="BP212" s="139"/>
      <c r="BQ212" s="139"/>
      <c r="BR212" s="139"/>
      <c r="BS212" s="139"/>
      <c r="BT212" s="139"/>
      <c r="BU212" s="139"/>
      <c r="BV212" s="139"/>
      <c r="BW212" s="139"/>
      <c r="BX212" s="139"/>
      <c r="BY212" s="139"/>
      <c r="BZ212" s="139"/>
      <c r="CA212" s="139"/>
      <c r="CB212" s="139"/>
      <c r="CC212" s="139"/>
      <c r="CD212" s="139"/>
      <c r="CE212" s="139"/>
      <c r="CF212" s="139"/>
      <c r="CG212" s="139"/>
      <c r="CH212" s="139"/>
      <c r="CI212" s="139"/>
      <c r="CJ212" s="139"/>
      <c r="CK212" s="139"/>
      <c r="CL212" s="139"/>
      <c r="CM212" s="139"/>
      <c r="CN212" s="139"/>
      <c r="CO212" s="139"/>
      <c r="CP212" s="139"/>
      <c r="CQ212" s="139"/>
      <c r="CR212" s="139"/>
      <c r="CS212" s="139"/>
      <c r="CT212" s="139"/>
      <c r="CU212" s="139"/>
      <c r="CV212" s="139"/>
      <c r="CW212" s="139"/>
      <c r="CX212" s="139"/>
      <c r="CY212" s="139"/>
      <c r="CZ212" s="139"/>
      <c r="DA212" s="139"/>
      <c r="DB212" s="139"/>
      <c r="DC212" s="139"/>
      <c r="DD212" s="139"/>
      <c r="DE212" s="139"/>
      <c r="DF212" s="139"/>
      <c r="DG212" s="139"/>
      <c r="DH212" s="139"/>
      <c r="DI212" s="139"/>
      <c r="DJ212" s="139"/>
      <c r="DK212" s="139"/>
      <c r="DL212" s="139"/>
      <c r="DM212" s="139"/>
      <c r="DN212" s="139"/>
      <c r="DO212" s="139"/>
      <c r="DP212" s="139"/>
      <c r="DQ212" s="139"/>
      <c r="DR212" s="139"/>
      <c r="DS212" s="139"/>
      <c r="DT212" s="139"/>
      <c r="DU212" s="139"/>
      <c r="DV212" s="139"/>
      <c r="DW212" s="139"/>
      <c r="DX212" s="139"/>
      <c r="DY212" s="139"/>
      <c r="DZ212" s="139"/>
      <c r="EA212" s="139"/>
      <c r="EB212" s="139"/>
      <c r="EC212" s="139"/>
      <c r="ED212" s="139"/>
      <c r="EE212" s="139"/>
      <c r="EF212" s="139"/>
      <c r="EG212" s="139"/>
      <c r="EH212" s="139"/>
      <c r="EI212" s="139"/>
      <c r="EJ212" s="139"/>
      <c r="EK212" s="139"/>
      <c r="EL212" s="139"/>
      <c r="EM212" s="139"/>
      <c r="EN212" s="139"/>
      <c r="EO212" s="139"/>
      <c r="EP212" s="139"/>
      <c r="EQ212" s="139"/>
      <c r="ER212" s="139"/>
      <c r="ES212" s="139"/>
      <c r="ET212" s="139"/>
      <c r="EU212" s="139"/>
      <c r="EV212" s="139"/>
      <c r="EW212" s="139"/>
      <c r="EX212" s="139"/>
      <c r="EY212" s="139"/>
      <c r="EZ212" s="139"/>
      <c r="FA212" s="139"/>
      <c r="FB212" s="139"/>
      <c r="FC212" s="139"/>
      <c r="FD212" s="139"/>
      <c r="FE212" s="139"/>
      <c r="FF212" s="139"/>
      <c r="FG212" s="139"/>
      <c r="FH212" s="139"/>
      <c r="FI212" s="139"/>
      <c r="FJ212" s="139"/>
      <c r="FK212" s="139"/>
      <c r="FL212" s="139"/>
      <c r="FM212" s="139"/>
      <c r="FN212" s="139"/>
      <c r="FO212" s="139"/>
      <c r="FP212" s="139"/>
      <c r="FQ212" s="139"/>
      <c r="FR212" s="139"/>
      <c r="FS212" s="139"/>
      <c r="FT212" s="139"/>
      <c r="FU212" s="139"/>
      <c r="FV212" s="139"/>
      <c r="FW212" s="139"/>
      <c r="FX212" s="139"/>
      <c r="FY212" s="139"/>
      <c r="FZ212" s="139"/>
      <c r="GA212" s="139"/>
      <c r="GB212" s="139"/>
      <c r="GC212" s="139"/>
      <c r="GD212" s="139"/>
      <c r="GE212" s="139"/>
      <c r="GF212" s="139"/>
      <c r="GG212" s="139"/>
      <c r="GH212" s="139"/>
      <c r="GI212" s="139"/>
      <c r="GJ212" s="139"/>
      <c r="GK212" s="139"/>
      <c r="GL212" s="139"/>
      <c r="GM212" s="139"/>
      <c r="GN212" s="139"/>
      <c r="GO212" s="139"/>
      <c r="GP212" s="139"/>
      <c r="GQ212" s="139"/>
      <c r="GR212" s="139"/>
      <c r="GS212" s="139"/>
      <c r="GT212" s="139"/>
      <c r="GU212" s="139"/>
      <c r="GV212" s="139"/>
      <c r="GW212" s="139"/>
      <c r="GX212" s="139"/>
      <c r="GY212" s="139"/>
      <c r="GZ212" s="139"/>
      <c r="HA212" s="139"/>
      <c r="HB212" s="139"/>
      <c r="HC212" s="139"/>
      <c r="HD212" s="139"/>
      <c r="HE212" s="139"/>
      <c r="HF212" s="139"/>
      <c r="HG212" s="139"/>
      <c r="HH212" s="139"/>
      <c r="HI212" s="139"/>
      <c r="HJ212" s="139"/>
      <c r="HK212" s="139"/>
      <c r="HL212" s="139"/>
      <c r="HM212" s="139"/>
      <c r="HN212" s="139"/>
      <c r="HO212" s="139"/>
      <c r="HP212" s="139"/>
      <c r="HQ212" s="139"/>
      <c r="HR212" s="139"/>
      <c r="HS212" s="139"/>
      <c r="HT212" s="139"/>
      <c r="HU212" s="139"/>
      <c r="HV212" s="139"/>
      <c r="HW212" s="139"/>
      <c r="HX212" s="139"/>
      <c r="HY212" s="139"/>
      <c r="HZ212" s="139"/>
      <c r="IA212" s="139"/>
      <c r="IB212" s="139"/>
      <c r="IC212" s="139"/>
      <c r="ID212" s="139"/>
      <c r="IE212" s="139"/>
      <c r="IF212" s="139"/>
      <c r="IG212" s="139"/>
      <c r="IH212" s="139"/>
      <c r="II212" s="139"/>
      <c r="IJ212" s="139"/>
      <c r="IK212" s="139"/>
      <c r="IL212" s="139"/>
      <c r="IM212" s="139"/>
      <c r="IN212" s="139"/>
      <c r="IO212" s="139"/>
      <c r="IP212" s="139"/>
    </row>
    <row r="213" spans="2:257" x14ac:dyDescent="0.3">
      <c r="B213" s="5" t="s">
        <v>133</v>
      </c>
      <c r="C213" s="722" t="s">
        <v>238</v>
      </c>
      <c r="D213" s="270">
        <v>0</v>
      </c>
      <c r="E213" s="968">
        <v>0</v>
      </c>
      <c r="F213" s="968">
        <v>8141972.8298645196</v>
      </c>
      <c r="G213" s="968">
        <v>1592.081367151708</v>
      </c>
      <c r="H213" s="968">
        <v>8141972.8298645196</v>
      </c>
      <c r="I213" s="968">
        <v>1592.081367151708</v>
      </c>
      <c r="J213" s="968">
        <v>4679293.8115034383</v>
      </c>
      <c r="K213" s="968">
        <v>1201.5958578559678</v>
      </c>
      <c r="L213" s="968">
        <v>46842.01735418004</v>
      </c>
      <c r="M213" s="968">
        <v>9.159488073436366</v>
      </c>
      <c r="N213" s="968">
        <v>4726135.8288576184</v>
      </c>
      <c r="O213" s="968">
        <v>1210.7553459294043</v>
      </c>
      <c r="P213" s="968">
        <v>12868108.658722138</v>
      </c>
      <c r="Q213" s="716">
        <v>2802.8367130811121</v>
      </c>
      <c r="R213" s="270">
        <v>17766240.760967642</v>
      </c>
      <c r="S213" s="968">
        <v>3474.0107183996129</v>
      </c>
      <c r="T213" s="968">
        <v>0</v>
      </c>
      <c r="U213" s="968">
        <v>0</v>
      </c>
      <c r="V213" s="968">
        <v>0</v>
      </c>
      <c r="W213" s="968">
        <v>0</v>
      </c>
      <c r="X213" s="968">
        <v>17766240.760967642</v>
      </c>
      <c r="Y213" s="716">
        <v>3474.0107183996129</v>
      </c>
      <c r="Z213" s="270">
        <v>4679293.8115034383</v>
      </c>
      <c r="AA213" s="968">
        <v>1201.5958578559678</v>
      </c>
      <c r="AB213" s="968">
        <v>25955055.608186342</v>
      </c>
      <c r="AC213" s="968">
        <v>5075.2515736247569</v>
      </c>
      <c r="AD213" s="968">
        <v>30634349.419689782</v>
      </c>
      <c r="AE213" s="716">
        <v>6276.8474314807245</v>
      </c>
      <c r="AF213" s="139"/>
      <c r="AG213" s="139"/>
      <c r="AH213" s="139"/>
      <c r="AI213" s="139"/>
      <c r="AJ213" s="139"/>
      <c r="AK213" s="139"/>
      <c r="AL213" s="139"/>
      <c r="AM213" s="139"/>
      <c r="AN213" s="139"/>
      <c r="AO213" s="139"/>
      <c r="AP213" s="139"/>
      <c r="AQ213" s="139"/>
      <c r="AR213" s="139"/>
      <c r="AS213" s="139"/>
      <c r="AT213" s="139"/>
      <c r="AU213" s="139"/>
      <c r="AV213" s="139"/>
      <c r="AW213" s="139"/>
      <c r="AX213" s="139"/>
      <c r="AY213" s="139"/>
      <c r="AZ213" s="139"/>
      <c r="BA213" s="139"/>
      <c r="BB213" s="139"/>
      <c r="BC213" s="139"/>
      <c r="BD213" s="139"/>
      <c r="BE213" s="139"/>
      <c r="BF213" s="139"/>
      <c r="BG213" s="139"/>
      <c r="BH213" s="139"/>
      <c r="BI213" s="139"/>
      <c r="BJ213" s="139"/>
      <c r="BK213" s="139"/>
      <c r="BL213" s="139"/>
      <c r="BM213" s="139"/>
      <c r="BN213" s="139"/>
      <c r="BO213" s="139"/>
      <c r="BP213" s="139"/>
      <c r="BQ213" s="139"/>
      <c r="BR213" s="139"/>
      <c r="BS213" s="139"/>
      <c r="BT213" s="139"/>
      <c r="BU213" s="139"/>
      <c r="BV213" s="139"/>
      <c r="BW213" s="139"/>
      <c r="BX213" s="139"/>
      <c r="BY213" s="139"/>
      <c r="BZ213" s="139"/>
      <c r="CA213" s="139"/>
      <c r="CB213" s="139"/>
      <c r="CC213" s="139"/>
      <c r="CD213" s="139"/>
      <c r="CE213" s="139"/>
      <c r="CF213" s="139"/>
      <c r="CG213" s="139"/>
      <c r="CH213" s="139"/>
      <c r="CI213" s="139"/>
      <c r="CJ213" s="139"/>
      <c r="CK213" s="139"/>
      <c r="CL213" s="139"/>
      <c r="CM213" s="139"/>
      <c r="CN213" s="139"/>
      <c r="CO213" s="139"/>
      <c r="CP213" s="139"/>
      <c r="CQ213" s="139"/>
      <c r="CR213" s="139"/>
      <c r="CS213" s="139"/>
      <c r="CT213" s="139"/>
      <c r="CU213" s="139"/>
      <c r="CV213" s="139"/>
      <c r="CW213" s="139"/>
      <c r="CX213" s="139"/>
      <c r="CY213" s="139"/>
      <c r="CZ213" s="139"/>
      <c r="DA213" s="139"/>
      <c r="DB213" s="139"/>
      <c r="DC213" s="139"/>
      <c r="DD213" s="139"/>
      <c r="DE213" s="139"/>
      <c r="DF213" s="139"/>
      <c r="DG213" s="139"/>
      <c r="DH213" s="139"/>
      <c r="DI213" s="139"/>
      <c r="DJ213" s="139"/>
      <c r="DK213" s="139"/>
      <c r="DL213" s="139"/>
      <c r="DM213" s="139"/>
      <c r="DN213" s="139"/>
      <c r="DO213" s="139"/>
      <c r="DP213" s="139"/>
      <c r="DQ213" s="139"/>
      <c r="DR213" s="139"/>
      <c r="DS213" s="139"/>
      <c r="DT213" s="139"/>
      <c r="DU213" s="139"/>
      <c r="DV213" s="139"/>
      <c r="DW213" s="139"/>
      <c r="DX213" s="139"/>
      <c r="DY213" s="139"/>
      <c r="DZ213" s="139"/>
      <c r="EA213" s="139"/>
      <c r="EB213" s="139"/>
      <c r="EC213" s="139"/>
      <c r="ED213" s="139"/>
      <c r="EE213" s="139"/>
      <c r="EF213" s="139"/>
      <c r="EG213" s="139"/>
      <c r="EH213" s="139"/>
      <c r="EI213" s="139"/>
      <c r="EJ213" s="139"/>
      <c r="EK213" s="139"/>
      <c r="EL213" s="139"/>
      <c r="EM213" s="139"/>
      <c r="EN213" s="139"/>
      <c r="EO213" s="139"/>
      <c r="EP213" s="139"/>
      <c r="EQ213" s="139"/>
      <c r="ER213" s="139"/>
      <c r="ES213" s="139"/>
      <c r="ET213" s="139"/>
      <c r="EU213" s="139"/>
      <c r="EV213" s="139"/>
      <c r="EW213" s="139"/>
      <c r="EX213" s="139"/>
      <c r="EY213" s="139"/>
      <c r="EZ213" s="139"/>
      <c r="FA213" s="139"/>
      <c r="FB213" s="139"/>
      <c r="FC213" s="139"/>
      <c r="FD213" s="139"/>
      <c r="FE213" s="139"/>
      <c r="FF213" s="139"/>
      <c r="FG213" s="139"/>
      <c r="FH213" s="139"/>
      <c r="FI213" s="139"/>
      <c r="FJ213" s="139"/>
      <c r="FK213" s="139"/>
      <c r="FL213" s="139"/>
      <c r="FM213" s="139"/>
      <c r="FN213" s="139"/>
      <c r="FO213" s="139"/>
      <c r="FP213" s="139"/>
      <c r="FQ213" s="139"/>
      <c r="FR213" s="139"/>
      <c r="FS213" s="139"/>
      <c r="FT213" s="139"/>
      <c r="FU213" s="139"/>
      <c r="FV213" s="139"/>
      <c r="FW213" s="139"/>
      <c r="FX213" s="139"/>
      <c r="FY213" s="139"/>
      <c r="FZ213" s="139"/>
      <c r="GA213" s="139"/>
      <c r="GB213" s="139"/>
      <c r="GC213" s="139"/>
      <c r="GD213" s="139"/>
      <c r="GE213" s="139"/>
      <c r="GF213" s="139"/>
      <c r="GG213" s="139"/>
      <c r="GH213" s="139"/>
      <c r="GI213" s="139"/>
      <c r="GJ213" s="139"/>
      <c r="GK213" s="139"/>
      <c r="GL213" s="139"/>
      <c r="GM213" s="139"/>
      <c r="GN213" s="139"/>
      <c r="GO213" s="139"/>
      <c r="GP213" s="139"/>
      <c r="GQ213" s="139"/>
      <c r="GR213" s="139"/>
      <c r="GS213" s="139"/>
      <c r="GT213" s="139"/>
      <c r="GU213" s="139"/>
      <c r="GV213" s="139"/>
      <c r="GW213" s="139"/>
      <c r="GX213" s="139"/>
      <c r="GY213" s="139"/>
      <c r="GZ213" s="139"/>
      <c r="HA213" s="139"/>
      <c r="HB213" s="139"/>
      <c r="HC213" s="139"/>
      <c r="HD213" s="139"/>
      <c r="HE213" s="139"/>
      <c r="HF213" s="139"/>
      <c r="HG213" s="139"/>
      <c r="HH213" s="139"/>
      <c r="HI213" s="139"/>
      <c r="HJ213" s="139"/>
      <c r="HK213" s="139"/>
      <c r="HL213" s="139"/>
      <c r="HM213" s="139"/>
      <c r="HN213" s="139"/>
      <c r="HO213" s="139"/>
      <c r="HP213" s="139"/>
      <c r="HQ213" s="139"/>
      <c r="HR213" s="139"/>
      <c r="HS213" s="139"/>
      <c r="HT213" s="139"/>
      <c r="HU213" s="139"/>
      <c r="HV213" s="139"/>
      <c r="HW213" s="139"/>
      <c r="HX213" s="139"/>
      <c r="HY213" s="139"/>
      <c r="HZ213" s="139"/>
      <c r="IA213" s="139"/>
      <c r="IB213" s="139"/>
      <c r="IC213" s="139"/>
      <c r="ID213" s="139"/>
      <c r="IE213" s="139"/>
      <c r="IF213" s="139"/>
      <c r="IG213" s="139"/>
      <c r="IH213" s="139"/>
      <c r="II213" s="139"/>
      <c r="IJ213" s="139"/>
      <c r="IK213" s="139"/>
      <c r="IL213" s="139"/>
      <c r="IM213" s="139"/>
      <c r="IN213" s="139"/>
      <c r="IO213" s="139"/>
      <c r="IP213" s="139"/>
    </row>
    <row r="214" spans="2:257" x14ac:dyDescent="0.3">
      <c r="B214" s="5" t="s">
        <v>134</v>
      </c>
      <c r="C214" s="722" t="s">
        <v>239</v>
      </c>
      <c r="D214" s="270">
        <v>3200880.8155585825</v>
      </c>
      <c r="E214" s="968">
        <v>821.01193983784287</v>
      </c>
      <c r="F214" s="968">
        <v>85244763.934555933</v>
      </c>
      <c r="G214" s="968">
        <v>16668.761139763068</v>
      </c>
      <c r="H214" s="968">
        <v>88445644.750114515</v>
      </c>
      <c r="I214" s="968">
        <v>17489.773079600913</v>
      </c>
      <c r="J214" s="968">
        <v>5224025.3381464677</v>
      </c>
      <c r="K214" s="968">
        <v>1341.4774665826312</v>
      </c>
      <c r="L214" s="968">
        <v>4178.8659336888149</v>
      </c>
      <c r="M214" s="968">
        <v>0.81713544467351085</v>
      </c>
      <c r="N214" s="968">
        <v>5228204.2040801561</v>
      </c>
      <c r="O214" s="968">
        <v>1342.2946020273048</v>
      </c>
      <c r="P214" s="968">
        <v>93673848.954194665</v>
      </c>
      <c r="Q214" s="716">
        <v>18832.067681628218</v>
      </c>
      <c r="R214" s="270">
        <v>22007596.725369073</v>
      </c>
      <c r="S214" s="968">
        <v>4303.3654636786687</v>
      </c>
      <c r="T214" s="968">
        <v>0</v>
      </c>
      <c r="U214" s="968">
        <v>0</v>
      </c>
      <c r="V214" s="968">
        <v>0</v>
      </c>
      <c r="W214" s="968">
        <v>0</v>
      </c>
      <c r="X214" s="968">
        <v>22007596.725369073</v>
      </c>
      <c r="Y214" s="716">
        <v>4303.3654636786687</v>
      </c>
      <c r="Z214" s="270">
        <v>8424906.1537050493</v>
      </c>
      <c r="AA214" s="968">
        <v>2162.4894064204741</v>
      </c>
      <c r="AB214" s="968">
        <v>107256539.5258587</v>
      </c>
      <c r="AC214" s="968">
        <v>20972.94373888641</v>
      </c>
      <c r="AD214" s="968">
        <v>115681445.67956375</v>
      </c>
      <c r="AE214" s="716">
        <v>23135.433145306884</v>
      </c>
      <c r="AF214" s="139"/>
      <c r="AG214" s="139"/>
      <c r="AH214" s="139"/>
      <c r="AI214" s="139"/>
      <c r="AJ214" s="139"/>
      <c r="AK214" s="139"/>
      <c r="AL214" s="139"/>
      <c r="AM214" s="139"/>
      <c r="AN214" s="139"/>
      <c r="AO214" s="139"/>
      <c r="AP214" s="139"/>
      <c r="AQ214" s="139"/>
      <c r="AR214" s="139"/>
      <c r="AS214" s="139"/>
      <c r="AT214" s="139"/>
      <c r="AU214" s="139"/>
      <c r="AV214" s="139"/>
      <c r="AW214" s="139"/>
      <c r="AX214" s="139"/>
      <c r="AY214" s="139"/>
      <c r="AZ214" s="139"/>
      <c r="BA214" s="139"/>
      <c r="BB214" s="139"/>
      <c r="BC214" s="139"/>
      <c r="BD214" s="139"/>
      <c r="BE214" s="139"/>
      <c r="BF214" s="139"/>
      <c r="BG214" s="139"/>
      <c r="BH214" s="139"/>
      <c r="BI214" s="139"/>
      <c r="BJ214" s="139"/>
      <c r="BK214" s="139"/>
      <c r="BL214" s="139"/>
      <c r="BM214" s="139"/>
      <c r="BN214" s="139"/>
      <c r="BO214" s="139"/>
      <c r="BP214" s="139"/>
      <c r="BQ214" s="139"/>
      <c r="BR214" s="139"/>
      <c r="BS214" s="139"/>
      <c r="BT214" s="139"/>
      <c r="BU214" s="139"/>
      <c r="BV214" s="139"/>
      <c r="BW214" s="139"/>
      <c r="BX214" s="139"/>
      <c r="BY214" s="139"/>
      <c r="BZ214" s="139"/>
      <c r="CA214" s="139"/>
      <c r="CB214" s="139"/>
      <c r="CC214" s="139"/>
      <c r="CD214" s="139"/>
      <c r="CE214" s="139"/>
      <c r="CF214" s="139"/>
      <c r="CG214" s="139"/>
      <c r="CH214" s="139"/>
      <c r="CI214" s="139"/>
      <c r="CJ214" s="139"/>
      <c r="CK214" s="139"/>
      <c r="CL214" s="139"/>
      <c r="CM214" s="139"/>
      <c r="CN214" s="139"/>
      <c r="CO214" s="139"/>
      <c r="CP214" s="139"/>
      <c r="CQ214" s="139"/>
      <c r="CR214" s="139"/>
      <c r="CS214" s="139"/>
      <c r="CT214" s="139"/>
      <c r="CU214" s="139"/>
      <c r="CV214" s="139"/>
      <c r="CW214" s="139"/>
      <c r="CX214" s="139"/>
      <c r="CY214" s="139"/>
      <c r="CZ214" s="139"/>
      <c r="DA214" s="139"/>
      <c r="DB214" s="139"/>
      <c r="DC214" s="139"/>
      <c r="DD214" s="139"/>
      <c r="DE214" s="139"/>
      <c r="DF214" s="139"/>
      <c r="DG214" s="139"/>
      <c r="DH214" s="139"/>
      <c r="DI214" s="139"/>
      <c r="DJ214" s="139"/>
      <c r="DK214" s="139"/>
      <c r="DL214" s="139"/>
      <c r="DM214" s="139"/>
      <c r="DN214" s="139"/>
      <c r="DO214" s="139"/>
      <c r="DP214" s="139"/>
      <c r="DQ214" s="139"/>
      <c r="DR214" s="139"/>
      <c r="DS214" s="139"/>
      <c r="DT214" s="139"/>
      <c r="DU214" s="139"/>
      <c r="DV214" s="139"/>
      <c r="DW214" s="139"/>
      <c r="DX214" s="139"/>
      <c r="DY214" s="139"/>
      <c r="DZ214" s="139"/>
      <c r="EA214" s="139"/>
      <c r="EB214" s="139"/>
      <c r="EC214" s="139"/>
      <c r="ED214" s="139"/>
      <c r="EE214" s="139"/>
      <c r="EF214" s="139"/>
      <c r="EG214" s="139"/>
      <c r="EH214" s="139"/>
      <c r="EI214" s="139"/>
      <c r="EJ214" s="139"/>
      <c r="EK214" s="139"/>
      <c r="EL214" s="139"/>
      <c r="EM214" s="139"/>
      <c r="EN214" s="139"/>
      <c r="EO214" s="139"/>
      <c r="EP214" s="139"/>
      <c r="EQ214" s="139"/>
      <c r="ER214" s="139"/>
      <c r="ES214" s="139"/>
      <c r="ET214" s="139"/>
      <c r="EU214" s="139"/>
      <c r="EV214" s="139"/>
      <c r="EW214" s="139"/>
      <c r="EX214" s="139"/>
      <c r="EY214" s="139"/>
      <c r="EZ214" s="139"/>
      <c r="FA214" s="139"/>
      <c r="FB214" s="139"/>
      <c r="FC214" s="139"/>
      <c r="FD214" s="139"/>
      <c r="FE214" s="139"/>
      <c r="FF214" s="139"/>
      <c r="FG214" s="139"/>
      <c r="FH214" s="139"/>
      <c r="FI214" s="139"/>
      <c r="FJ214" s="139"/>
      <c r="FK214" s="139"/>
      <c r="FL214" s="139"/>
      <c r="FM214" s="139"/>
      <c r="FN214" s="139"/>
      <c r="FO214" s="139"/>
      <c r="FP214" s="139"/>
      <c r="FQ214" s="139"/>
      <c r="FR214" s="139"/>
      <c r="FS214" s="139"/>
      <c r="FT214" s="139"/>
      <c r="FU214" s="139"/>
      <c r="FV214" s="139"/>
      <c r="FW214" s="139"/>
      <c r="FX214" s="139"/>
      <c r="FY214" s="139"/>
      <c r="FZ214" s="139"/>
      <c r="GA214" s="139"/>
      <c r="GB214" s="139"/>
      <c r="GC214" s="139"/>
      <c r="GD214" s="139"/>
      <c r="GE214" s="139"/>
      <c r="GF214" s="139"/>
      <c r="GG214" s="139"/>
      <c r="GH214" s="139"/>
      <c r="GI214" s="139"/>
      <c r="GJ214" s="139"/>
      <c r="GK214" s="139"/>
      <c r="GL214" s="139"/>
      <c r="GM214" s="139"/>
      <c r="GN214" s="139"/>
      <c r="GO214" s="139"/>
      <c r="GP214" s="139"/>
      <c r="GQ214" s="139"/>
      <c r="GR214" s="139"/>
      <c r="GS214" s="139"/>
      <c r="GT214" s="139"/>
      <c r="GU214" s="139"/>
      <c r="GV214" s="139"/>
      <c r="GW214" s="139"/>
      <c r="GX214" s="139"/>
      <c r="GY214" s="139"/>
      <c r="GZ214" s="139"/>
      <c r="HA214" s="139"/>
      <c r="HB214" s="139"/>
      <c r="HC214" s="139"/>
      <c r="HD214" s="139"/>
      <c r="HE214" s="139"/>
      <c r="HF214" s="139"/>
      <c r="HG214" s="139"/>
      <c r="HH214" s="139"/>
      <c r="HI214" s="139"/>
      <c r="HJ214" s="139"/>
      <c r="HK214" s="139"/>
      <c r="HL214" s="139"/>
      <c r="HM214" s="139"/>
      <c r="HN214" s="139"/>
      <c r="HO214" s="139"/>
      <c r="HP214" s="139"/>
      <c r="HQ214" s="139"/>
      <c r="HR214" s="139"/>
      <c r="HS214" s="139"/>
      <c r="HT214" s="139"/>
      <c r="HU214" s="139"/>
      <c r="HV214" s="139"/>
      <c r="HW214" s="139"/>
      <c r="HX214" s="139"/>
      <c r="HY214" s="139"/>
      <c r="HZ214" s="139"/>
      <c r="IA214" s="139"/>
      <c r="IB214" s="139"/>
      <c r="IC214" s="139"/>
      <c r="ID214" s="139"/>
      <c r="IE214" s="139"/>
      <c r="IF214" s="139"/>
      <c r="IG214" s="139"/>
      <c r="IH214" s="139"/>
      <c r="II214" s="139"/>
      <c r="IJ214" s="139"/>
      <c r="IK214" s="139"/>
      <c r="IL214" s="139"/>
      <c r="IM214" s="139"/>
      <c r="IN214" s="139"/>
      <c r="IO214" s="139"/>
      <c r="IP214" s="139"/>
    </row>
    <row r="215" spans="2:257" x14ac:dyDescent="0.3">
      <c r="B215" s="5" t="s">
        <v>135</v>
      </c>
      <c r="C215" s="722" t="s">
        <v>240</v>
      </c>
      <c r="D215" s="270">
        <v>5189411.9612839799</v>
      </c>
      <c r="E215" s="968">
        <v>1331.0614879010911</v>
      </c>
      <c r="F215" s="968">
        <v>35321683.796217099</v>
      </c>
      <c r="G215" s="968">
        <v>6906.802049512291</v>
      </c>
      <c r="H215" s="968">
        <v>40511095.757501081</v>
      </c>
      <c r="I215" s="968">
        <v>8237.8635374133828</v>
      </c>
      <c r="J215" s="968">
        <v>224111.16289486855</v>
      </c>
      <c r="K215" s="968">
        <v>57.549505519773284</v>
      </c>
      <c r="L215" s="968">
        <v>509.85151494776738</v>
      </c>
      <c r="M215" s="968">
        <v>9.9696365232886441E-2</v>
      </c>
      <c r="N215" s="968">
        <v>224621.01440981633</v>
      </c>
      <c r="O215" s="968">
        <v>57.649201885006171</v>
      </c>
      <c r="P215" s="968">
        <v>40735716.771910898</v>
      </c>
      <c r="Q215" s="716">
        <v>8295.5127392983886</v>
      </c>
      <c r="R215" s="270">
        <v>110186789.34457853</v>
      </c>
      <c r="S215" s="968">
        <v>21545.924788438886</v>
      </c>
      <c r="T215" s="968">
        <v>0</v>
      </c>
      <c r="U215" s="968">
        <v>0</v>
      </c>
      <c r="V215" s="968">
        <v>0</v>
      </c>
      <c r="W215" s="968">
        <v>0</v>
      </c>
      <c r="X215" s="968">
        <v>110186789.34457853</v>
      </c>
      <c r="Y215" s="716">
        <v>21545.924788438886</v>
      </c>
      <c r="Z215" s="270">
        <v>5413523.1241788482</v>
      </c>
      <c r="AA215" s="968">
        <v>1388.6109934208644</v>
      </c>
      <c r="AB215" s="968">
        <v>145508982.99231058</v>
      </c>
      <c r="AC215" s="968">
        <v>28452.826534316409</v>
      </c>
      <c r="AD215" s="968">
        <v>150922506.11648944</v>
      </c>
      <c r="AE215" s="716">
        <v>29841.437527737275</v>
      </c>
      <c r="AF215" s="139"/>
      <c r="AG215" s="139"/>
      <c r="AH215" s="139"/>
      <c r="AI215" s="139"/>
      <c r="AJ215" s="139"/>
      <c r="AK215" s="139"/>
      <c r="AL215" s="139"/>
      <c r="AM215" s="139"/>
      <c r="AN215" s="139"/>
      <c r="AO215" s="139"/>
      <c r="AP215" s="139"/>
      <c r="AQ215" s="139"/>
      <c r="AR215" s="139"/>
      <c r="AS215" s="139"/>
      <c r="AT215" s="139"/>
      <c r="AU215" s="139"/>
      <c r="AV215" s="139"/>
      <c r="AW215" s="139"/>
      <c r="AX215" s="139"/>
      <c r="AY215" s="139"/>
      <c r="AZ215" s="139"/>
      <c r="BA215" s="139"/>
      <c r="BB215" s="139"/>
      <c r="BC215" s="139"/>
      <c r="BD215" s="139"/>
      <c r="BE215" s="139"/>
      <c r="BF215" s="139"/>
      <c r="BG215" s="139"/>
      <c r="BH215" s="139"/>
      <c r="BI215" s="139"/>
      <c r="BJ215" s="139"/>
      <c r="BK215" s="139"/>
      <c r="BL215" s="139"/>
      <c r="BM215" s="139"/>
      <c r="BN215" s="139"/>
      <c r="BO215" s="139"/>
      <c r="BP215" s="139"/>
      <c r="BQ215" s="139"/>
      <c r="BR215" s="139"/>
      <c r="BS215" s="139"/>
      <c r="BT215" s="139"/>
      <c r="BU215" s="139"/>
      <c r="BV215" s="139"/>
      <c r="BW215" s="139"/>
      <c r="BX215" s="139"/>
      <c r="BY215" s="139"/>
      <c r="BZ215" s="139"/>
      <c r="CA215" s="139"/>
      <c r="CB215" s="139"/>
      <c r="CC215" s="139"/>
      <c r="CD215" s="139"/>
      <c r="CE215" s="139"/>
      <c r="CF215" s="139"/>
      <c r="CG215" s="139"/>
      <c r="CH215" s="139"/>
      <c r="CI215" s="139"/>
      <c r="CJ215" s="139"/>
      <c r="CK215" s="139"/>
      <c r="CL215" s="139"/>
      <c r="CM215" s="139"/>
      <c r="CN215" s="139"/>
      <c r="CO215" s="139"/>
      <c r="CP215" s="139"/>
      <c r="CQ215" s="139"/>
      <c r="CR215" s="139"/>
      <c r="CS215" s="139"/>
      <c r="CT215" s="139"/>
      <c r="CU215" s="139"/>
      <c r="CV215" s="139"/>
      <c r="CW215" s="139"/>
      <c r="CX215" s="139"/>
      <c r="CY215" s="139"/>
      <c r="CZ215" s="139"/>
      <c r="DA215" s="139"/>
      <c r="DB215" s="139"/>
      <c r="DC215" s="139"/>
      <c r="DD215" s="139"/>
      <c r="DE215" s="139"/>
      <c r="DF215" s="139"/>
      <c r="DG215" s="139"/>
      <c r="DH215" s="139"/>
      <c r="DI215" s="139"/>
      <c r="DJ215" s="139"/>
      <c r="DK215" s="139"/>
      <c r="DL215" s="139"/>
      <c r="DM215" s="139"/>
      <c r="DN215" s="139"/>
      <c r="DO215" s="139"/>
      <c r="DP215" s="139"/>
      <c r="DQ215" s="139"/>
      <c r="DR215" s="139"/>
      <c r="DS215" s="139"/>
      <c r="DT215" s="139"/>
      <c r="DU215" s="139"/>
      <c r="DV215" s="139"/>
      <c r="DW215" s="139"/>
      <c r="DX215" s="139"/>
      <c r="DY215" s="139"/>
      <c r="DZ215" s="139"/>
      <c r="EA215" s="139"/>
      <c r="EB215" s="139"/>
      <c r="EC215" s="139"/>
      <c r="ED215" s="139"/>
      <c r="EE215" s="139"/>
      <c r="EF215" s="139"/>
      <c r="EG215" s="139"/>
      <c r="EH215" s="139"/>
      <c r="EI215" s="139"/>
      <c r="EJ215" s="139"/>
      <c r="EK215" s="139"/>
      <c r="EL215" s="139"/>
      <c r="EM215" s="139"/>
      <c r="EN215" s="139"/>
      <c r="EO215" s="139"/>
      <c r="EP215" s="139"/>
      <c r="EQ215" s="139"/>
      <c r="ER215" s="139"/>
      <c r="ES215" s="139"/>
      <c r="ET215" s="139"/>
      <c r="EU215" s="139"/>
      <c r="EV215" s="139"/>
      <c r="EW215" s="139"/>
      <c r="EX215" s="139"/>
      <c r="EY215" s="139"/>
      <c r="EZ215" s="139"/>
      <c r="FA215" s="139"/>
      <c r="FB215" s="139"/>
      <c r="FC215" s="139"/>
      <c r="FD215" s="139"/>
      <c r="FE215" s="139"/>
      <c r="FF215" s="139"/>
      <c r="FG215" s="139"/>
      <c r="FH215" s="139"/>
      <c r="FI215" s="139"/>
      <c r="FJ215" s="139"/>
      <c r="FK215" s="139"/>
      <c r="FL215" s="139"/>
      <c r="FM215" s="139"/>
      <c r="FN215" s="139"/>
      <c r="FO215" s="139"/>
      <c r="FP215" s="139"/>
      <c r="FQ215" s="139"/>
      <c r="FR215" s="139"/>
      <c r="FS215" s="139"/>
      <c r="FT215" s="139"/>
      <c r="FU215" s="139"/>
      <c r="FV215" s="139"/>
      <c r="FW215" s="139"/>
      <c r="FX215" s="139"/>
      <c r="FY215" s="139"/>
      <c r="FZ215" s="139"/>
      <c r="GA215" s="139"/>
      <c r="GB215" s="139"/>
      <c r="GC215" s="139"/>
      <c r="GD215" s="139"/>
      <c r="GE215" s="139"/>
      <c r="GF215" s="139"/>
      <c r="GG215" s="139"/>
      <c r="GH215" s="139"/>
      <c r="GI215" s="139"/>
      <c r="GJ215" s="139"/>
      <c r="GK215" s="139"/>
      <c r="GL215" s="139"/>
      <c r="GM215" s="139"/>
      <c r="GN215" s="139"/>
      <c r="GO215" s="139"/>
      <c r="GP215" s="139"/>
      <c r="GQ215" s="139"/>
      <c r="GR215" s="139"/>
      <c r="GS215" s="139"/>
      <c r="GT215" s="139"/>
      <c r="GU215" s="139"/>
      <c r="GV215" s="139"/>
      <c r="GW215" s="139"/>
      <c r="GX215" s="139"/>
      <c r="GY215" s="139"/>
      <c r="GZ215" s="139"/>
      <c r="HA215" s="139"/>
      <c r="HB215" s="139"/>
      <c r="HC215" s="139"/>
      <c r="HD215" s="139"/>
      <c r="HE215" s="139"/>
      <c r="HF215" s="139"/>
      <c r="HG215" s="139"/>
      <c r="HH215" s="139"/>
      <c r="HI215" s="139"/>
      <c r="HJ215" s="139"/>
      <c r="HK215" s="139"/>
      <c r="HL215" s="139"/>
      <c r="HM215" s="139"/>
      <c r="HN215" s="139"/>
      <c r="HO215" s="139"/>
      <c r="HP215" s="139"/>
      <c r="HQ215" s="139"/>
      <c r="HR215" s="139"/>
      <c r="HS215" s="139"/>
      <c r="HT215" s="139"/>
      <c r="HU215" s="139"/>
      <c r="HV215" s="139"/>
      <c r="HW215" s="139"/>
      <c r="HX215" s="139"/>
      <c r="HY215" s="139"/>
      <c r="HZ215" s="139"/>
      <c r="IA215" s="139"/>
      <c r="IB215" s="139"/>
      <c r="IC215" s="139"/>
      <c r="ID215" s="139"/>
      <c r="IE215" s="139"/>
      <c r="IF215" s="139"/>
      <c r="IG215" s="139"/>
      <c r="IH215" s="139"/>
      <c r="II215" s="139"/>
      <c r="IJ215" s="139"/>
      <c r="IK215" s="139"/>
      <c r="IL215" s="139"/>
      <c r="IM215" s="139"/>
      <c r="IN215" s="139"/>
      <c r="IO215" s="139"/>
      <c r="IP215" s="139"/>
    </row>
    <row r="216" spans="2:257" ht="15" thickBot="1" x14ac:dyDescent="0.35">
      <c r="B216" s="388" t="s">
        <v>136</v>
      </c>
      <c r="C216" s="636"/>
      <c r="D216" s="637"/>
      <c r="E216" s="969"/>
      <c r="F216" s="970"/>
      <c r="G216" s="971"/>
      <c r="H216" s="972"/>
      <c r="I216" s="973"/>
      <c r="J216" s="974"/>
      <c r="K216" s="969"/>
      <c r="L216" s="975"/>
      <c r="M216" s="969"/>
      <c r="N216" s="971"/>
      <c r="O216" s="975"/>
      <c r="P216" s="975"/>
      <c r="Q216" s="638"/>
      <c r="R216" s="635"/>
      <c r="S216" s="975"/>
      <c r="T216" s="976"/>
      <c r="U216" s="975"/>
      <c r="V216" s="977"/>
      <c r="W216" s="975"/>
      <c r="X216" s="978">
        <f>R216+T216+V216</f>
        <v>0</v>
      </c>
      <c r="Y216" s="628">
        <f>S216+U216+W216</f>
        <v>0</v>
      </c>
      <c r="Z216" s="631">
        <f>J216+D216</f>
        <v>0</v>
      </c>
      <c r="AA216" s="979">
        <f>K216+E216</f>
        <v>0</v>
      </c>
      <c r="AB216" s="980">
        <f>F216+X216+L216</f>
        <v>0</v>
      </c>
      <c r="AC216" s="979">
        <f>G216+Y216+M216</f>
        <v>0</v>
      </c>
      <c r="AD216" s="980">
        <f>Z216+AB216</f>
        <v>0</v>
      </c>
      <c r="AE216" s="628">
        <f>AA216+AC216</f>
        <v>0</v>
      </c>
      <c r="AF216" s="139"/>
      <c r="AG216" s="139"/>
      <c r="AH216" s="139"/>
      <c r="AI216" s="139"/>
      <c r="AJ216" s="139"/>
      <c r="AK216" s="139"/>
      <c r="AL216" s="139"/>
      <c r="AM216" s="139"/>
      <c r="AN216" s="139"/>
      <c r="AO216" s="139"/>
      <c r="AP216" s="139"/>
      <c r="AQ216" s="139"/>
      <c r="AR216" s="139"/>
      <c r="AS216" s="139"/>
      <c r="AT216" s="139"/>
      <c r="AU216" s="139"/>
      <c r="AV216" s="139"/>
      <c r="AW216" s="139"/>
      <c r="AX216" s="139"/>
      <c r="AY216" s="139"/>
      <c r="AZ216" s="139"/>
      <c r="BA216" s="139"/>
      <c r="BB216" s="139"/>
      <c r="BC216" s="139"/>
      <c r="BD216" s="139"/>
      <c r="BE216" s="139"/>
      <c r="BF216" s="139"/>
      <c r="BG216" s="139"/>
      <c r="BH216" s="139"/>
      <c r="BI216" s="139"/>
      <c r="BJ216" s="139"/>
      <c r="BK216" s="139"/>
      <c r="BL216" s="139"/>
      <c r="BM216" s="139"/>
      <c r="BN216" s="139"/>
      <c r="BO216" s="139"/>
      <c r="BP216" s="139"/>
      <c r="BQ216" s="139"/>
      <c r="BR216" s="139"/>
      <c r="BS216" s="139"/>
      <c r="BT216" s="139"/>
      <c r="BU216" s="139"/>
      <c r="BV216" s="139"/>
      <c r="BW216" s="139"/>
      <c r="BX216" s="139"/>
      <c r="BY216" s="139"/>
      <c r="BZ216" s="139"/>
      <c r="CA216" s="139"/>
      <c r="CB216" s="139"/>
      <c r="CC216" s="139"/>
      <c r="CD216" s="139"/>
      <c r="CE216" s="139"/>
      <c r="CF216" s="139"/>
      <c r="CG216" s="139"/>
      <c r="CH216" s="139"/>
      <c r="CI216" s="139"/>
      <c r="CJ216" s="139"/>
      <c r="CK216" s="139"/>
      <c r="CL216" s="139"/>
      <c r="CM216" s="139"/>
      <c r="CN216" s="139"/>
      <c r="CO216" s="139"/>
      <c r="CP216" s="139"/>
      <c r="CQ216" s="139"/>
      <c r="CR216" s="139"/>
      <c r="CS216" s="139"/>
      <c r="CT216" s="139"/>
      <c r="CU216" s="139"/>
      <c r="CV216" s="139"/>
      <c r="CW216" s="139"/>
      <c r="CX216" s="139"/>
      <c r="CY216" s="139"/>
      <c r="CZ216" s="139"/>
      <c r="DA216" s="139"/>
      <c r="DB216" s="139"/>
      <c r="DC216" s="139"/>
      <c r="DD216" s="139"/>
      <c r="DE216" s="139"/>
      <c r="DF216" s="139"/>
      <c r="DG216" s="139"/>
      <c r="DH216" s="139"/>
      <c r="DI216" s="139"/>
      <c r="DJ216" s="139"/>
      <c r="DK216" s="139"/>
      <c r="DL216" s="139"/>
      <c r="DM216" s="139"/>
      <c r="DN216" s="139"/>
      <c r="DO216" s="139"/>
      <c r="DP216" s="139"/>
      <c r="DQ216" s="139"/>
      <c r="DR216" s="139"/>
      <c r="DS216" s="139"/>
      <c r="DT216" s="139"/>
      <c r="DU216" s="139"/>
      <c r="DV216" s="139"/>
      <c r="DW216" s="139"/>
      <c r="DX216" s="139"/>
      <c r="DY216" s="139"/>
      <c r="DZ216" s="139"/>
      <c r="EA216" s="139"/>
      <c r="EB216" s="139"/>
      <c r="EC216" s="139"/>
      <c r="ED216" s="139"/>
      <c r="EE216" s="139"/>
      <c r="EF216" s="139"/>
      <c r="EG216" s="139"/>
      <c r="EH216" s="139"/>
      <c r="EI216" s="139"/>
      <c r="EJ216" s="139"/>
      <c r="EK216" s="139"/>
      <c r="EL216" s="139"/>
      <c r="EM216" s="139"/>
      <c r="EN216" s="139"/>
      <c r="EO216" s="139"/>
      <c r="EP216" s="139"/>
      <c r="EQ216" s="139"/>
      <c r="ER216" s="139"/>
      <c r="ES216" s="139"/>
      <c r="ET216" s="139"/>
      <c r="EU216" s="139"/>
      <c r="EV216" s="139"/>
      <c r="EW216" s="139"/>
      <c r="EX216" s="139"/>
      <c r="EY216" s="139"/>
      <c r="EZ216" s="139"/>
      <c r="FA216" s="139"/>
      <c r="FB216" s="139"/>
      <c r="FC216" s="139"/>
      <c r="FD216" s="139"/>
      <c r="FE216" s="139"/>
      <c r="FF216" s="139"/>
      <c r="FG216" s="139"/>
      <c r="FH216" s="139"/>
      <c r="FI216" s="139"/>
      <c r="FJ216" s="139"/>
      <c r="FK216" s="139"/>
      <c r="FL216" s="139"/>
      <c r="FM216" s="139"/>
      <c r="FN216" s="139"/>
      <c r="FO216" s="139"/>
      <c r="FP216" s="139"/>
      <c r="FQ216" s="139"/>
      <c r="FR216" s="139"/>
      <c r="FS216" s="139"/>
      <c r="FT216" s="139"/>
      <c r="FU216" s="139"/>
      <c r="FV216" s="139"/>
      <c r="FW216" s="139"/>
      <c r="FX216" s="139"/>
      <c r="FY216" s="139"/>
      <c r="FZ216" s="139"/>
      <c r="GA216" s="139"/>
      <c r="GB216" s="139"/>
      <c r="GC216" s="139"/>
      <c r="GD216" s="139"/>
      <c r="GE216" s="139"/>
      <c r="GF216" s="139"/>
      <c r="GG216" s="139"/>
      <c r="GH216" s="139"/>
      <c r="GI216" s="139"/>
      <c r="GJ216" s="139"/>
      <c r="GK216" s="139"/>
      <c r="GL216" s="139"/>
      <c r="GM216" s="139"/>
      <c r="GN216" s="139"/>
      <c r="GO216" s="139"/>
      <c r="GP216" s="139"/>
      <c r="GQ216" s="139"/>
      <c r="GR216" s="139"/>
      <c r="GS216" s="139"/>
      <c r="GT216" s="139"/>
      <c r="GU216" s="139"/>
      <c r="GV216" s="139"/>
      <c r="GW216" s="139"/>
      <c r="GX216" s="139"/>
      <c r="GY216" s="139"/>
      <c r="GZ216" s="139"/>
      <c r="HA216" s="139"/>
      <c r="HB216" s="139"/>
      <c r="HC216" s="139"/>
      <c r="HD216" s="139"/>
      <c r="HE216" s="139"/>
      <c r="HF216" s="139"/>
      <c r="HG216" s="139"/>
      <c r="HH216" s="139"/>
      <c r="HI216" s="139"/>
      <c r="HJ216" s="139"/>
      <c r="HK216" s="139"/>
      <c r="HL216" s="139"/>
      <c r="HM216" s="139"/>
      <c r="HN216" s="139"/>
      <c r="HO216" s="139"/>
      <c r="HP216" s="139"/>
      <c r="HQ216" s="139"/>
      <c r="HR216" s="139"/>
      <c r="HS216" s="139"/>
      <c r="HT216" s="139"/>
      <c r="HU216" s="139"/>
      <c r="HV216" s="139"/>
      <c r="HW216" s="139"/>
      <c r="HX216" s="139"/>
      <c r="HY216" s="139"/>
      <c r="HZ216" s="139"/>
      <c r="IA216" s="139"/>
      <c r="IB216" s="139"/>
      <c r="IC216" s="139"/>
      <c r="ID216" s="139"/>
      <c r="IE216" s="139"/>
      <c r="IF216" s="139"/>
      <c r="IG216" s="139"/>
      <c r="IH216" s="139"/>
      <c r="II216" s="139"/>
      <c r="IJ216" s="139"/>
      <c r="IK216" s="139"/>
      <c r="IL216" s="139"/>
      <c r="IM216" s="139"/>
      <c r="IN216" s="139"/>
      <c r="IO216" s="139"/>
      <c r="IP216" s="139"/>
    </row>
    <row r="217" spans="2:257" ht="15" thickBot="1" x14ac:dyDescent="0.35">
      <c r="B217" s="7" t="s">
        <v>66</v>
      </c>
      <c r="C217" s="253"/>
      <c r="D217" s="718">
        <f t="shared" ref="D217:S217" si="21">SUM(D183:D215)</f>
        <v>167480657.64517215</v>
      </c>
      <c r="E217" s="12">
        <f t="shared" si="21"/>
        <v>42958.056716830564</v>
      </c>
      <c r="F217" s="11">
        <f t="shared" si="21"/>
        <v>1296631083.5219252</v>
      </c>
      <c r="G217" s="13">
        <f t="shared" si="21"/>
        <v>253543.24207187723</v>
      </c>
      <c r="H217" s="13">
        <f t="shared" si="21"/>
        <v>1464111741.1670971</v>
      </c>
      <c r="I217" s="12">
        <f t="shared" si="21"/>
        <v>296501.29878870776</v>
      </c>
      <c r="J217" s="11">
        <f t="shared" si="21"/>
        <v>162249804.90840632</v>
      </c>
      <c r="K217" s="12">
        <f t="shared" si="21"/>
        <v>41661.100824540168</v>
      </c>
      <c r="L217" s="13">
        <f>SUM(L183:L215)</f>
        <v>3644485.8861077242</v>
      </c>
      <c r="M217" s="13">
        <f>SUM(M183:M215)</f>
        <v>712.64277016950405</v>
      </c>
      <c r="N217" s="11">
        <f t="shared" si="21"/>
        <v>165894290.79451397</v>
      </c>
      <c r="O217" s="13">
        <f t="shared" si="21"/>
        <v>42373.743594709675</v>
      </c>
      <c r="P217" s="11">
        <f t="shared" si="21"/>
        <v>1630006031.961611</v>
      </c>
      <c r="Q217" s="719">
        <f t="shared" si="21"/>
        <v>338875.04238341755</v>
      </c>
      <c r="R217" s="718">
        <f t="shared" si="21"/>
        <v>972642952.51711905</v>
      </c>
      <c r="S217" s="11">
        <f t="shared" si="21"/>
        <v>190190.60293519744</v>
      </c>
      <c r="T217" s="11">
        <f t="shared" ref="T217:AE217" si="22">SUM(T183:T216)</f>
        <v>43548050.955234118</v>
      </c>
      <c r="U217" s="11">
        <f t="shared" si="22"/>
        <v>8515.3858837864791</v>
      </c>
      <c r="V217" s="632">
        <f t="shared" si="22"/>
        <v>11880103.165461048</v>
      </c>
      <c r="W217" s="12">
        <f t="shared" si="22"/>
        <v>2323.0353729742528</v>
      </c>
      <c r="X217" s="633">
        <f t="shared" si="22"/>
        <v>1028071106.6378143</v>
      </c>
      <c r="Y217" s="719">
        <f t="shared" si="22"/>
        <v>201029.02419195816</v>
      </c>
      <c r="Z217" s="639">
        <f t="shared" si="22"/>
        <v>329730462.5535782</v>
      </c>
      <c r="AA217" s="981">
        <f t="shared" si="22"/>
        <v>84619.157541370703</v>
      </c>
      <c r="AB217" s="982">
        <f t="shared" si="22"/>
        <v>2328346676.0458474</v>
      </c>
      <c r="AC217" s="981">
        <f t="shared" si="22"/>
        <v>455284.90903400484</v>
      </c>
      <c r="AD217" s="982">
        <f t="shared" si="22"/>
        <v>2658077138.5994248</v>
      </c>
      <c r="AE217" s="640">
        <f t="shared" si="22"/>
        <v>539904.06657537573</v>
      </c>
      <c r="AF217" s="139"/>
      <c r="AG217" s="139"/>
      <c r="AH217" s="139"/>
      <c r="AI217" s="139"/>
      <c r="AJ217" s="139"/>
      <c r="AK217" s="139"/>
      <c r="AL217" s="139"/>
      <c r="AM217" s="139"/>
      <c r="AN217" s="139"/>
      <c r="AO217" s="139"/>
      <c r="AP217" s="139"/>
      <c r="AQ217" s="139"/>
      <c r="AR217" s="139"/>
      <c r="AS217" s="139"/>
      <c r="AT217" s="139"/>
      <c r="AU217" s="139"/>
      <c r="AV217" s="139"/>
      <c r="AW217" s="139"/>
      <c r="AX217" s="139"/>
      <c r="AY217" s="139"/>
      <c r="AZ217" s="139"/>
      <c r="BA217" s="139"/>
      <c r="BB217" s="139"/>
      <c r="BC217" s="139"/>
      <c r="BD217" s="139"/>
      <c r="BE217" s="139"/>
      <c r="BF217" s="139"/>
      <c r="BG217" s="139"/>
      <c r="BH217" s="139"/>
      <c r="BI217" s="139"/>
      <c r="BJ217" s="139"/>
      <c r="BK217" s="139"/>
      <c r="BL217" s="139"/>
      <c r="BM217" s="139"/>
      <c r="BN217" s="139"/>
      <c r="BO217" s="139"/>
      <c r="BP217" s="139"/>
      <c r="BQ217" s="139"/>
      <c r="BR217" s="139"/>
      <c r="BS217" s="139"/>
      <c r="BT217" s="139"/>
      <c r="BU217" s="139"/>
      <c r="BV217" s="139"/>
      <c r="BW217" s="139"/>
      <c r="BX217" s="139"/>
      <c r="BY217" s="139"/>
      <c r="BZ217" s="139"/>
      <c r="CA217" s="139"/>
      <c r="CB217" s="139"/>
      <c r="CC217" s="139"/>
      <c r="CD217" s="139"/>
      <c r="CE217" s="139"/>
      <c r="CF217" s="139"/>
      <c r="CG217" s="139"/>
      <c r="CH217" s="139"/>
      <c r="CI217" s="139"/>
      <c r="CJ217" s="139"/>
      <c r="CK217" s="139"/>
      <c r="CL217" s="139"/>
      <c r="CM217" s="139"/>
      <c r="CN217" s="139"/>
      <c r="CO217" s="139"/>
      <c r="CP217" s="139"/>
      <c r="CQ217" s="139"/>
      <c r="CR217" s="139"/>
      <c r="CS217" s="139"/>
      <c r="CT217" s="139"/>
      <c r="CU217" s="139"/>
      <c r="CV217" s="139"/>
      <c r="CW217" s="139"/>
      <c r="CX217" s="139"/>
      <c r="CY217" s="139"/>
      <c r="CZ217" s="139"/>
      <c r="DA217" s="139"/>
      <c r="DB217" s="139"/>
      <c r="DC217" s="139"/>
      <c r="DD217" s="139"/>
      <c r="DE217" s="139"/>
      <c r="DF217" s="139"/>
      <c r="DG217" s="139"/>
      <c r="DH217" s="139"/>
      <c r="DI217" s="139"/>
      <c r="DJ217" s="139"/>
      <c r="DK217" s="139"/>
      <c r="DL217" s="139"/>
      <c r="DM217" s="139"/>
      <c r="DN217" s="139"/>
      <c r="DO217" s="139"/>
      <c r="DP217" s="139"/>
      <c r="DQ217" s="139"/>
      <c r="DR217" s="139"/>
      <c r="DS217" s="139"/>
      <c r="DT217" s="139"/>
      <c r="DU217" s="139"/>
      <c r="DV217" s="139"/>
      <c r="DW217" s="139"/>
      <c r="DX217" s="139"/>
      <c r="DY217" s="139"/>
      <c r="DZ217" s="139"/>
      <c r="EA217" s="139"/>
      <c r="EB217" s="139"/>
      <c r="EC217" s="139"/>
      <c r="ED217" s="139"/>
      <c r="EE217" s="139"/>
      <c r="EF217" s="139"/>
      <c r="EG217" s="139"/>
      <c r="EH217" s="139"/>
      <c r="EI217" s="139"/>
      <c r="EJ217" s="139"/>
      <c r="EK217" s="139"/>
      <c r="EL217" s="139"/>
      <c r="EM217" s="139"/>
      <c r="EN217" s="139"/>
      <c r="EO217" s="139"/>
      <c r="EP217" s="139"/>
      <c r="EQ217" s="139"/>
      <c r="ER217" s="139"/>
      <c r="ES217" s="139"/>
      <c r="ET217" s="139"/>
      <c r="EU217" s="139"/>
      <c r="EV217" s="139"/>
      <c r="EW217" s="139"/>
      <c r="EX217" s="139"/>
      <c r="EY217" s="139"/>
      <c r="EZ217" s="139"/>
      <c r="FA217" s="139"/>
      <c r="FB217" s="139"/>
      <c r="FC217" s="139"/>
      <c r="FD217" s="139"/>
      <c r="FE217" s="139"/>
      <c r="FF217" s="139"/>
      <c r="FG217" s="139"/>
      <c r="FH217" s="139"/>
      <c r="FI217" s="139"/>
      <c r="FJ217" s="139"/>
      <c r="FK217" s="139"/>
      <c r="FL217" s="139"/>
      <c r="FM217" s="139"/>
      <c r="FN217" s="139"/>
      <c r="FO217" s="139"/>
      <c r="FP217" s="139"/>
      <c r="FQ217" s="139"/>
      <c r="FR217" s="139"/>
      <c r="FS217" s="139"/>
      <c r="FT217" s="139"/>
      <c r="FU217" s="139"/>
      <c r="FV217" s="139"/>
      <c r="FW217" s="139"/>
      <c r="FX217" s="139"/>
      <c r="FY217" s="139"/>
      <c r="FZ217" s="139"/>
      <c r="GA217" s="139"/>
      <c r="GB217" s="139"/>
      <c r="GC217" s="139"/>
      <c r="GD217" s="139"/>
      <c r="GE217" s="139"/>
      <c r="GF217" s="139"/>
      <c r="GG217" s="139"/>
      <c r="GH217" s="139"/>
      <c r="GI217" s="139"/>
      <c r="GJ217" s="139"/>
      <c r="GK217" s="139"/>
      <c r="GL217" s="139"/>
      <c r="GM217" s="139"/>
      <c r="GN217" s="139"/>
      <c r="GO217" s="139"/>
      <c r="GP217" s="139"/>
      <c r="GQ217" s="139"/>
      <c r="GR217" s="139"/>
      <c r="GS217" s="139"/>
      <c r="GT217" s="139"/>
      <c r="GU217" s="139"/>
      <c r="GV217" s="139"/>
      <c r="GW217" s="139"/>
      <c r="GX217" s="139"/>
      <c r="GY217" s="139"/>
      <c r="GZ217" s="139"/>
      <c r="HA217" s="139"/>
      <c r="HB217" s="139"/>
      <c r="HC217" s="139"/>
      <c r="HD217" s="139"/>
      <c r="HE217" s="139"/>
      <c r="HF217" s="139"/>
      <c r="HG217" s="139"/>
      <c r="HH217" s="139"/>
      <c r="HI217" s="139"/>
      <c r="HJ217" s="139"/>
      <c r="HK217" s="139"/>
      <c r="HL217" s="139"/>
      <c r="HM217" s="139"/>
      <c r="HN217" s="139"/>
      <c r="HO217" s="139"/>
      <c r="HP217" s="139"/>
      <c r="HQ217" s="139"/>
      <c r="HR217" s="139"/>
      <c r="HS217" s="139"/>
      <c r="HT217" s="139"/>
      <c r="HU217" s="139"/>
      <c r="HV217" s="139"/>
      <c r="HW217" s="139"/>
      <c r="HX217" s="139"/>
      <c r="HY217" s="139"/>
      <c r="HZ217" s="139"/>
      <c r="IA217" s="139"/>
      <c r="IB217" s="139"/>
      <c r="IC217" s="139"/>
      <c r="ID217" s="139"/>
      <c r="IE217" s="139"/>
      <c r="IF217" s="139"/>
      <c r="IG217" s="139"/>
      <c r="IH217" s="139"/>
      <c r="II217" s="139"/>
      <c r="IJ217" s="139"/>
      <c r="IK217" s="139"/>
      <c r="IL217" s="139"/>
      <c r="IM217" s="139"/>
      <c r="IN217" s="139"/>
    </row>
    <row r="218" spans="2:257" x14ac:dyDescent="0.3">
      <c r="B218" s="139"/>
      <c r="C218" s="139"/>
      <c r="D218" s="139"/>
      <c r="E218" s="139"/>
      <c r="F218" s="139"/>
      <c r="G218" s="693"/>
      <c r="H218" s="139"/>
      <c r="I218" s="139"/>
      <c r="J218" s="142"/>
      <c r="K218" s="139"/>
      <c r="L218" s="10"/>
      <c r="M218" s="142"/>
      <c r="N218" s="139"/>
      <c r="O218" s="139"/>
      <c r="P218" s="142"/>
      <c r="Q218" s="142"/>
      <c r="R218" s="139"/>
      <c r="S218" s="142"/>
      <c r="T218" s="139"/>
      <c r="U218" s="139"/>
      <c r="V218" s="139"/>
      <c r="W218" s="139"/>
      <c r="X218" s="139"/>
      <c r="Y218" s="139"/>
      <c r="Z218" s="139"/>
      <c r="AA218" s="139"/>
      <c r="AB218" s="139"/>
      <c r="AC218" s="142"/>
      <c r="AD218" s="139"/>
      <c r="AE218" s="142"/>
      <c r="AF218" s="139"/>
      <c r="AG218" s="139"/>
      <c r="AH218" s="139"/>
      <c r="AI218" s="139"/>
      <c r="AJ218" s="139"/>
      <c r="AK218" s="139"/>
      <c r="AL218" s="139"/>
      <c r="AM218" s="139"/>
      <c r="AN218" s="139"/>
      <c r="AO218" s="139"/>
      <c r="AP218" s="139"/>
      <c r="AQ218" s="139"/>
      <c r="AR218" s="139"/>
      <c r="AS218" s="139"/>
      <c r="AT218" s="139"/>
      <c r="AU218" s="139"/>
      <c r="AV218" s="139"/>
      <c r="AW218" s="139"/>
      <c r="AX218" s="139"/>
      <c r="AY218" s="139"/>
      <c r="AZ218" s="139"/>
      <c r="BA218" s="139"/>
      <c r="BB218" s="139"/>
      <c r="BC218" s="139"/>
      <c r="BD218" s="139"/>
      <c r="BE218" s="139"/>
      <c r="BF218" s="139"/>
      <c r="BG218" s="139"/>
      <c r="BH218" s="139"/>
      <c r="BI218" s="139"/>
      <c r="BJ218" s="139"/>
      <c r="BK218" s="139"/>
      <c r="BL218" s="139"/>
      <c r="BM218" s="139"/>
      <c r="BN218" s="139"/>
      <c r="BO218" s="139"/>
      <c r="BP218" s="139"/>
      <c r="BQ218" s="139"/>
      <c r="BR218" s="139"/>
      <c r="BS218" s="139"/>
      <c r="BT218" s="139"/>
      <c r="BU218" s="139"/>
      <c r="BV218" s="139"/>
      <c r="BW218" s="139"/>
      <c r="BX218" s="139"/>
      <c r="BY218" s="139"/>
      <c r="BZ218" s="139"/>
      <c r="CA218" s="139"/>
      <c r="CB218" s="139"/>
      <c r="CC218" s="139"/>
      <c r="CD218" s="139"/>
      <c r="CE218" s="139"/>
      <c r="CF218" s="139"/>
      <c r="CG218" s="139"/>
      <c r="CH218" s="139"/>
      <c r="CI218" s="139"/>
      <c r="CJ218" s="139"/>
      <c r="CK218" s="139"/>
      <c r="CL218" s="139"/>
      <c r="CM218" s="139"/>
      <c r="CN218" s="139"/>
      <c r="CO218" s="139"/>
      <c r="CP218" s="139"/>
      <c r="CQ218" s="139"/>
      <c r="CR218" s="139"/>
      <c r="CS218" s="139"/>
      <c r="CT218" s="139"/>
      <c r="CU218" s="139"/>
      <c r="CV218" s="139"/>
      <c r="CW218" s="139"/>
      <c r="CX218" s="139"/>
      <c r="CY218" s="139"/>
      <c r="CZ218" s="139"/>
      <c r="DA218" s="139"/>
      <c r="DB218" s="139"/>
      <c r="DC218" s="139"/>
      <c r="DD218" s="139"/>
      <c r="DE218" s="139"/>
      <c r="DF218" s="139"/>
      <c r="DG218" s="139"/>
      <c r="DH218" s="139"/>
      <c r="DI218" s="139"/>
      <c r="DJ218" s="139"/>
      <c r="DK218" s="139"/>
      <c r="DL218" s="139"/>
      <c r="DM218" s="139"/>
      <c r="DN218" s="139"/>
      <c r="DO218" s="139"/>
      <c r="DP218" s="139"/>
      <c r="DQ218" s="139"/>
      <c r="DR218" s="139"/>
      <c r="DS218" s="139"/>
      <c r="DT218" s="139"/>
      <c r="DU218" s="139"/>
      <c r="DV218" s="139"/>
      <c r="DW218" s="139"/>
      <c r="DX218" s="139"/>
      <c r="DY218" s="139"/>
      <c r="DZ218" s="139"/>
      <c r="EA218" s="139"/>
      <c r="EB218" s="139"/>
      <c r="EC218" s="139"/>
      <c r="ED218" s="139"/>
      <c r="EE218" s="139"/>
      <c r="EF218" s="139"/>
      <c r="EG218" s="139"/>
      <c r="EH218" s="139"/>
      <c r="EI218" s="139"/>
      <c r="EJ218" s="139"/>
      <c r="EK218" s="139"/>
      <c r="EL218" s="139"/>
      <c r="EM218" s="139"/>
      <c r="EN218" s="139"/>
      <c r="EO218" s="139"/>
      <c r="EP218" s="139"/>
      <c r="EQ218" s="139"/>
      <c r="ER218" s="139"/>
      <c r="ES218" s="139"/>
      <c r="ET218" s="139"/>
      <c r="EU218" s="139"/>
      <c r="EV218" s="139"/>
      <c r="EW218" s="139"/>
      <c r="EX218" s="139"/>
      <c r="EY218" s="139"/>
      <c r="EZ218" s="139"/>
      <c r="FA218" s="139"/>
      <c r="FB218" s="139"/>
      <c r="FC218" s="139"/>
      <c r="FD218" s="139"/>
      <c r="FE218" s="139"/>
      <c r="FF218" s="139"/>
      <c r="FG218" s="139"/>
      <c r="FH218" s="139"/>
      <c r="FI218" s="139"/>
      <c r="FJ218" s="139"/>
      <c r="FK218" s="139"/>
      <c r="FL218" s="139"/>
      <c r="FM218" s="139"/>
      <c r="FN218" s="139"/>
      <c r="FO218" s="139"/>
      <c r="FP218" s="139"/>
      <c r="FQ218" s="139"/>
      <c r="FR218" s="139"/>
      <c r="FS218" s="139"/>
      <c r="FT218" s="139"/>
      <c r="FU218" s="139"/>
      <c r="FV218" s="139"/>
      <c r="FW218" s="139"/>
      <c r="FX218" s="139"/>
      <c r="FY218" s="139"/>
      <c r="FZ218" s="139"/>
      <c r="GA218" s="139"/>
      <c r="GB218" s="139"/>
      <c r="GC218" s="139"/>
      <c r="GD218" s="139"/>
      <c r="GE218" s="139"/>
      <c r="GF218" s="139"/>
      <c r="GG218" s="139"/>
      <c r="GH218" s="139"/>
      <c r="GI218" s="139"/>
      <c r="GJ218" s="139"/>
      <c r="GK218" s="139"/>
      <c r="GL218" s="139"/>
      <c r="GM218" s="139"/>
      <c r="GN218" s="139"/>
      <c r="GO218" s="139"/>
      <c r="GP218" s="139"/>
      <c r="GQ218" s="139"/>
      <c r="GR218" s="139"/>
      <c r="GS218" s="139"/>
      <c r="GT218" s="139"/>
      <c r="GU218" s="139"/>
      <c r="GV218" s="139"/>
      <c r="GW218" s="139"/>
      <c r="GX218" s="139"/>
      <c r="GY218" s="139"/>
      <c r="GZ218" s="139"/>
      <c r="HA218" s="139"/>
      <c r="HB218" s="139"/>
      <c r="HC218" s="139"/>
      <c r="HD218" s="139"/>
      <c r="HE218" s="139"/>
      <c r="HF218" s="139"/>
      <c r="HG218" s="139"/>
      <c r="HH218" s="139"/>
      <c r="HI218" s="139"/>
      <c r="HJ218" s="139"/>
      <c r="HK218" s="139"/>
      <c r="HL218" s="139"/>
      <c r="HM218" s="139"/>
      <c r="HN218" s="139"/>
      <c r="HO218" s="139"/>
      <c r="HP218" s="139"/>
      <c r="HQ218" s="139"/>
      <c r="HR218" s="139"/>
      <c r="HS218" s="139"/>
      <c r="HT218" s="139"/>
      <c r="HU218" s="139"/>
      <c r="HV218" s="139"/>
      <c r="HW218" s="139"/>
      <c r="HX218" s="139"/>
      <c r="HY218" s="139"/>
      <c r="HZ218" s="139"/>
      <c r="IA218" s="139"/>
      <c r="IB218" s="139"/>
      <c r="IC218" s="139"/>
      <c r="ID218" s="139"/>
      <c r="IE218" s="139"/>
      <c r="IF218" s="139"/>
      <c r="IG218" s="139"/>
      <c r="IH218" s="139"/>
      <c r="II218" s="139"/>
      <c r="IJ218" s="139"/>
      <c r="IK218" s="139"/>
      <c r="IL218" s="139"/>
      <c r="IM218" s="139"/>
      <c r="IN218" s="139"/>
      <c r="IO218" s="139"/>
      <c r="IP218" s="139"/>
      <c r="IQ218" s="139"/>
      <c r="IR218" s="139"/>
      <c r="IS218" s="139"/>
    </row>
    <row r="219" spans="2:257" x14ac:dyDescent="0.3">
      <c r="C219" s="139"/>
      <c r="D219" s="139"/>
      <c r="E219" s="139"/>
      <c r="F219" s="139"/>
      <c r="G219" s="142"/>
      <c r="H219" s="139"/>
      <c r="I219" s="139"/>
      <c r="J219" s="142"/>
      <c r="K219" s="139"/>
      <c r="L219" s="10"/>
      <c r="M219" s="142"/>
      <c r="N219" s="139"/>
      <c r="O219" s="139"/>
      <c r="P219" s="142"/>
      <c r="Q219" s="142"/>
      <c r="R219" s="139"/>
      <c r="S219" s="142"/>
      <c r="T219" s="139"/>
      <c r="U219" s="139"/>
      <c r="V219" s="139"/>
      <c r="W219" s="139"/>
      <c r="X219" s="139"/>
      <c r="Y219" s="139"/>
      <c r="Z219" s="139"/>
      <c r="AA219" s="139"/>
      <c r="AB219" s="139"/>
      <c r="AC219" s="142"/>
      <c r="AD219" s="139"/>
      <c r="AE219" s="142"/>
      <c r="AF219" s="139"/>
      <c r="AG219" s="139"/>
      <c r="AH219" s="139"/>
      <c r="AI219" s="139"/>
      <c r="AJ219" s="139"/>
      <c r="AK219" s="139"/>
      <c r="AL219" s="139"/>
      <c r="AM219" s="139"/>
      <c r="AN219" s="139"/>
      <c r="AO219" s="139"/>
      <c r="AP219" s="139"/>
      <c r="AQ219" s="139"/>
      <c r="AR219" s="139"/>
      <c r="AS219" s="139"/>
      <c r="AT219" s="139"/>
      <c r="AU219" s="139"/>
      <c r="AV219" s="139"/>
      <c r="AW219" s="139"/>
      <c r="AX219" s="139"/>
      <c r="AY219" s="139"/>
      <c r="AZ219" s="139"/>
      <c r="BA219" s="139"/>
      <c r="BB219" s="139"/>
      <c r="BC219" s="139"/>
      <c r="BD219" s="139"/>
      <c r="BE219" s="139"/>
      <c r="BF219" s="139"/>
      <c r="BG219" s="139"/>
      <c r="BH219" s="139"/>
      <c r="BI219" s="139"/>
      <c r="BJ219" s="139"/>
      <c r="BK219" s="139"/>
      <c r="BL219" s="139"/>
      <c r="BM219" s="139"/>
      <c r="BN219" s="139"/>
      <c r="BO219" s="139"/>
      <c r="BP219" s="139"/>
      <c r="BQ219" s="139"/>
      <c r="BR219" s="139"/>
      <c r="BS219" s="139"/>
      <c r="BT219" s="139"/>
      <c r="BU219" s="139"/>
      <c r="BV219" s="139"/>
      <c r="BW219" s="139"/>
      <c r="BX219" s="139"/>
      <c r="BY219" s="139"/>
      <c r="BZ219" s="139"/>
      <c r="CA219" s="139"/>
      <c r="CB219" s="139"/>
      <c r="CC219" s="139"/>
      <c r="CD219" s="139"/>
      <c r="CE219" s="139"/>
      <c r="CF219" s="139"/>
      <c r="CG219" s="139"/>
      <c r="CH219" s="139"/>
      <c r="CI219" s="139"/>
      <c r="CJ219" s="139"/>
      <c r="CK219" s="139"/>
      <c r="CL219" s="139"/>
      <c r="CM219" s="139"/>
      <c r="CN219" s="139"/>
      <c r="CO219" s="139"/>
      <c r="CP219" s="139"/>
      <c r="CQ219" s="139"/>
      <c r="CR219" s="139"/>
      <c r="CS219" s="139"/>
      <c r="CT219" s="139"/>
      <c r="CU219" s="139"/>
      <c r="CV219" s="139"/>
      <c r="CW219" s="139"/>
      <c r="CX219" s="139"/>
      <c r="CY219" s="139"/>
      <c r="CZ219" s="139"/>
      <c r="DA219" s="139"/>
      <c r="DB219" s="139"/>
      <c r="DC219" s="139"/>
      <c r="DD219" s="139"/>
      <c r="DE219" s="139"/>
      <c r="DF219" s="139"/>
      <c r="DG219" s="139"/>
      <c r="DH219" s="139"/>
      <c r="DI219" s="139"/>
      <c r="DJ219" s="139"/>
      <c r="DK219" s="139"/>
      <c r="DL219" s="139"/>
      <c r="DM219" s="139"/>
      <c r="DN219" s="139"/>
      <c r="DO219" s="139"/>
      <c r="DP219" s="139"/>
      <c r="DQ219" s="139"/>
      <c r="DR219" s="139"/>
      <c r="DS219" s="139"/>
      <c r="DT219" s="139"/>
      <c r="DU219" s="139"/>
      <c r="DV219" s="139"/>
      <c r="DW219" s="139"/>
      <c r="DX219" s="139"/>
      <c r="DY219" s="139"/>
      <c r="DZ219" s="139"/>
      <c r="EA219" s="139"/>
      <c r="EB219" s="139"/>
      <c r="EC219" s="139"/>
      <c r="ED219" s="139"/>
      <c r="EE219" s="139"/>
      <c r="EF219" s="139"/>
      <c r="EG219" s="139"/>
      <c r="EH219" s="139"/>
      <c r="EI219" s="139"/>
      <c r="EJ219" s="139"/>
      <c r="EK219" s="139"/>
      <c r="EL219" s="139"/>
      <c r="EM219" s="139"/>
      <c r="EN219" s="139"/>
      <c r="EO219" s="139"/>
      <c r="EP219" s="139"/>
      <c r="EQ219" s="139"/>
      <c r="ER219" s="139"/>
      <c r="ES219" s="139"/>
      <c r="ET219" s="139"/>
      <c r="EU219" s="139"/>
      <c r="EV219" s="139"/>
      <c r="EW219" s="139"/>
      <c r="EX219" s="139"/>
      <c r="EY219" s="139"/>
      <c r="EZ219" s="139"/>
      <c r="FA219" s="139"/>
      <c r="FB219" s="139"/>
      <c r="FC219" s="139"/>
      <c r="FD219" s="139"/>
      <c r="FE219" s="139"/>
      <c r="FF219" s="139"/>
      <c r="FG219" s="139"/>
      <c r="FH219" s="139"/>
      <c r="FI219" s="139"/>
      <c r="FJ219" s="139"/>
      <c r="FK219" s="139"/>
      <c r="FL219" s="139"/>
      <c r="FM219" s="139"/>
      <c r="FN219" s="139"/>
      <c r="FO219" s="139"/>
      <c r="FP219" s="139"/>
      <c r="FQ219" s="139"/>
      <c r="FR219" s="139"/>
      <c r="FS219" s="139"/>
      <c r="FT219" s="139"/>
      <c r="FU219" s="139"/>
      <c r="FV219" s="139"/>
      <c r="FW219" s="139"/>
      <c r="FX219" s="139"/>
      <c r="FY219" s="139"/>
      <c r="FZ219" s="139"/>
      <c r="GA219" s="139"/>
      <c r="GB219" s="139"/>
      <c r="GC219" s="139"/>
      <c r="GD219" s="139"/>
      <c r="GE219" s="139"/>
      <c r="GF219" s="139"/>
      <c r="GG219" s="139"/>
      <c r="GH219" s="139"/>
      <c r="GI219" s="139"/>
      <c r="GJ219" s="139"/>
      <c r="GK219" s="139"/>
      <c r="GL219" s="139"/>
      <c r="GM219" s="139"/>
      <c r="GN219" s="139"/>
      <c r="GO219" s="139"/>
      <c r="GP219" s="139"/>
      <c r="GQ219" s="139"/>
      <c r="GR219" s="139"/>
      <c r="GS219" s="139"/>
      <c r="GT219" s="139"/>
      <c r="GU219" s="139"/>
      <c r="GV219" s="139"/>
      <c r="GW219" s="139"/>
      <c r="GX219" s="139"/>
      <c r="GY219" s="139"/>
      <c r="GZ219" s="139"/>
      <c r="HA219" s="139"/>
      <c r="HB219" s="139"/>
      <c r="HC219" s="139"/>
      <c r="HD219" s="139"/>
      <c r="HE219" s="139"/>
      <c r="HF219" s="139"/>
      <c r="HG219" s="139"/>
      <c r="HH219" s="139"/>
      <c r="HI219" s="139"/>
      <c r="HJ219" s="139"/>
      <c r="HK219" s="139"/>
      <c r="HL219" s="139"/>
      <c r="HM219" s="139"/>
      <c r="HN219" s="139"/>
      <c r="HO219" s="139"/>
      <c r="HP219" s="139"/>
      <c r="HQ219" s="139"/>
      <c r="HR219" s="139"/>
      <c r="HS219" s="139"/>
      <c r="HT219" s="139"/>
      <c r="HU219" s="139"/>
      <c r="HV219" s="139"/>
      <c r="HW219" s="139"/>
      <c r="HX219" s="139"/>
      <c r="HY219" s="139"/>
      <c r="HZ219" s="139"/>
      <c r="IA219" s="139"/>
      <c r="IB219" s="139"/>
      <c r="IC219" s="139"/>
      <c r="ID219" s="139"/>
      <c r="IE219" s="139"/>
      <c r="IF219" s="139"/>
      <c r="IG219" s="139"/>
      <c r="IH219" s="139"/>
      <c r="II219" s="139"/>
      <c r="IJ219" s="139"/>
      <c r="IK219" s="139"/>
      <c r="IL219" s="139"/>
      <c r="IM219" s="139"/>
      <c r="IN219" s="139"/>
      <c r="IO219" s="139"/>
      <c r="IP219" s="139"/>
      <c r="IQ219" s="139"/>
      <c r="IR219" s="139"/>
      <c r="IS219" s="139"/>
    </row>
    <row r="220" spans="2:257" x14ac:dyDescent="0.3">
      <c r="B220" s="437"/>
      <c r="C220" s="139"/>
      <c r="D220" s="139"/>
      <c r="E220" s="139"/>
      <c r="F220" s="139"/>
      <c r="G220" s="142"/>
      <c r="H220" s="139"/>
      <c r="I220" s="139"/>
      <c r="J220" s="142"/>
      <c r="K220" s="139"/>
      <c r="L220" s="10"/>
      <c r="M220" s="142"/>
      <c r="N220" s="139"/>
      <c r="O220" s="139"/>
      <c r="P220" s="142"/>
      <c r="Q220" s="142"/>
      <c r="R220" s="139"/>
      <c r="S220" s="142"/>
      <c r="T220" s="139"/>
      <c r="U220" s="139"/>
      <c r="V220" s="139"/>
      <c r="W220" s="139"/>
      <c r="X220" s="139"/>
      <c r="Y220" s="139"/>
      <c r="Z220" s="139"/>
      <c r="AA220" s="139"/>
      <c r="AB220" s="139"/>
      <c r="AC220" s="142"/>
      <c r="AD220" s="139"/>
      <c r="AE220" s="142"/>
      <c r="AF220" s="139"/>
      <c r="AG220" s="139"/>
      <c r="AH220" s="139"/>
      <c r="AI220" s="139"/>
      <c r="AJ220" s="139"/>
      <c r="AK220" s="139"/>
      <c r="AL220" s="139"/>
      <c r="AM220" s="139"/>
      <c r="AN220" s="139"/>
      <c r="AO220" s="139"/>
      <c r="AP220" s="139"/>
      <c r="AQ220" s="139"/>
      <c r="AR220" s="139"/>
      <c r="AS220" s="139"/>
      <c r="AT220" s="139"/>
      <c r="AU220" s="139"/>
      <c r="AV220" s="139"/>
      <c r="AW220" s="139"/>
      <c r="AX220" s="139"/>
      <c r="AY220" s="139"/>
      <c r="AZ220" s="139"/>
      <c r="BA220" s="139"/>
      <c r="BB220" s="139"/>
      <c r="BC220" s="139"/>
      <c r="BD220" s="139"/>
      <c r="BE220" s="139"/>
      <c r="BF220" s="139"/>
      <c r="BG220" s="139"/>
      <c r="BH220" s="139"/>
      <c r="BI220" s="139"/>
      <c r="BJ220" s="139"/>
      <c r="BK220" s="139"/>
      <c r="BL220" s="139"/>
      <c r="BM220" s="139"/>
      <c r="BN220" s="139"/>
      <c r="BO220" s="139"/>
      <c r="BP220" s="139"/>
      <c r="BQ220" s="139"/>
      <c r="BR220" s="139"/>
      <c r="BS220" s="139"/>
      <c r="BT220" s="139"/>
      <c r="BU220" s="139"/>
      <c r="BV220" s="139"/>
      <c r="BW220" s="139"/>
      <c r="BX220" s="139"/>
      <c r="BY220" s="139"/>
      <c r="BZ220" s="139"/>
      <c r="CA220" s="139"/>
      <c r="CB220" s="139"/>
      <c r="CC220" s="139"/>
      <c r="CD220" s="139"/>
      <c r="CE220" s="139"/>
      <c r="CF220" s="139"/>
      <c r="CG220" s="139"/>
      <c r="CH220" s="139"/>
      <c r="CI220" s="139"/>
      <c r="CJ220" s="139"/>
      <c r="CK220" s="139"/>
      <c r="CL220" s="139"/>
      <c r="CM220" s="139"/>
      <c r="CN220" s="139"/>
      <c r="CO220" s="139"/>
      <c r="CP220" s="139"/>
      <c r="CQ220" s="139"/>
      <c r="CR220" s="139"/>
      <c r="CS220" s="139"/>
      <c r="CT220" s="139"/>
      <c r="CU220" s="139"/>
      <c r="CV220" s="139"/>
      <c r="CW220" s="139"/>
      <c r="CX220" s="139"/>
      <c r="CY220" s="139"/>
      <c r="CZ220" s="139"/>
      <c r="DA220" s="139"/>
      <c r="DB220" s="139"/>
      <c r="DC220" s="139"/>
      <c r="DD220" s="139"/>
      <c r="DE220" s="139"/>
      <c r="DF220" s="139"/>
      <c r="DG220" s="139"/>
      <c r="DH220" s="139"/>
      <c r="DI220" s="139"/>
      <c r="DJ220" s="139"/>
      <c r="DK220" s="139"/>
      <c r="DL220" s="139"/>
      <c r="DM220" s="139"/>
      <c r="DN220" s="139"/>
      <c r="DO220" s="139"/>
      <c r="DP220" s="139"/>
      <c r="DQ220" s="139"/>
      <c r="DR220" s="139"/>
      <c r="DS220" s="139"/>
      <c r="DT220" s="139"/>
      <c r="DU220" s="139"/>
      <c r="DV220" s="139"/>
      <c r="DW220" s="139"/>
      <c r="DX220" s="139"/>
      <c r="DY220" s="139"/>
      <c r="DZ220" s="139"/>
      <c r="EA220" s="139"/>
      <c r="EB220" s="139"/>
      <c r="EC220" s="139"/>
      <c r="ED220" s="139"/>
      <c r="EE220" s="139"/>
      <c r="EF220" s="139"/>
      <c r="EG220" s="139"/>
      <c r="EH220" s="139"/>
      <c r="EI220" s="139"/>
      <c r="EJ220" s="139"/>
      <c r="EK220" s="139"/>
      <c r="EL220" s="139"/>
      <c r="EM220" s="139"/>
      <c r="EN220" s="139"/>
      <c r="EO220" s="139"/>
      <c r="EP220" s="139"/>
      <c r="EQ220" s="139"/>
      <c r="ER220" s="139"/>
      <c r="ES220" s="139"/>
      <c r="ET220" s="139"/>
      <c r="EU220" s="139"/>
      <c r="EV220" s="139"/>
      <c r="EW220" s="139"/>
      <c r="EX220" s="139"/>
      <c r="EY220" s="139"/>
      <c r="EZ220" s="139"/>
      <c r="FA220" s="139"/>
      <c r="FB220" s="139"/>
      <c r="FC220" s="139"/>
      <c r="FD220" s="139"/>
      <c r="FE220" s="139"/>
      <c r="FF220" s="139"/>
      <c r="FG220" s="139"/>
      <c r="FH220" s="139"/>
      <c r="FI220" s="139"/>
      <c r="FJ220" s="139"/>
      <c r="FK220" s="139"/>
      <c r="FL220" s="139"/>
      <c r="FM220" s="139"/>
      <c r="FN220" s="139"/>
      <c r="FO220" s="139"/>
      <c r="FP220" s="139"/>
      <c r="FQ220" s="139"/>
      <c r="FR220" s="139"/>
      <c r="FS220" s="139"/>
      <c r="FT220" s="139"/>
      <c r="FU220" s="139"/>
      <c r="FV220" s="139"/>
      <c r="FW220" s="139"/>
      <c r="FX220" s="139"/>
      <c r="FY220" s="139"/>
      <c r="FZ220" s="139"/>
      <c r="GA220" s="139"/>
      <c r="GB220" s="139"/>
      <c r="GC220" s="139"/>
      <c r="GD220" s="139"/>
      <c r="GE220" s="139"/>
      <c r="GF220" s="139"/>
      <c r="GG220" s="139"/>
      <c r="GH220" s="139"/>
      <c r="GI220" s="139"/>
      <c r="GJ220" s="139"/>
      <c r="GK220" s="139"/>
      <c r="GL220" s="139"/>
      <c r="GM220" s="139"/>
      <c r="GN220" s="139"/>
      <c r="GO220" s="139"/>
      <c r="GP220" s="139"/>
      <c r="GQ220" s="139"/>
      <c r="GR220" s="139"/>
      <c r="GS220" s="139"/>
      <c r="GT220" s="139"/>
      <c r="GU220" s="139"/>
      <c r="GV220" s="139"/>
      <c r="GW220" s="139"/>
      <c r="GX220" s="139"/>
      <c r="GY220" s="139"/>
      <c r="GZ220" s="139"/>
      <c r="HA220" s="139"/>
      <c r="HB220" s="139"/>
      <c r="HC220" s="139"/>
      <c r="HD220" s="139"/>
      <c r="HE220" s="139"/>
      <c r="HF220" s="139"/>
      <c r="HG220" s="139"/>
      <c r="HH220" s="139"/>
      <c r="HI220" s="139"/>
      <c r="HJ220" s="139"/>
      <c r="HK220" s="139"/>
      <c r="HL220" s="139"/>
      <c r="HM220" s="139"/>
      <c r="HN220" s="139"/>
      <c r="HO220" s="139"/>
      <c r="HP220" s="139"/>
      <c r="HQ220" s="139"/>
      <c r="HR220" s="139"/>
      <c r="HS220" s="139"/>
      <c r="HT220" s="139"/>
      <c r="HU220" s="139"/>
      <c r="HV220" s="139"/>
      <c r="HW220" s="139"/>
      <c r="HX220" s="139"/>
      <c r="HY220" s="139"/>
      <c r="HZ220" s="139"/>
      <c r="IA220" s="139"/>
      <c r="IB220" s="139"/>
      <c r="IC220" s="139"/>
      <c r="ID220" s="139"/>
      <c r="IE220" s="139"/>
      <c r="IF220" s="139"/>
      <c r="IG220" s="139"/>
      <c r="IH220" s="139"/>
      <c r="II220" s="139"/>
      <c r="IJ220" s="139"/>
      <c r="IK220" s="139"/>
      <c r="IL220" s="139"/>
      <c r="IM220" s="139"/>
      <c r="IN220" s="139"/>
      <c r="IO220" s="139"/>
      <c r="IP220" s="139"/>
      <c r="IQ220" s="139"/>
      <c r="IR220" s="139"/>
      <c r="IS220" s="139"/>
    </row>
    <row r="221" spans="2:257" x14ac:dyDescent="0.3">
      <c r="B221" s="139"/>
      <c r="C221" s="139"/>
      <c r="D221" s="139"/>
      <c r="E221" s="139"/>
      <c r="F221" s="139"/>
      <c r="G221" s="142"/>
      <c r="H221" s="139"/>
      <c r="I221" s="139"/>
      <c r="J221" s="142"/>
      <c r="K221" s="139"/>
      <c r="L221" s="10"/>
      <c r="M221" s="142"/>
      <c r="N221" s="139"/>
      <c r="O221" s="139"/>
      <c r="P221" s="142"/>
      <c r="Q221" s="142"/>
      <c r="R221" s="139"/>
      <c r="S221" s="142"/>
      <c r="T221" s="139"/>
      <c r="U221" s="139"/>
      <c r="V221" s="139"/>
      <c r="W221" s="139"/>
      <c r="X221" s="139"/>
      <c r="Y221" s="139"/>
      <c r="Z221" s="139"/>
      <c r="AA221" s="139"/>
      <c r="AB221" s="139"/>
      <c r="AC221" s="142"/>
      <c r="AD221" s="139"/>
      <c r="AE221" s="142"/>
      <c r="AF221" s="139"/>
      <c r="AG221" s="139"/>
      <c r="AH221" s="139"/>
      <c r="AI221" s="139"/>
      <c r="AJ221" s="139"/>
      <c r="AK221" s="139"/>
      <c r="AL221" s="139"/>
      <c r="AM221" s="139"/>
      <c r="AN221" s="139"/>
      <c r="AO221" s="139"/>
      <c r="AP221" s="139"/>
      <c r="AQ221" s="139"/>
      <c r="AR221" s="139"/>
      <c r="AS221" s="139"/>
      <c r="AT221" s="139"/>
      <c r="AU221" s="139"/>
      <c r="AV221" s="139"/>
      <c r="AW221" s="139"/>
      <c r="AX221" s="139"/>
      <c r="AY221" s="139"/>
      <c r="AZ221" s="139"/>
      <c r="BA221" s="139"/>
      <c r="BB221" s="139"/>
      <c r="BC221" s="139"/>
      <c r="BD221" s="139"/>
      <c r="BE221" s="139"/>
      <c r="BF221" s="139"/>
      <c r="BG221" s="139"/>
      <c r="BH221" s="139"/>
      <c r="BI221" s="139"/>
      <c r="BJ221" s="139"/>
      <c r="BK221" s="139"/>
      <c r="BL221" s="139"/>
      <c r="BM221" s="139"/>
      <c r="BN221" s="139"/>
      <c r="BO221" s="139"/>
      <c r="BP221" s="139"/>
      <c r="BQ221" s="139"/>
      <c r="BR221" s="139"/>
      <c r="BS221" s="139"/>
      <c r="BT221" s="139"/>
      <c r="BU221" s="139"/>
      <c r="BV221" s="139"/>
      <c r="BW221" s="139"/>
      <c r="BX221" s="139"/>
      <c r="BY221" s="139"/>
      <c r="BZ221" s="139"/>
      <c r="CA221" s="139"/>
      <c r="CB221" s="139"/>
      <c r="CC221" s="139"/>
      <c r="CD221" s="139"/>
      <c r="CE221" s="139"/>
      <c r="CF221" s="139"/>
      <c r="CG221" s="139"/>
      <c r="CH221" s="139"/>
      <c r="CI221" s="139"/>
      <c r="CJ221" s="139"/>
      <c r="CK221" s="139"/>
      <c r="CL221" s="139"/>
      <c r="CM221" s="139"/>
      <c r="CN221" s="139"/>
      <c r="CO221" s="139"/>
      <c r="CP221" s="139"/>
      <c r="CQ221" s="139"/>
      <c r="CR221" s="139"/>
      <c r="CS221" s="139"/>
      <c r="CT221" s="139"/>
      <c r="CU221" s="139"/>
      <c r="CV221" s="139"/>
      <c r="CW221" s="139"/>
      <c r="CX221" s="139"/>
      <c r="CY221" s="139"/>
      <c r="CZ221" s="139"/>
      <c r="DA221" s="139"/>
      <c r="DB221" s="139"/>
      <c r="DC221" s="139"/>
      <c r="DD221" s="139"/>
      <c r="DE221" s="139"/>
      <c r="DF221" s="139"/>
      <c r="DG221" s="139"/>
      <c r="DH221" s="139"/>
      <c r="DI221" s="139"/>
      <c r="DJ221" s="139"/>
      <c r="DK221" s="139"/>
      <c r="DL221" s="139"/>
      <c r="DM221" s="139"/>
      <c r="DN221" s="139"/>
      <c r="DO221" s="139"/>
      <c r="DP221" s="139"/>
      <c r="DQ221" s="139"/>
      <c r="DR221" s="139"/>
      <c r="DS221" s="139"/>
      <c r="DT221" s="139"/>
      <c r="DU221" s="139"/>
      <c r="DV221" s="139"/>
      <c r="DW221" s="139"/>
      <c r="DX221" s="139"/>
      <c r="DY221" s="139"/>
      <c r="DZ221" s="139"/>
      <c r="EA221" s="139"/>
      <c r="EB221" s="139"/>
      <c r="EC221" s="139"/>
      <c r="ED221" s="139"/>
      <c r="EE221" s="139"/>
      <c r="EF221" s="139"/>
      <c r="EG221" s="139"/>
      <c r="EH221" s="139"/>
      <c r="EI221" s="139"/>
      <c r="EJ221" s="139"/>
      <c r="EK221" s="139"/>
      <c r="EL221" s="139"/>
      <c r="EM221" s="139"/>
      <c r="EN221" s="139"/>
      <c r="EO221" s="139"/>
      <c r="EP221" s="139"/>
      <c r="EQ221" s="139"/>
      <c r="ER221" s="139"/>
      <c r="ES221" s="139"/>
      <c r="ET221" s="139"/>
      <c r="EU221" s="139"/>
      <c r="EV221" s="139"/>
      <c r="EW221" s="139"/>
      <c r="EX221" s="139"/>
      <c r="EY221" s="139"/>
      <c r="EZ221" s="139"/>
      <c r="FA221" s="139"/>
      <c r="FB221" s="139"/>
      <c r="FC221" s="139"/>
      <c r="FD221" s="139"/>
      <c r="FE221" s="139"/>
      <c r="FF221" s="139"/>
      <c r="FG221" s="139"/>
      <c r="FH221" s="139"/>
      <c r="FI221" s="139"/>
      <c r="FJ221" s="139"/>
      <c r="FK221" s="139"/>
      <c r="FL221" s="139"/>
      <c r="FM221" s="139"/>
      <c r="FN221" s="139"/>
      <c r="FO221" s="139"/>
      <c r="FP221" s="139"/>
      <c r="FQ221" s="139"/>
      <c r="FR221" s="139"/>
      <c r="FS221" s="139"/>
      <c r="FT221" s="139"/>
      <c r="FU221" s="139"/>
      <c r="FV221" s="139"/>
      <c r="FW221" s="139"/>
      <c r="FX221" s="139"/>
      <c r="FY221" s="139"/>
      <c r="FZ221" s="139"/>
      <c r="GA221" s="139"/>
      <c r="GB221" s="139"/>
      <c r="GC221" s="139"/>
      <c r="GD221" s="139"/>
      <c r="GE221" s="139"/>
      <c r="GF221" s="139"/>
      <c r="GG221" s="139"/>
      <c r="GH221" s="139"/>
      <c r="GI221" s="139"/>
      <c r="GJ221" s="139"/>
      <c r="GK221" s="139"/>
      <c r="GL221" s="139"/>
      <c r="GM221" s="139"/>
      <c r="GN221" s="139"/>
      <c r="GO221" s="139"/>
      <c r="GP221" s="139"/>
      <c r="GQ221" s="139"/>
      <c r="GR221" s="139"/>
      <c r="GS221" s="139"/>
      <c r="GT221" s="139"/>
      <c r="GU221" s="139"/>
      <c r="GV221" s="139"/>
      <c r="GW221" s="139"/>
      <c r="GX221" s="139"/>
      <c r="GY221" s="139"/>
      <c r="GZ221" s="139"/>
      <c r="HA221" s="139"/>
      <c r="HB221" s="139"/>
      <c r="HC221" s="139"/>
      <c r="HD221" s="139"/>
      <c r="HE221" s="139"/>
      <c r="HF221" s="139"/>
      <c r="HG221" s="139"/>
      <c r="HH221" s="139"/>
      <c r="HI221" s="139"/>
      <c r="HJ221" s="139"/>
      <c r="HK221" s="139"/>
      <c r="HL221" s="139"/>
      <c r="HM221" s="139"/>
      <c r="HN221" s="139"/>
      <c r="HO221" s="139"/>
      <c r="HP221" s="139"/>
      <c r="HQ221" s="139"/>
      <c r="HR221" s="139"/>
      <c r="HS221" s="139"/>
      <c r="HT221" s="139"/>
      <c r="HU221" s="139"/>
      <c r="HV221" s="139"/>
      <c r="HW221" s="139"/>
      <c r="HX221" s="139"/>
      <c r="HY221" s="139"/>
      <c r="HZ221" s="139"/>
      <c r="IA221" s="139"/>
      <c r="IB221" s="139"/>
      <c r="IC221" s="139"/>
      <c r="ID221" s="139"/>
      <c r="IE221" s="139"/>
      <c r="IF221" s="139"/>
      <c r="IG221" s="139"/>
      <c r="IH221" s="139"/>
      <c r="II221" s="139"/>
      <c r="IJ221" s="139"/>
      <c r="IK221" s="139"/>
      <c r="IL221" s="139"/>
      <c r="IM221" s="139"/>
      <c r="IN221" s="139"/>
      <c r="IO221" s="139"/>
      <c r="IP221" s="139"/>
      <c r="IQ221" s="139"/>
      <c r="IR221" s="139"/>
      <c r="IS221" s="139"/>
    </row>
    <row r="222" spans="2:257" ht="24.6" x14ac:dyDescent="0.3">
      <c r="B222" s="138" t="s">
        <v>359</v>
      </c>
      <c r="D222" s="139"/>
      <c r="E222" s="158"/>
      <c r="F222" s="158"/>
      <c r="G222" s="158"/>
      <c r="H222" s="158"/>
      <c r="I222" s="160"/>
      <c r="J222" s="160"/>
      <c r="K222" s="158"/>
      <c r="L222" s="517"/>
      <c r="M222" s="160"/>
      <c r="N222" s="160"/>
      <c r="O222" s="139"/>
      <c r="P222" s="139"/>
      <c r="Q222" s="139"/>
      <c r="R222" s="139"/>
      <c r="S222" s="139"/>
      <c r="T222" s="142"/>
      <c r="U222" s="139"/>
      <c r="V222" s="139"/>
      <c r="W222" s="139"/>
      <c r="X222" s="139"/>
      <c r="Y222" s="652"/>
      <c r="Z222" s="652"/>
      <c r="AA222" s="139"/>
      <c r="AB222" s="139"/>
      <c r="AC222" s="139"/>
      <c r="AD222" s="139"/>
      <c r="AE222" s="139"/>
      <c r="AF222" s="139"/>
      <c r="AG222" s="139"/>
      <c r="AH222" s="139"/>
      <c r="AI222" s="139"/>
      <c r="AJ222" s="139"/>
      <c r="AK222" s="139"/>
      <c r="AL222" s="139"/>
      <c r="AM222" s="139"/>
      <c r="AN222" s="139"/>
      <c r="AO222" s="139"/>
      <c r="AP222" s="139"/>
      <c r="AQ222" s="139"/>
      <c r="AR222" s="139"/>
      <c r="AS222" s="139"/>
      <c r="AT222" s="139"/>
      <c r="AU222" s="139"/>
      <c r="AV222" s="139"/>
      <c r="AW222" s="139"/>
      <c r="AX222" s="139"/>
      <c r="AY222" s="139"/>
      <c r="AZ222" s="139"/>
      <c r="BA222" s="139"/>
      <c r="BB222" s="139"/>
      <c r="BC222" s="139"/>
      <c r="BD222" s="139"/>
      <c r="BE222" s="139"/>
      <c r="BF222" s="139"/>
      <c r="BG222" s="139"/>
      <c r="BH222" s="139"/>
      <c r="BI222" s="139"/>
      <c r="BJ222" s="139"/>
      <c r="BK222" s="139"/>
      <c r="BL222" s="139"/>
      <c r="BM222" s="139"/>
      <c r="BN222" s="139"/>
      <c r="BO222" s="139"/>
      <c r="BP222" s="139"/>
      <c r="BQ222" s="139"/>
      <c r="BR222" s="139"/>
      <c r="BS222" s="139"/>
      <c r="BT222" s="139"/>
      <c r="BU222" s="139"/>
      <c r="BV222" s="139"/>
      <c r="BW222" s="139"/>
      <c r="BX222" s="139"/>
      <c r="BY222" s="139"/>
      <c r="BZ222" s="139"/>
      <c r="CA222" s="139"/>
      <c r="CB222" s="139"/>
      <c r="CC222" s="139"/>
      <c r="CD222" s="139"/>
      <c r="CE222" s="139"/>
      <c r="CF222" s="139"/>
      <c r="CG222" s="139"/>
      <c r="CH222" s="139"/>
      <c r="CI222" s="139"/>
      <c r="CJ222" s="139"/>
      <c r="CK222" s="139"/>
      <c r="CL222" s="139"/>
      <c r="CM222" s="139"/>
      <c r="CN222" s="139"/>
      <c r="CO222" s="139"/>
      <c r="CP222" s="139"/>
      <c r="CQ222" s="139"/>
      <c r="CR222" s="139"/>
      <c r="CS222" s="139"/>
      <c r="CT222" s="139"/>
      <c r="CU222" s="139"/>
      <c r="CV222" s="139"/>
      <c r="CW222" s="139"/>
      <c r="CX222" s="139"/>
      <c r="CY222" s="139"/>
      <c r="CZ222" s="139"/>
      <c r="DA222" s="139"/>
      <c r="DB222" s="139"/>
      <c r="DC222" s="139"/>
      <c r="DD222" s="139"/>
      <c r="DE222" s="139"/>
      <c r="DF222" s="139"/>
      <c r="DG222" s="139"/>
      <c r="DH222" s="139"/>
      <c r="DI222" s="139"/>
      <c r="DJ222" s="139"/>
      <c r="DK222" s="139"/>
      <c r="DL222" s="139"/>
      <c r="DM222" s="139"/>
      <c r="DN222" s="139"/>
      <c r="DO222" s="139"/>
      <c r="DP222" s="139"/>
      <c r="DQ222" s="139"/>
      <c r="DR222" s="139"/>
      <c r="DS222" s="139"/>
      <c r="DT222" s="139"/>
      <c r="DU222" s="139"/>
      <c r="DV222" s="139"/>
      <c r="DW222" s="139"/>
      <c r="DX222" s="139"/>
      <c r="DY222" s="139"/>
      <c r="DZ222" s="139"/>
      <c r="EA222" s="139"/>
      <c r="EB222" s="139"/>
      <c r="EC222" s="139"/>
      <c r="ED222" s="139"/>
      <c r="EE222" s="139"/>
      <c r="EF222" s="139"/>
      <c r="EG222" s="139"/>
      <c r="EH222" s="139"/>
      <c r="EI222" s="139"/>
      <c r="EJ222" s="139"/>
      <c r="EK222" s="139"/>
      <c r="EL222" s="139"/>
      <c r="EM222" s="139"/>
      <c r="EN222" s="139"/>
      <c r="EO222" s="139"/>
      <c r="EP222" s="139"/>
      <c r="EQ222" s="139"/>
      <c r="ER222" s="139"/>
      <c r="ES222" s="139"/>
      <c r="ET222" s="139"/>
      <c r="EU222" s="139"/>
      <c r="EV222" s="139"/>
      <c r="EW222" s="139"/>
      <c r="EX222" s="139"/>
      <c r="EY222" s="139"/>
      <c r="EZ222" s="139"/>
      <c r="FA222" s="139"/>
      <c r="FB222" s="139"/>
      <c r="FC222" s="139"/>
      <c r="FD222" s="139"/>
      <c r="FE222" s="139"/>
      <c r="FF222" s="139"/>
      <c r="FG222" s="139"/>
      <c r="FH222" s="139"/>
      <c r="FI222" s="139"/>
      <c r="FJ222" s="139"/>
      <c r="FK222" s="139"/>
      <c r="FL222" s="139"/>
      <c r="FM222" s="139"/>
      <c r="FN222" s="139"/>
      <c r="FO222" s="139"/>
      <c r="FP222" s="139"/>
      <c r="FQ222" s="139"/>
      <c r="FR222" s="139"/>
      <c r="FS222" s="139"/>
      <c r="FT222" s="139"/>
      <c r="FU222" s="139"/>
      <c r="FV222" s="139"/>
      <c r="FW222" s="139"/>
      <c r="FX222" s="139"/>
      <c r="FY222" s="139"/>
      <c r="FZ222" s="139"/>
      <c r="GA222" s="139"/>
      <c r="GB222" s="139"/>
      <c r="GC222" s="139"/>
      <c r="GD222" s="139"/>
      <c r="GE222" s="139"/>
      <c r="GF222" s="139"/>
      <c r="GG222" s="139"/>
      <c r="GH222" s="139"/>
      <c r="GI222" s="139"/>
      <c r="GJ222" s="139"/>
      <c r="GK222" s="139"/>
      <c r="GL222" s="139"/>
      <c r="GM222" s="139"/>
      <c r="GN222" s="139"/>
      <c r="GO222" s="139"/>
      <c r="GP222" s="139"/>
      <c r="GQ222" s="139"/>
      <c r="GR222" s="139"/>
      <c r="GS222" s="139"/>
      <c r="GT222" s="139"/>
      <c r="GU222" s="139"/>
      <c r="GV222" s="139"/>
      <c r="GW222" s="139"/>
      <c r="GX222" s="139"/>
      <c r="GY222" s="139"/>
      <c r="GZ222" s="139"/>
      <c r="HA222" s="139"/>
      <c r="HB222" s="139"/>
      <c r="HC222" s="139"/>
      <c r="HD222" s="139"/>
      <c r="HE222" s="139"/>
      <c r="HF222" s="139"/>
      <c r="HG222" s="139"/>
      <c r="HH222" s="139"/>
      <c r="HI222" s="139"/>
      <c r="HJ222" s="139"/>
      <c r="HK222" s="139"/>
      <c r="HL222" s="139"/>
      <c r="HM222" s="139"/>
      <c r="HN222" s="139"/>
      <c r="HO222" s="139"/>
      <c r="HP222" s="139"/>
      <c r="HQ222" s="139"/>
      <c r="HR222" s="139"/>
      <c r="HS222" s="139"/>
      <c r="HT222" s="139"/>
      <c r="HU222" s="139"/>
      <c r="HV222" s="139"/>
      <c r="HW222" s="139"/>
      <c r="HX222" s="139"/>
      <c r="HY222" s="139"/>
      <c r="HZ222" s="139"/>
      <c r="IA222" s="139"/>
      <c r="IB222" s="139"/>
      <c r="IC222" s="139"/>
      <c r="ID222" s="139"/>
      <c r="IE222" s="139"/>
      <c r="IF222" s="139"/>
      <c r="IG222" s="139"/>
      <c r="IH222" s="139"/>
      <c r="II222" s="139"/>
      <c r="IJ222" s="139"/>
      <c r="IK222" s="139"/>
      <c r="IL222" s="139"/>
      <c r="IM222" s="139"/>
      <c r="IN222" s="139"/>
      <c r="IO222" s="139"/>
      <c r="IP222" s="139"/>
      <c r="IQ222" s="139"/>
      <c r="IR222" s="139"/>
      <c r="IS222" s="139"/>
    </row>
    <row r="223" spans="2:257" ht="15" thickBot="1" x14ac:dyDescent="0.35">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139"/>
      <c r="AH223" s="139"/>
      <c r="AI223" s="139"/>
      <c r="AJ223" s="139"/>
      <c r="AK223" s="139"/>
      <c r="AL223" s="139"/>
      <c r="AM223" s="139"/>
      <c r="AN223" s="139"/>
      <c r="AO223" s="139"/>
      <c r="AP223" s="139"/>
      <c r="AQ223" s="139"/>
      <c r="AR223" s="139"/>
      <c r="AS223" s="139"/>
      <c r="AT223" s="139"/>
      <c r="AU223" s="139"/>
      <c r="AV223" s="139"/>
      <c r="AW223" s="139"/>
      <c r="AX223" s="139"/>
      <c r="AY223" s="139"/>
      <c r="AZ223" s="139"/>
      <c r="BA223" s="139"/>
      <c r="BB223" s="139"/>
      <c r="BC223" s="139"/>
      <c r="BD223" s="139"/>
      <c r="BE223" s="139"/>
      <c r="BF223" s="139"/>
      <c r="BG223" s="139"/>
      <c r="BH223" s="139"/>
      <c r="BI223" s="139"/>
      <c r="BJ223" s="139"/>
      <c r="BK223" s="139"/>
      <c r="BL223" s="139"/>
      <c r="BM223" s="139"/>
      <c r="BN223" s="139"/>
      <c r="BO223" s="139"/>
      <c r="BP223" s="139"/>
      <c r="BQ223" s="139"/>
      <c r="BR223" s="139"/>
      <c r="BS223" s="139"/>
      <c r="BT223" s="139"/>
      <c r="BU223" s="139"/>
      <c r="BV223" s="139"/>
      <c r="BW223" s="139"/>
      <c r="BX223" s="139"/>
      <c r="BY223" s="139"/>
      <c r="BZ223" s="139"/>
      <c r="CA223" s="139"/>
      <c r="CB223" s="139"/>
      <c r="CC223" s="139"/>
      <c r="CD223" s="139"/>
      <c r="CE223" s="139"/>
      <c r="CF223" s="139"/>
      <c r="CG223" s="139"/>
      <c r="CH223" s="139"/>
      <c r="CI223" s="139"/>
      <c r="CJ223" s="139"/>
      <c r="CK223" s="139"/>
      <c r="CL223" s="139"/>
      <c r="CM223" s="139"/>
      <c r="CN223" s="139"/>
      <c r="CO223" s="139"/>
      <c r="CP223" s="139"/>
      <c r="CQ223" s="139"/>
      <c r="CR223" s="139"/>
      <c r="CS223" s="139"/>
      <c r="CT223" s="139"/>
      <c r="CU223" s="139"/>
      <c r="CV223" s="139"/>
      <c r="CW223" s="139"/>
      <c r="CX223" s="139"/>
      <c r="CY223" s="139"/>
      <c r="CZ223" s="139"/>
      <c r="DA223" s="139"/>
      <c r="DB223" s="139"/>
      <c r="DC223" s="139"/>
      <c r="DD223" s="139"/>
      <c r="DE223" s="139"/>
      <c r="DF223" s="139"/>
      <c r="DG223" s="139"/>
      <c r="DH223" s="139"/>
      <c r="DI223" s="139"/>
      <c r="DJ223" s="139"/>
      <c r="DK223" s="139"/>
      <c r="DL223" s="139"/>
      <c r="DM223" s="139"/>
      <c r="DN223" s="139"/>
      <c r="DO223" s="139"/>
      <c r="DP223" s="139"/>
      <c r="DQ223" s="139"/>
      <c r="DR223" s="139"/>
      <c r="DS223" s="139"/>
      <c r="DT223" s="139"/>
      <c r="DU223" s="139"/>
      <c r="DV223" s="139"/>
      <c r="DW223" s="139"/>
      <c r="DX223" s="139"/>
      <c r="DY223" s="139"/>
      <c r="DZ223" s="139"/>
      <c r="EA223" s="139"/>
      <c r="EB223" s="139"/>
      <c r="EC223" s="139"/>
      <c r="ED223" s="139"/>
      <c r="EE223" s="139"/>
      <c r="EF223" s="139"/>
      <c r="EG223" s="139"/>
      <c r="EH223" s="139"/>
      <c r="EI223" s="139"/>
      <c r="EJ223" s="139"/>
      <c r="EK223" s="139"/>
      <c r="EL223" s="139"/>
      <c r="EM223" s="139"/>
      <c r="EN223" s="139"/>
      <c r="EO223" s="139"/>
      <c r="EP223" s="139"/>
      <c r="EQ223" s="139"/>
      <c r="ER223" s="139"/>
      <c r="ES223" s="139"/>
      <c r="ET223" s="139"/>
      <c r="EU223" s="139"/>
      <c r="EV223" s="139"/>
      <c r="EW223" s="139"/>
      <c r="EX223" s="139"/>
      <c r="EY223" s="139"/>
      <c r="EZ223" s="139"/>
      <c r="FA223" s="139"/>
      <c r="FB223" s="139"/>
      <c r="FC223" s="139"/>
      <c r="FD223" s="139"/>
      <c r="FE223" s="139"/>
      <c r="FF223" s="139"/>
      <c r="FG223" s="139"/>
      <c r="FH223" s="139"/>
      <c r="FI223" s="139"/>
      <c r="FJ223" s="139"/>
      <c r="FK223" s="139"/>
      <c r="FL223" s="139"/>
      <c r="FM223" s="139"/>
      <c r="FN223" s="139"/>
      <c r="FO223" s="139"/>
      <c r="FP223" s="139"/>
      <c r="FQ223" s="139"/>
      <c r="FR223" s="139"/>
      <c r="FS223" s="139"/>
      <c r="FT223" s="139"/>
      <c r="FU223" s="139"/>
      <c r="FV223" s="139"/>
      <c r="FW223" s="139"/>
      <c r="FX223" s="139"/>
      <c r="FY223" s="139"/>
      <c r="FZ223" s="139"/>
      <c r="GA223" s="139"/>
      <c r="GB223" s="139"/>
      <c r="GC223" s="139"/>
      <c r="GD223" s="139"/>
      <c r="GE223" s="139"/>
      <c r="GF223" s="139"/>
      <c r="GG223" s="139"/>
      <c r="GH223" s="139"/>
      <c r="GI223" s="139"/>
      <c r="GJ223" s="139"/>
      <c r="GK223" s="139"/>
      <c r="GL223" s="139"/>
      <c r="GM223" s="139"/>
      <c r="GN223" s="139"/>
      <c r="GO223" s="139"/>
      <c r="GP223" s="139"/>
      <c r="GQ223" s="139"/>
      <c r="GR223" s="139"/>
      <c r="GS223" s="139"/>
      <c r="GT223" s="139"/>
      <c r="GU223" s="139"/>
      <c r="GV223" s="139"/>
      <c r="GW223" s="139"/>
      <c r="GX223" s="139"/>
      <c r="GY223" s="139"/>
      <c r="GZ223" s="139"/>
      <c r="HA223" s="139"/>
      <c r="HB223" s="139"/>
      <c r="HC223" s="139"/>
      <c r="HD223" s="139"/>
      <c r="HE223" s="139"/>
      <c r="HF223" s="139"/>
      <c r="HG223" s="139"/>
      <c r="HH223" s="139"/>
      <c r="HI223" s="139"/>
      <c r="HJ223" s="139"/>
      <c r="HK223" s="139"/>
      <c r="HL223" s="139"/>
      <c r="HM223" s="139"/>
      <c r="HN223" s="139"/>
      <c r="HO223" s="139"/>
      <c r="HP223" s="139"/>
      <c r="HQ223" s="139"/>
      <c r="HR223" s="139"/>
      <c r="HS223" s="139"/>
      <c r="HT223" s="139"/>
      <c r="HU223" s="139"/>
      <c r="HV223" s="139"/>
      <c r="HW223" s="139"/>
      <c r="HX223" s="139"/>
      <c r="HY223" s="139"/>
      <c r="HZ223" s="139"/>
      <c r="IA223" s="139"/>
      <c r="IB223" s="139"/>
      <c r="IC223" s="139"/>
      <c r="ID223" s="139"/>
      <c r="IE223" s="139"/>
      <c r="IF223" s="139"/>
      <c r="IG223" s="139"/>
      <c r="IH223" s="139"/>
      <c r="II223" s="139"/>
      <c r="IJ223" s="139"/>
      <c r="IK223" s="139"/>
      <c r="IL223" s="139"/>
      <c r="IM223" s="139"/>
      <c r="IN223" s="139"/>
      <c r="IO223" s="139"/>
      <c r="IP223" s="139"/>
      <c r="IQ223" s="139"/>
      <c r="IR223" s="139"/>
      <c r="IS223" s="139"/>
    </row>
    <row r="224" spans="2:257" x14ac:dyDescent="0.3">
      <c r="B224" s="1332" t="s">
        <v>199</v>
      </c>
      <c r="C224" s="1335" t="s">
        <v>200</v>
      </c>
      <c r="D224" s="1317" t="s">
        <v>360</v>
      </c>
      <c r="E224" s="1318"/>
      <c r="F224" s="1318"/>
      <c r="G224" s="1318"/>
      <c r="H224" s="1318"/>
      <c r="I224" s="1318"/>
      <c r="J224" s="1318"/>
      <c r="K224" s="1319"/>
      <c r="L224" s="1364" t="s">
        <v>96</v>
      </c>
      <c r="M224" s="1365"/>
      <c r="N224" s="1365"/>
      <c r="O224" s="1366"/>
      <c r="P224" s="1359" t="s">
        <v>361</v>
      </c>
      <c r="Q224" s="1318"/>
      <c r="R224" s="1318"/>
      <c r="S224" s="1318"/>
      <c r="T224" s="1318"/>
      <c r="U224" s="1318"/>
      <c r="V224" s="1318"/>
      <c r="W224" s="1360"/>
      <c r="X224" s="503" t="s">
        <v>96</v>
      </c>
      <c r="Y224" s="504"/>
      <c r="Z224" s="504"/>
      <c r="AA224" s="505"/>
      <c r="AB224" s="139"/>
      <c r="AC224" s="139"/>
      <c r="AD224" s="139"/>
      <c r="AE224" s="139"/>
      <c r="AF224" s="139"/>
      <c r="AG224" s="139"/>
      <c r="AH224" s="139"/>
      <c r="AI224" s="139"/>
      <c r="AJ224" s="139"/>
      <c r="AK224" s="139"/>
      <c r="AL224" s="139"/>
      <c r="AM224" s="139"/>
      <c r="AN224" s="139"/>
      <c r="AO224" s="139"/>
      <c r="AP224" s="139"/>
      <c r="AQ224" s="139"/>
      <c r="AR224" s="139"/>
      <c r="AS224" s="139"/>
      <c r="AT224" s="139"/>
      <c r="AU224" s="139"/>
      <c r="AV224" s="139"/>
      <c r="AW224" s="139"/>
      <c r="AX224" s="139"/>
      <c r="AY224" s="139"/>
      <c r="AZ224" s="139"/>
      <c r="BA224" s="139"/>
      <c r="BB224" s="139"/>
      <c r="BC224" s="139"/>
      <c r="BD224" s="139"/>
      <c r="BE224" s="139"/>
      <c r="BF224" s="139"/>
      <c r="BG224" s="139"/>
      <c r="BH224" s="139"/>
      <c r="BI224" s="139"/>
      <c r="BJ224" s="139"/>
      <c r="BK224" s="139"/>
      <c r="BL224" s="139"/>
      <c r="BM224" s="139"/>
      <c r="BN224" s="139"/>
      <c r="BO224" s="139"/>
      <c r="BP224" s="139"/>
      <c r="BQ224" s="139"/>
      <c r="BR224" s="139"/>
      <c r="BS224" s="139"/>
      <c r="BT224" s="139"/>
      <c r="BU224" s="139"/>
      <c r="BV224" s="139"/>
      <c r="BW224" s="139"/>
      <c r="BX224" s="139"/>
      <c r="BY224" s="139"/>
      <c r="BZ224" s="139"/>
      <c r="CA224" s="139"/>
      <c r="CB224" s="139"/>
      <c r="CC224" s="139"/>
      <c r="CD224" s="139"/>
      <c r="CE224" s="139"/>
      <c r="CF224" s="139"/>
      <c r="CG224" s="139"/>
      <c r="CH224" s="139"/>
      <c r="CI224" s="139"/>
      <c r="CJ224" s="139"/>
      <c r="CK224" s="139"/>
      <c r="CL224" s="139"/>
      <c r="CM224" s="139"/>
      <c r="CN224" s="139"/>
      <c r="CO224" s="139"/>
      <c r="CP224" s="139"/>
      <c r="CQ224" s="139"/>
      <c r="CR224" s="139"/>
      <c r="CS224" s="139"/>
      <c r="CT224" s="139"/>
      <c r="CU224" s="139"/>
      <c r="CV224" s="139"/>
      <c r="CW224" s="139"/>
      <c r="CX224" s="139"/>
      <c r="CY224" s="139"/>
      <c r="CZ224" s="139"/>
      <c r="DA224" s="139"/>
      <c r="DB224" s="139"/>
      <c r="DC224" s="139"/>
      <c r="DD224" s="139"/>
      <c r="DE224" s="139"/>
      <c r="DF224" s="139"/>
      <c r="DG224" s="139"/>
      <c r="DH224" s="139"/>
      <c r="DI224" s="139"/>
      <c r="DJ224" s="139"/>
      <c r="DK224" s="139"/>
      <c r="DL224" s="139"/>
      <c r="DM224" s="139"/>
      <c r="DN224" s="139"/>
      <c r="DO224" s="139"/>
      <c r="DP224" s="139"/>
      <c r="DQ224" s="139"/>
      <c r="DR224" s="139"/>
      <c r="DS224" s="139"/>
      <c r="DT224" s="139"/>
      <c r="DU224" s="139"/>
      <c r="DV224" s="139"/>
      <c r="DW224" s="139"/>
      <c r="DX224" s="139"/>
      <c r="DY224" s="139"/>
      <c r="DZ224" s="139"/>
      <c r="EA224" s="139"/>
      <c r="EB224" s="139"/>
      <c r="EC224" s="139"/>
      <c r="ED224" s="139"/>
      <c r="EE224" s="139"/>
      <c r="EF224" s="139"/>
      <c r="EG224" s="139"/>
      <c r="EH224" s="139"/>
      <c r="EI224" s="139"/>
      <c r="EJ224" s="139"/>
      <c r="EK224" s="139"/>
      <c r="EL224" s="139"/>
      <c r="EM224" s="139"/>
      <c r="EN224" s="139"/>
      <c r="EO224" s="139"/>
      <c r="EP224" s="139"/>
      <c r="EQ224" s="139"/>
      <c r="ER224" s="139"/>
      <c r="ES224" s="139"/>
      <c r="ET224" s="139"/>
      <c r="EU224" s="139"/>
      <c r="EV224" s="139"/>
      <c r="EW224" s="139"/>
      <c r="EX224" s="139"/>
      <c r="EY224" s="139"/>
      <c r="EZ224" s="139"/>
      <c r="FA224" s="139"/>
      <c r="FB224" s="139"/>
      <c r="FC224" s="139"/>
      <c r="FD224" s="139"/>
      <c r="FE224" s="139"/>
      <c r="FF224" s="139"/>
      <c r="FG224" s="139"/>
      <c r="FH224" s="139"/>
      <c r="FI224" s="139"/>
      <c r="FJ224" s="139"/>
      <c r="FK224" s="139"/>
      <c r="FL224" s="139"/>
      <c r="FM224" s="139"/>
      <c r="FN224" s="139"/>
      <c r="FO224" s="139"/>
      <c r="FP224" s="139"/>
      <c r="FQ224" s="139"/>
      <c r="FR224" s="139"/>
      <c r="FS224" s="139"/>
      <c r="FT224" s="139"/>
      <c r="FU224" s="139"/>
      <c r="FV224" s="139"/>
      <c r="FW224" s="139"/>
      <c r="FX224" s="139"/>
      <c r="FY224" s="139"/>
      <c r="FZ224" s="139"/>
      <c r="GA224" s="139"/>
      <c r="GB224" s="139"/>
      <c r="GC224" s="139"/>
      <c r="GD224" s="139"/>
      <c r="GE224" s="139"/>
      <c r="GF224" s="139"/>
      <c r="GG224" s="139"/>
      <c r="GH224" s="139"/>
      <c r="GI224" s="139"/>
      <c r="GJ224" s="139"/>
      <c r="GK224" s="139"/>
      <c r="GL224" s="139"/>
      <c r="GM224" s="139"/>
      <c r="GN224" s="139"/>
      <c r="GO224" s="139"/>
      <c r="GP224" s="139"/>
      <c r="GQ224" s="139"/>
      <c r="GR224" s="139"/>
      <c r="GS224" s="139"/>
      <c r="GT224" s="139"/>
      <c r="GU224" s="139"/>
      <c r="GV224" s="139"/>
      <c r="GW224" s="139"/>
      <c r="GX224" s="139"/>
      <c r="GY224" s="139"/>
      <c r="GZ224" s="139"/>
      <c r="HA224" s="139"/>
      <c r="HB224" s="139"/>
      <c r="HC224" s="139"/>
      <c r="HD224" s="139"/>
      <c r="HE224" s="139"/>
      <c r="HF224" s="139"/>
      <c r="HG224" s="139"/>
      <c r="HH224" s="139"/>
      <c r="HI224" s="139"/>
      <c r="HJ224" s="139"/>
      <c r="HK224" s="139"/>
      <c r="HL224" s="139"/>
      <c r="HM224" s="139"/>
      <c r="HN224" s="139"/>
      <c r="HO224" s="139"/>
      <c r="HP224" s="139"/>
      <c r="HQ224" s="139"/>
      <c r="HR224" s="139"/>
      <c r="HS224" s="139"/>
      <c r="HT224" s="139"/>
      <c r="HU224" s="139"/>
      <c r="HV224" s="139"/>
      <c r="HW224" s="139"/>
      <c r="HX224" s="139"/>
      <c r="HY224" s="139"/>
      <c r="HZ224" s="139"/>
      <c r="IA224" s="139"/>
      <c r="IB224" s="139"/>
      <c r="IC224" s="139"/>
      <c r="ID224" s="139"/>
      <c r="IE224" s="139"/>
      <c r="IF224" s="139"/>
      <c r="IG224" s="139"/>
      <c r="IH224" s="139"/>
      <c r="II224" s="139"/>
      <c r="IJ224" s="139"/>
      <c r="IK224" s="139"/>
      <c r="IL224" s="139"/>
      <c r="IM224" s="139"/>
      <c r="IN224" s="139"/>
      <c r="IO224" s="139"/>
      <c r="IP224" s="139"/>
      <c r="IQ224" s="139"/>
      <c r="IR224" s="139"/>
      <c r="IS224" s="139"/>
      <c r="IT224" s="139"/>
      <c r="IU224" s="139"/>
      <c r="IV224" s="139"/>
      <c r="IW224" s="139"/>
    </row>
    <row r="225" spans="2:257" x14ac:dyDescent="0.3">
      <c r="B225" s="1333"/>
      <c r="C225" s="1336"/>
      <c r="D225" s="983" t="s">
        <v>362</v>
      </c>
      <c r="E225" s="983" t="s">
        <v>363</v>
      </c>
      <c r="F225" s="983" t="s">
        <v>364</v>
      </c>
      <c r="G225" s="983" t="s">
        <v>365</v>
      </c>
      <c r="H225" s="983" t="s">
        <v>366</v>
      </c>
      <c r="I225" s="983" t="s">
        <v>367</v>
      </c>
      <c r="J225" s="983" t="s">
        <v>368</v>
      </c>
      <c r="K225" s="689" t="s">
        <v>369</v>
      </c>
      <c r="L225" s="1361" t="s">
        <v>370</v>
      </c>
      <c r="M225" s="1362"/>
      <c r="N225" s="1362"/>
      <c r="O225" s="1363"/>
      <c r="P225" s="984" t="s">
        <v>371</v>
      </c>
      <c r="Q225" s="946" t="s">
        <v>363</v>
      </c>
      <c r="R225" s="690" t="s">
        <v>364</v>
      </c>
      <c r="S225" s="690" t="s">
        <v>365</v>
      </c>
      <c r="T225" s="983" t="s">
        <v>366</v>
      </c>
      <c r="U225" s="689" t="s">
        <v>372</v>
      </c>
      <c r="V225" s="947" t="s">
        <v>373</v>
      </c>
      <c r="W225" s="985" t="s">
        <v>374</v>
      </c>
      <c r="X225" s="986" t="s">
        <v>375</v>
      </c>
      <c r="Y225" s="985"/>
      <c r="Z225" s="985"/>
      <c r="AA225" s="987"/>
      <c r="AB225" s="139"/>
      <c r="AC225" s="139"/>
      <c r="AD225" s="139"/>
      <c r="AE225" s="139"/>
      <c r="AF225" s="139"/>
      <c r="AG225" s="139"/>
      <c r="AH225" s="139"/>
      <c r="AI225" s="139"/>
      <c r="AJ225" s="139"/>
      <c r="AK225" s="139"/>
      <c r="AL225" s="139"/>
      <c r="AM225" s="139"/>
      <c r="AN225" s="139"/>
      <c r="AO225" s="139"/>
      <c r="AP225" s="139"/>
      <c r="AQ225" s="139"/>
      <c r="AR225" s="139"/>
      <c r="AS225" s="139"/>
      <c r="AT225" s="139"/>
      <c r="AU225" s="139"/>
      <c r="AV225" s="139"/>
      <c r="AW225" s="139"/>
      <c r="AX225" s="139"/>
      <c r="AY225" s="139"/>
      <c r="AZ225" s="139"/>
      <c r="BA225" s="139"/>
      <c r="BB225" s="139"/>
      <c r="BC225" s="139"/>
      <c r="BD225" s="139"/>
      <c r="BE225" s="139"/>
      <c r="BF225" s="139"/>
      <c r="BG225" s="139"/>
      <c r="BH225" s="139"/>
      <c r="BI225" s="139"/>
      <c r="BJ225" s="139"/>
      <c r="BK225" s="139"/>
      <c r="BL225" s="139"/>
      <c r="BM225" s="139"/>
      <c r="BN225" s="139"/>
      <c r="BO225" s="139"/>
      <c r="BP225" s="139"/>
      <c r="BQ225" s="139"/>
      <c r="BR225" s="139"/>
      <c r="BS225" s="139"/>
      <c r="BT225" s="139"/>
      <c r="BU225" s="139"/>
      <c r="BV225" s="139"/>
      <c r="BW225" s="139"/>
      <c r="BX225" s="139"/>
      <c r="BY225" s="139"/>
      <c r="BZ225" s="139"/>
      <c r="CA225" s="139"/>
      <c r="CB225" s="139"/>
      <c r="CC225" s="139"/>
      <c r="CD225" s="139"/>
      <c r="CE225" s="139"/>
      <c r="CF225" s="139"/>
      <c r="CG225" s="139"/>
      <c r="CH225" s="139"/>
      <c r="CI225" s="139"/>
      <c r="CJ225" s="139"/>
      <c r="CK225" s="139"/>
      <c r="CL225" s="139"/>
      <c r="CM225" s="139"/>
      <c r="CN225" s="139"/>
      <c r="CO225" s="139"/>
      <c r="CP225" s="139"/>
      <c r="CQ225" s="139"/>
      <c r="CR225" s="139"/>
      <c r="CS225" s="139"/>
      <c r="CT225" s="139"/>
      <c r="CU225" s="139"/>
      <c r="CV225" s="139"/>
      <c r="CW225" s="139"/>
      <c r="CX225" s="139"/>
      <c r="CY225" s="139"/>
      <c r="CZ225" s="139"/>
      <c r="DA225" s="139"/>
      <c r="DB225" s="139"/>
      <c r="DC225" s="139"/>
      <c r="DD225" s="139"/>
      <c r="DE225" s="139"/>
      <c r="DF225" s="139"/>
      <c r="DG225" s="139"/>
      <c r="DH225" s="139"/>
      <c r="DI225" s="139"/>
      <c r="DJ225" s="139"/>
      <c r="DK225" s="139"/>
      <c r="DL225" s="139"/>
      <c r="DM225" s="139"/>
      <c r="DN225" s="139"/>
      <c r="DO225" s="139"/>
      <c r="DP225" s="139"/>
      <c r="DQ225" s="139"/>
      <c r="DR225" s="139"/>
      <c r="DS225" s="139"/>
      <c r="DT225" s="139"/>
      <c r="DU225" s="139"/>
      <c r="DV225" s="139"/>
      <c r="DW225" s="139"/>
      <c r="DX225" s="139"/>
      <c r="DY225" s="139"/>
      <c r="DZ225" s="139"/>
      <c r="EA225" s="139"/>
      <c r="EB225" s="139"/>
      <c r="EC225" s="139"/>
      <c r="ED225" s="139"/>
      <c r="EE225" s="139"/>
      <c r="EF225" s="139"/>
      <c r="EG225" s="139"/>
      <c r="EH225" s="139"/>
      <c r="EI225" s="139"/>
      <c r="EJ225" s="139"/>
      <c r="EK225" s="139"/>
      <c r="EL225" s="139"/>
      <c r="EM225" s="139"/>
      <c r="EN225" s="139"/>
      <c r="EO225" s="139"/>
      <c r="EP225" s="139"/>
      <c r="EQ225" s="139"/>
      <c r="ER225" s="139"/>
      <c r="ES225" s="139"/>
      <c r="ET225" s="139"/>
      <c r="EU225" s="139"/>
      <c r="EV225" s="139"/>
      <c r="EW225" s="139"/>
      <c r="EX225" s="139"/>
      <c r="EY225" s="139"/>
      <c r="EZ225" s="139"/>
      <c r="FA225" s="139"/>
      <c r="FB225" s="139"/>
      <c r="FC225" s="139"/>
      <c r="FD225" s="139"/>
      <c r="FE225" s="139"/>
      <c r="FF225" s="139"/>
      <c r="FG225" s="139"/>
      <c r="FH225" s="139"/>
      <c r="FI225" s="139"/>
      <c r="FJ225" s="139"/>
      <c r="FK225" s="139"/>
      <c r="FL225" s="139"/>
      <c r="FM225" s="139"/>
      <c r="FN225" s="139"/>
      <c r="FO225" s="139"/>
      <c r="FP225" s="139"/>
      <c r="FQ225" s="139"/>
      <c r="FR225" s="139"/>
      <c r="FS225" s="139"/>
      <c r="FT225" s="139"/>
      <c r="FU225" s="139"/>
      <c r="FV225" s="139"/>
      <c r="FW225" s="139"/>
      <c r="FX225" s="139"/>
      <c r="FY225" s="139"/>
      <c r="FZ225" s="139"/>
      <c r="GA225" s="139"/>
      <c r="GB225" s="139"/>
      <c r="GC225" s="139"/>
      <c r="GD225" s="139"/>
      <c r="GE225" s="139"/>
      <c r="GF225" s="139"/>
      <c r="GG225" s="139"/>
      <c r="GH225" s="139"/>
      <c r="GI225" s="139"/>
      <c r="GJ225" s="139"/>
      <c r="GK225" s="139"/>
      <c r="GL225" s="139"/>
      <c r="GM225" s="139"/>
      <c r="GN225" s="139"/>
      <c r="GO225" s="139"/>
      <c r="GP225" s="139"/>
      <c r="GQ225" s="139"/>
      <c r="GR225" s="139"/>
      <c r="GS225" s="139"/>
      <c r="GT225" s="139"/>
      <c r="GU225" s="139"/>
      <c r="GV225" s="139"/>
      <c r="GW225" s="139"/>
      <c r="GX225" s="139"/>
      <c r="GY225" s="139"/>
      <c r="GZ225" s="139"/>
      <c r="HA225" s="139"/>
      <c r="HB225" s="139"/>
      <c r="HC225" s="139"/>
      <c r="HD225" s="139"/>
      <c r="HE225" s="139"/>
      <c r="HF225" s="139"/>
      <c r="HG225" s="139"/>
      <c r="HH225" s="139"/>
      <c r="HI225" s="139"/>
      <c r="HJ225" s="139"/>
      <c r="HK225" s="139"/>
      <c r="HL225" s="139"/>
      <c r="HM225" s="139"/>
      <c r="HN225" s="139"/>
      <c r="HO225" s="139"/>
      <c r="HP225" s="139"/>
      <c r="HQ225" s="139"/>
      <c r="HR225" s="139"/>
      <c r="HS225" s="139"/>
      <c r="HT225" s="139"/>
      <c r="HU225" s="139"/>
      <c r="HV225" s="139"/>
      <c r="HW225" s="139"/>
      <c r="HX225" s="139"/>
      <c r="HY225" s="139"/>
      <c r="HZ225" s="139"/>
      <c r="IA225" s="139"/>
      <c r="IB225" s="139"/>
      <c r="IC225" s="139"/>
      <c r="ID225" s="139"/>
      <c r="IE225" s="139"/>
      <c r="IF225" s="139"/>
      <c r="IG225" s="139"/>
      <c r="IH225" s="139"/>
      <c r="II225" s="139"/>
      <c r="IJ225" s="139"/>
      <c r="IK225" s="139"/>
      <c r="IL225" s="139"/>
      <c r="IM225" s="139"/>
      <c r="IN225" s="139"/>
      <c r="IO225" s="139"/>
      <c r="IP225" s="139"/>
      <c r="IQ225" s="139"/>
      <c r="IR225" s="139"/>
      <c r="IS225" s="139"/>
      <c r="IT225" s="139"/>
      <c r="IU225" s="139"/>
      <c r="IV225" s="139"/>
      <c r="IW225" s="139"/>
    </row>
    <row r="226" spans="2:257" ht="15.6" thickBot="1" x14ac:dyDescent="0.35">
      <c r="B226" s="1334"/>
      <c r="C226" s="1337"/>
      <c r="D226" s="965" t="s">
        <v>341</v>
      </c>
      <c r="E226" s="965" t="s">
        <v>341</v>
      </c>
      <c r="F226" s="965" t="s">
        <v>376</v>
      </c>
      <c r="G226" s="965" t="s">
        <v>376</v>
      </c>
      <c r="H226" s="965" t="s">
        <v>376</v>
      </c>
      <c r="I226" s="965" t="s">
        <v>376</v>
      </c>
      <c r="J226" s="965" t="s">
        <v>376</v>
      </c>
      <c r="K226" s="988" t="s">
        <v>376</v>
      </c>
      <c r="L226" s="989" t="s">
        <v>376</v>
      </c>
      <c r="M226" s="990" t="s">
        <v>377</v>
      </c>
      <c r="N226" s="948" t="s">
        <v>378</v>
      </c>
      <c r="O226" s="991" t="s">
        <v>358</v>
      </c>
      <c r="P226" s="990" t="s">
        <v>341</v>
      </c>
      <c r="Q226" s="990" t="s">
        <v>341</v>
      </c>
      <c r="R226" s="990" t="s">
        <v>341</v>
      </c>
      <c r="S226" s="990" t="s">
        <v>288</v>
      </c>
      <c r="T226" s="965" t="s">
        <v>288</v>
      </c>
      <c r="U226" s="965" t="s">
        <v>288</v>
      </c>
      <c r="V226" s="965" t="s">
        <v>288</v>
      </c>
      <c r="W226" s="990" t="s">
        <v>288</v>
      </c>
      <c r="X226" s="992" t="s">
        <v>341</v>
      </c>
      <c r="Y226" s="965" t="s">
        <v>289</v>
      </c>
      <c r="Z226" s="965" t="s">
        <v>290</v>
      </c>
      <c r="AA226" s="991" t="s">
        <v>358</v>
      </c>
      <c r="AB226" s="160"/>
      <c r="AC226" s="139"/>
      <c r="AD226" s="139"/>
      <c r="AE226" s="139"/>
      <c r="AF226" s="139"/>
      <c r="AG226" s="139"/>
      <c r="AH226" s="139"/>
      <c r="AI226" s="139"/>
      <c r="AJ226" s="139"/>
      <c r="AK226" s="139"/>
      <c r="AL226" s="139"/>
      <c r="AM226" s="139"/>
      <c r="AN226" s="139"/>
      <c r="AO226" s="139"/>
      <c r="AP226" s="139"/>
      <c r="AQ226" s="139"/>
      <c r="AR226" s="139"/>
      <c r="AS226" s="139"/>
      <c r="AT226" s="139"/>
      <c r="AU226" s="139"/>
      <c r="AV226" s="139"/>
      <c r="AW226" s="139"/>
      <c r="AX226" s="139"/>
      <c r="AY226" s="139"/>
      <c r="AZ226" s="139"/>
      <c r="BA226" s="139"/>
      <c r="BB226" s="139"/>
      <c r="BC226" s="139"/>
      <c r="BD226" s="139"/>
      <c r="BE226" s="139"/>
      <c r="BF226" s="139"/>
      <c r="BG226" s="139"/>
      <c r="BH226" s="139"/>
      <c r="BI226" s="139"/>
      <c r="BJ226" s="139"/>
      <c r="BK226" s="139"/>
      <c r="BL226" s="139"/>
      <c r="BM226" s="139"/>
      <c r="BN226" s="139"/>
      <c r="BO226" s="139"/>
      <c r="BP226" s="139"/>
      <c r="BQ226" s="139"/>
      <c r="BR226" s="139"/>
      <c r="BS226" s="139"/>
      <c r="BT226" s="139"/>
      <c r="BU226" s="139"/>
      <c r="BV226" s="139"/>
      <c r="BW226" s="139"/>
      <c r="BX226" s="139"/>
      <c r="BY226" s="139"/>
      <c r="BZ226" s="139"/>
      <c r="CA226" s="139"/>
      <c r="CB226" s="139"/>
      <c r="CC226" s="139"/>
      <c r="CD226" s="139"/>
      <c r="CE226" s="139"/>
      <c r="CF226" s="139"/>
      <c r="CG226" s="139"/>
      <c r="CH226" s="139"/>
      <c r="CI226" s="139"/>
      <c r="CJ226" s="139"/>
      <c r="CK226" s="139"/>
      <c r="CL226" s="139"/>
      <c r="CM226" s="139"/>
      <c r="CN226" s="139"/>
      <c r="CO226" s="139"/>
      <c r="CP226" s="139"/>
      <c r="CQ226" s="139"/>
      <c r="CR226" s="139"/>
      <c r="CS226" s="139"/>
      <c r="CT226" s="139"/>
      <c r="CU226" s="139"/>
      <c r="CV226" s="139"/>
      <c r="CW226" s="139"/>
      <c r="CX226" s="139"/>
      <c r="CY226" s="139"/>
      <c r="CZ226" s="139"/>
      <c r="DA226" s="139"/>
      <c r="DB226" s="139"/>
      <c r="DC226" s="139"/>
      <c r="DD226" s="139"/>
      <c r="DE226" s="139"/>
      <c r="DF226" s="139"/>
      <c r="DG226" s="139"/>
      <c r="DH226" s="139"/>
      <c r="DI226" s="139"/>
      <c r="DJ226" s="139"/>
      <c r="DK226" s="139"/>
      <c r="DL226" s="139"/>
      <c r="DM226" s="139"/>
      <c r="DN226" s="139"/>
      <c r="DO226" s="139"/>
      <c r="DP226" s="139"/>
      <c r="DQ226" s="139"/>
      <c r="DR226" s="139"/>
      <c r="DS226" s="139"/>
      <c r="DT226" s="139"/>
      <c r="DU226" s="139"/>
      <c r="DV226" s="139"/>
      <c r="DW226" s="139"/>
      <c r="DX226" s="139"/>
      <c r="DY226" s="139"/>
      <c r="DZ226" s="139"/>
      <c r="EA226" s="139"/>
      <c r="EB226" s="139"/>
      <c r="EC226" s="139"/>
      <c r="ED226" s="139"/>
      <c r="EE226" s="139"/>
      <c r="EF226" s="139"/>
      <c r="EG226" s="139"/>
      <c r="EH226" s="139"/>
      <c r="EI226" s="139"/>
      <c r="EJ226" s="139"/>
      <c r="EK226" s="139"/>
      <c r="EL226" s="139"/>
      <c r="EM226" s="139"/>
      <c r="EN226" s="139"/>
      <c r="EO226" s="139"/>
      <c r="EP226" s="139"/>
      <c r="EQ226" s="139"/>
      <c r="ER226" s="139"/>
      <c r="ES226" s="139"/>
      <c r="ET226" s="139"/>
      <c r="EU226" s="139"/>
      <c r="EV226" s="139"/>
      <c r="EW226" s="139"/>
      <c r="EX226" s="139"/>
      <c r="EY226" s="139"/>
      <c r="EZ226" s="139"/>
      <c r="FA226" s="139"/>
      <c r="FB226" s="139"/>
      <c r="FC226" s="139"/>
      <c r="FD226" s="139"/>
      <c r="FE226" s="139"/>
      <c r="FF226" s="139"/>
      <c r="FG226" s="139"/>
      <c r="FH226" s="139"/>
      <c r="FI226" s="139"/>
      <c r="FJ226" s="139"/>
      <c r="FK226" s="139"/>
      <c r="FL226" s="139"/>
      <c r="FM226" s="139"/>
      <c r="FN226" s="139"/>
      <c r="FO226" s="139"/>
      <c r="FP226" s="139"/>
      <c r="FQ226" s="139"/>
      <c r="FR226" s="139"/>
      <c r="FS226" s="139"/>
      <c r="FT226" s="139"/>
      <c r="FU226" s="139"/>
      <c r="FV226" s="139"/>
      <c r="FW226" s="139"/>
      <c r="FX226" s="139"/>
      <c r="FY226" s="139"/>
      <c r="FZ226" s="139"/>
      <c r="GA226" s="139"/>
      <c r="GB226" s="139"/>
      <c r="GC226" s="139"/>
      <c r="GD226" s="139"/>
      <c r="GE226" s="139"/>
      <c r="GF226" s="139"/>
      <c r="GG226" s="139"/>
      <c r="GH226" s="139"/>
      <c r="GI226" s="139"/>
      <c r="GJ226" s="139"/>
      <c r="GK226" s="139"/>
      <c r="GL226" s="139"/>
      <c r="GM226" s="139"/>
      <c r="GN226" s="139"/>
      <c r="GO226" s="139"/>
      <c r="GP226" s="139"/>
      <c r="GQ226" s="139"/>
      <c r="GR226" s="139"/>
      <c r="GS226" s="139"/>
      <c r="GT226" s="139"/>
      <c r="GU226" s="139"/>
      <c r="GV226" s="139"/>
      <c r="GW226" s="139"/>
      <c r="GX226" s="139"/>
      <c r="GY226" s="139"/>
      <c r="GZ226" s="139"/>
      <c r="HA226" s="139"/>
      <c r="HB226" s="139"/>
      <c r="HC226" s="139"/>
      <c r="HD226" s="139"/>
      <c r="HE226" s="139"/>
      <c r="HF226" s="139"/>
      <c r="HG226" s="139"/>
      <c r="HH226" s="139"/>
      <c r="HI226" s="139"/>
      <c r="HJ226" s="139"/>
      <c r="HK226" s="139"/>
      <c r="HL226" s="139"/>
      <c r="HM226" s="139"/>
      <c r="HN226" s="139"/>
      <c r="HO226" s="139"/>
      <c r="HP226" s="139"/>
      <c r="HQ226" s="139"/>
      <c r="HR226" s="139"/>
      <c r="HS226" s="139"/>
      <c r="HT226" s="139"/>
      <c r="HU226" s="139"/>
      <c r="HV226" s="139"/>
      <c r="HW226" s="139"/>
      <c r="HX226" s="139"/>
      <c r="HY226" s="139"/>
      <c r="HZ226" s="139"/>
      <c r="IA226" s="139"/>
      <c r="IB226" s="139"/>
      <c r="IC226" s="139"/>
      <c r="ID226" s="139"/>
      <c r="IE226" s="139"/>
      <c r="IF226" s="139"/>
      <c r="IG226" s="139"/>
      <c r="IH226" s="139"/>
      <c r="II226" s="139"/>
      <c r="IJ226" s="139"/>
      <c r="IK226" s="139"/>
      <c r="IL226" s="139"/>
      <c r="IM226" s="139"/>
      <c r="IN226" s="139"/>
      <c r="IO226" s="139"/>
      <c r="IP226" s="139"/>
      <c r="IQ226" s="139"/>
      <c r="IR226" s="139"/>
      <c r="IS226" s="139"/>
      <c r="IT226" s="139"/>
      <c r="IU226" s="139"/>
      <c r="IV226" s="139"/>
      <c r="IW226" s="139"/>
    </row>
    <row r="227" spans="2:257" x14ac:dyDescent="0.3">
      <c r="B227" s="5" t="s">
        <v>103</v>
      </c>
      <c r="C227" s="916" t="s">
        <v>206</v>
      </c>
      <c r="D227" s="968">
        <v>1137.7</v>
      </c>
      <c r="E227" s="968">
        <v>879.6</v>
      </c>
      <c r="F227" s="968">
        <v>62692.5</v>
      </c>
      <c r="G227" s="968">
        <v>1941.2</v>
      </c>
      <c r="H227" s="968">
        <v>29362</v>
      </c>
      <c r="I227" s="968">
        <v>15953.2</v>
      </c>
      <c r="J227" s="10">
        <v>18429.900000000001</v>
      </c>
      <c r="K227" s="993">
        <v>10852</v>
      </c>
      <c r="L227" s="270">
        <f>SUM(D227:K227)</f>
        <v>141248.1</v>
      </c>
      <c r="M227" s="433">
        <f>(P267*EF_CH4_DieselAvBio_Trans_kg_l+'II. Transport '!Q267*EF_CH4_PetrolAvBio_Trans_kg_l)*0.001</f>
        <v>153.67817498700001</v>
      </c>
      <c r="N227" s="434">
        <f>(P267*EF_N2O_DieselAvBio_Trans_kg_l+'II. Transport '!Q267*EF_N2O_PetrolAvBio_Trans_kg_l)*0.001</f>
        <v>1317.2453657790002</v>
      </c>
      <c r="O227" s="268">
        <f>SUM(L227:N227)</f>
        <v>142719.02354076601</v>
      </c>
      <c r="P227" s="283">
        <v>4.0586040612257586</v>
      </c>
      <c r="Q227" s="16">
        <v>130.88998097453072</v>
      </c>
      <c r="R227" s="16">
        <v>798.29619881186647</v>
      </c>
      <c r="S227" s="16">
        <v>199.41794954676564</v>
      </c>
      <c r="T227" s="968">
        <v>148.60734870334318</v>
      </c>
      <c r="U227" s="993">
        <v>509.12065944953127</v>
      </c>
      <c r="V227" s="634">
        <v>552.98480334200963</v>
      </c>
      <c r="W227" s="16">
        <v>5.5415555451351706</v>
      </c>
      <c r="X227" s="283">
        <f>SUM(P227:W227)</f>
        <v>2348.9171004344075</v>
      </c>
      <c r="Y227" s="994">
        <f t="shared" ref="Y227:Y259" si="23">(AB267*EF_CH4_ElectGen_DCI+AB267*EF_CH4_ElectTDL_DCI)/1000</f>
        <v>11.912947049763082</v>
      </c>
      <c r="Z227" s="968">
        <f t="shared" ref="Z227:Z259" si="24">(AB267*EF_N2O_ElectGen_DCI+AB267*EF_N2O_ElectTDL_DCI)/1000</f>
        <v>16.167570996107038</v>
      </c>
      <c r="AA227" s="268">
        <f>SUM(X227:Z227)</f>
        <v>2376.9976184802777</v>
      </c>
      <c r="AB227" s="160"/>
      <c r="AC227" s="160"/>
      <c r="AD227" s="160"/>
      <c r="AE227" s="139"/>
      <c r="AF227" s="139"/>
      <c r="AG227" s="139"/>
      <c r="AH227" s="139"/>
      <c r="AI227" s="139"/>
      <c r="AJ227" s="139"/>
      <c r="AK227" s="139"/>
      <c r="AL227" s="139"/>
      <c r="AM227" s="139"/>
      <c r="AN227" s="139"/>
      <c r="AO227" s="139"/>
      <c r="AP227" s="139"/>
      <c r="AQ227" s="139"/>
      <c r="AR227" s="139"/>
      <c r="AS227" s="139"/>
      <c r="AT227" s="139"/>
      <c r="AU227" s="139"/>
      <c r="AV227" s="139"/>
      <c r="AW227" s="139"/>
      <c r="AX227" s="139"/>
      <c r="AY227" s="139"/>
      <c r="AZ227" s="139"/>
      <c r="BA227" s="139"/>
      <c r="BB227" s="139"/>
      <c r="BC227" s="139"/>
      <c r="BD227" s="139"/>
      <c r="BE227" s="139"/>
      <c r="BF227" s="139"/>
      <c r="BG227" s="139"/>
      <c r="BH227" s="139"/>
      <c r="BI227" s="139"/>
      <c r="BJ227" s="139"/>
      <c r="BK227" s="139"/>
      <c r="BL227" s="139"/>
      <c r="BM227" s="139"/>
      <c r="BN227" s="139"/>
      <c r="BO227" s="139"/>
      <c r="BP227" s="139"/>
      <c r="BQ227" s="139"/>
      <c r="BR227" s="139"/>
      <c r="BS227" s="139"/>
      <c r="BT227" s="139"/>
      <c r="BU227" s="139"/>
      <c r="BV227" s="139"/>
      <c r="BW227" s="139"/>
      <c r="BX227" s="139"/>
      <c r="BY227" s="139"/>
      <c r="BZ227" s="139"/>
      <c r="CA227" s="139"/>
      <c r="CB227" s="139"/>
      <c r="CC227" s="139"/>
      <c r="CD227" s="139"/>
      <c r="CE227" s="139"/>
      <c r="CF227" s="139"/>
      <c r="CG227" s="139"/>
      <c r="CH227" s="139"/>
      <c r="CI227" s="139"/>
      <c r="CJ227" s="139"/>
      <c r="CK227" s="139"/>
      <c r="CL227" s="139"/>
      <c r="CM227" s="139"/>
      <c r="CN227" s="139"/>
      <c r="CO227" s="139"/>
      <c r="CP227" s="139"/>
      <c r="CQ227" s="139"/>
      <c r="CR227" s="139"/>
      <c r="CS227" s="139"/>
      <c r="CT227" s="139"/>
      <c r="CU227" s="139"/>
      <c r="CV227" s="139"/>
      <c r="CW227" s="139"/>
      <c r="CX227" s="139"/>
      <c r="CY227" s="139"/>
      <c r="CZ227" s="139"/>
      <c r="DA227" s="139"/>
      <c r="DB227" s="139"/>
      <c r="DC227" s="139"/>
      <c r="DD227" s="139"/>
      <c r="DE227" s="139"/>
      <c r="DF227" s="139"/>
      <c r="DG227" s="139"/>
      <c r="DH227" s="139"/>
      <c r="DI227" s="139"/>
      <c r="DJ227" s="139"/>
      <c r="DK227" s="139"/>
      <c r="DL227" s="139"/>
      <c r="DM227" s="139"/>
      <c r="DN227" s="139"/>
      <c r="DO227" s="139"/>
      <c r="DP227" s="139"/>
      <c r="DQ227" s="139"/>
      <c r="DR227" s="139"/>
      <c r="DS227" s="139"/>
      <c r="DT227" s="139"/>
      <c r="DU227" s="139"/>
      <c r="DV227" s="139"/>
      <c r="DW227" s="139"/>
      <c r="DX227" s="139"/>
      <c r="DY227" s="139"/>
      <c r="DZ227" s="139"/>
      <c r="EA227" s="139"/>
      <c r="EB227" s="139"/>
      <c r="EC227" s="139"/>
      <c r="ED227" s="139"/>
      <c r="EE227" s="139"/>
      <c r="EF227" s="139"/>
      <c r="EG227" s="139"/>
      <c r="EH227" s="139"/>
      <c r="EI227" s="139"/>
      <c r="EJ227" s="139"/>
      <c r="EK227" s="139"/>
      <c r="EL227" s="139"/>
      <c r="EM227" s="139"/>
      <c r="EN227" s="139"/>
      <c r="EO227" s="139"/>
      <c r="EP227" s="139"/>
      <c r="EQ227" s="139"/>
      <c r="ER227" s="139"/>
      <c r="ES227" s="139"/>
      <c r="ET227" s="139"/>
      <c r="EU227" s="139"/>
      <c r="EV227" s="139"/>
      <c r="EW227" s="139"/>
      <c r="EX227" s="139"/>
      <c r="EY227" s="139"/>
      <c r="EZ227" s="139"/>
      <c r="FA227" s="139"/>
      <c r="FB227" s="139"/>
      <c r="FC227" s="139"/>
      <c r="FD227" s="139"/>
      <c r="FE227" s="139"/>
      <c r="FF227" s="139"/>
      <c r="FG227" s="139"/>
      <c r="FH227" s="139"/>
      <c r="FI227" s="139"/>
      <c r="FJ227" s="139"/>
      <c r="FK227" s="139"/>
      <c r="FL227" s="139"/>
      <c r="FM227" s="139"/>
      <c r="FN227" s="139"/>
      <c r="FO227" s="139"/>
      <c r="FP227" s="139"/>
      <c r="FQ227" s="139"/>
      <c r="FR227" s="139"/>
      <c r="FS227" s="139"/>
      <c r="FT227" s="139"/>
      <c r="FU227" s="139"/>
      <c r="FV227" s="139"/>
      <c r="FW227" s="139"/>
      <c r="FX227" s="139"/>
      <c r="FY227" s="139"/>
      <c r="FZ227" s="139"/>
      <c r="GA227" s="139"/>
      <c r="GB227" s="139"/>
      <c r="GC227" s="139"/>
      <c r="GD227" s="139"/>
      <c r="GE227" s="139"/>
      <c r="GF227" s="139"/>
      <c r="GG227" s="139"/>
      <c r="GH227" s="139"/>
      <c r="GI227" s="139"/>
      <c r="GJ227" s="139"/>
      <c r="GK227" s="139"/>
      <c r="GL227" s="139"/>
      <c r="GM227" s="139"/>
      <c r="GN227" s="139"/>
      <c r="GO227" s="139"/>
      <c r="GP227" s="139"/>
      <c r="GQ227" s="139"/>
      <c r="GR227" s="139"/>
      <c r="GS227" s="139"/>
      <c r="GT227" s="139"/>
      <c r="GU227" s="139"/>
      <c r="GV227" s="139"/>
      <c r="GW227" s="139"/>
      <c r="GX227" s="139"/>
      <c r="GY227" s="139"/>
      <c r="GZ227" s="139"/>
      <c r="HA227" s="139"/>
      <c r="HB227" s="139"/>
      <c r="HC227" s="139"/>
      <c r="HD227" s="139"/>
      <c r="HE227" s="139"/>
      <c r="HF227" s="139"/>
      <c r="HG227" s="139"/>
      <c r="HH227" s="139"/>
      <c r="HI227" s="139"/>
      <c r="HJ227" s="139"/>
      <c r="HK227" s="139"/>
      <c r="HL227" s="139"/>
      <c r="HM227" s="139"/>
      <c r="HN227" s="139"/>
      <c r="HO227" s="139"/>
      <c r="HP227" s="139"/>
      <c r="HQ227" s="139"/>
      <c r="HR227" s="139"/>
      <c r="HS227" s="139"/>
      <c r="HT227" s="139"/>
      <c r="HU227" s="139"/>
      <c r="HV227" s="139"/>
      <c r="HW227" s="139"/>
      <c r="HX227" s="139"/>
      <c r="HY227" s="139"/>
      <c r="HZ227" s="139"/>
      <c r="IA227" s="139"/>
      <c r="IB227" s="139"/>
      <c r="IC227" s="139"/>
      <c r="ID227" s="139"/>
      <c r="IE227" s="139"/>
      <c r="IF227" s="139"/>
      <c r="IG227" s="139"/>
      <c r="IH227" s="139"/>
      <c r="II227" s="139"/>
      <c r="IJ227" s="139"/>
      <c r="IK227" s="139"/>
      <c r="IL227" s="139"/>
      <c r="IM227" s="139"/>
      <c r="IN227" s="139"/>
      <c r="IO227" s="139"/>
      <c r="IP227" s="139"/>
      <c r="IQ227" s="139"/>
      <c r="IR227" s="139"/>
      <c r="IS227" s="139"/>
      <c r="IT227" s="139"/>
      <c r="IU227" s="139"/>
      <c r="IV227" s="139"/>
      <c r="IW227" s="139"/>
    </row>
    <row r="228" spans="2:257" x14ac:dyDescent="0.3">
      <c r="B228" s="5" t="s">
        <v>104</v>
      </c>
      <c r="C228" s="916" t="s">
        <v>207</v>
      </c>
      <c r="D228" s="968">
        <v>3533.8</v>
      </c>
      <c r="E228" s="968">
        <v>1508.2</v>
      </c>
      <c r="F228" s="968">
        <v>168825.8</v>
      </c>
      <c r="G228" s="968">
        <v>4754.1000000000004</v>
      </c>
      <c r="H228" s="968">
        <v>69964.7</v>
      </c>
      <c r="I228" s="968">
        <v>36887.699999999997</v>
      </c>
      <c r="J228" s="10">
        <v>29813.9</v>
      </c>
      <c r="K228" s="993">
        <v>17614.7</v>
      </c>
      <c r="L228" s="270">
        <f>SUM(D228:K228)</f>
        <v>332902.90000000002</v>
      </c>
      <c r="M228" s="995">
        <f>(P268*EF_CH4_DieselAvBio_Trans_kg_l+'II. Transport '!Q268*EF_CH4_PetrolAvBio_Trans_kg_l)*0.001</f>
        <v>413.16844861599998</v>
      </c>
      <c r="N228" s="996">
        <f>(P268*EF_N2O_DieselAvBio_Trans_kg_l+'II. Transport '!Q268*EF_N2O_PetrolAvBio_Trans_kg_l)*0.001</f>
        <v>2956.9040035329999</v>
      </c>
      <c r="O228" s="268">
        <f t="shared" ref="O228:O259" si="25">SUM(L228:N228)</f>
        <v>336272.97245214903</v>
      </c>
      <c r="P228" s="283">
        <v>12.878262886581735</v>
      </c>
      <c r="Q228" s="16">
        <v>216.04261618217117</v>
      </c>
      <c r="R228" s="16">
        <v>2234.7298361733833</v>
      </c>
      <c r="S228" s="16">
        <v>460.65156094912368</v>
      </c>
      <c r="T228" s="968">
        <v>382.99173323913072</v>
      </c>
      <c r="U228" s="993">
        <v>1163.9608147126874</v>
      </c>
      <c r="V228" s="968">
        <v>923.5665741631617</v>
      </c>
      <c r="W228" s="16">
        <v>9.9904099968634075</v>
      </c>
      <c r="X228" s="283">
        <f t="shared" ref="X228:X259" si="26">SUM(P228:W228)</f>
        <v>5404.8118083031031</v>
      </c>
      <c r="Y228" s="968">
        <f t="shared" si="23"/>
        <v>27.411455633892466</v>
      </c>
      <c r="Z228" s="968">
        <f t="shared" si="24"/>
        <v>37.20126121742549</v>
      </c>
      <c r="AA228" s="268">
        <f t="shared" ref="AA228:AA259" si="27">SUM(X228:Z228)</f>
        <v>5469.4245251544216</v>
      </c>
      <c r="AB228" s="139"/>
      <c r="AC228" s="139"/>
      <c r="AD228" s="139"/>
      <c r="AE228" s="139"/>
      <c r="AF228" s="139"/>
      <c r="AG228" s="139"/>
      <c r="AH228" s="139"/>
      <c r="AI228" s="139"/>
      <c r="AJ228" s="139"/>
      <c r="AK228" s="139"/>
      <c r="AL228" s="139"/>
      <c r="AM228" s="139"/>
      <c r="AN228" s="139"/>
      <c r="AO228" s="139"/>
      <c r="AP228" s="139"/>
      <c r="AQ228" s="139"/>
      <c r="AR228" s="139"/>
      <c r="AS228" s="139"/>
      <c r="AT228" s="139"/>
      <c r="AU228" s="139"/>
      <c r="AV228" s="139"/>
      <c r="AW228" s="139"/>
      <c r="AX228" s="139"/>
      <c r="AY228" s="139"/>
      <c r="AZ228" s="139"/>
      <c r="BA228" s="139"/>
      <c r="BB228" s="139"/>
      <c r="BC228" s="139"/>
      <c r="BD228" s="139"/>
      <c r="BE228" s="139"/>
      <c r="BF228" s="139"/>
      <c r="BG228" s="139"/>
      <c r="BH228" s="139"/>
      <c r="BI228" s="139"/>
      <c r="BJ228" s="139"/>
      <c r="BK228" s="139"/>
      <c r="BL228" s="139"/>
      <c r="BM228" s="139"/>
      <c r="BN228" s="139"/>
      <c r="BO228" s="139"/>
      <c r="BP228" s="139"/>
      <c r="BQ228" s="139"/>
      <c r="BR228" s="139"/>
      <c r="BS228" s="139"/>
      <c r="BT228" s="139"/>
      <c r="BU228" s="139"/>
      <c r="BV228" s="139"/>
      <c r="BW228" s="139"/>
      <c r="BX228" s="139"/>
      <c r="BY228" s="139"/>
      <c r="BZ228" s="139"/>
      <c r="CA228" s="139"/>
      <c r="CB228" s="139"/>
      <c r="CC228" s="139"/>
      <c r="CD228" s="139"/>
      <c r="CE228" s="139"/>
      <c r="CF228" s="139"/>
      <c r="CG228" s="139"/>
      <c r="CH228" s="139"/>
      <c r="CI228" s="139"/>
      <c r="CJ228" s="139"/>
      <c r="CK228" s="139"/>
      <c r="CL228" s="139"/>
      <c r="CM228" s="139"/>
      <c r="CN228" s="139"/>
      <c r="CO228" s="139"/>
      <c r="CP228" s="139"/>
      <c r="CQ228" s="139"/>
      <c r="CR228" s="139"/>
      <c r="CS228" s="139"/>
      <c r="CT228" s="139"/>
      <c r="CU228" s="139"/>
      <c r="CV228" s="139"/>
      <c r="CW228" s="139"/>
      <c r="CX228" s="139"/>
      <c r="CY228" s="139"/>
      <c r="CZ228" s="139"/>
      <c r="DA228" s="139"/>
      <c r="DB228" s="139"/>
      <c r="DC228" s="139"/>
      <c r="DD228" s="139"/>
      <c r="DE228" s="139"/>
      <c r="DF228" s="139"/>
      <c r="DG228" s="139"/>
      <c r="DH228" s="139"/>
      <c r="DI228" s="139"/>
      <c r="DJ228" s="139"/>
      <c r="DK228" s="139"/>
      <c r="DL228" s="139"/>
      <c r="DM228" s="139"/>
      <c r="DN228" s="139"/>
      <c r="DO228" s="139"/>
      <c r="DP228" s="139"/>
      <c r="DQ228" s="139"/>
      <c r="DR228" s="139"/>
      <c r="DS228" s="139"/>
      <c r="DT228" s="139"/>
      <c r="DU228" s="139"/>
      <c r="DV228" s="139"/>
      <c r="DW228" s="139"/>
      <c r="DX228" s="139"/>
      <c r="DY228" s="139"/>
      <c r="DZ228" s="139"/>
      <c r="EA228" s="139"/>
      <c r="EB228" s="139"/>
      <c r="EC228" s="139"/>
      <c r="ED228" s="139"/>
      <c r="EE228" s="139"/>
      <c r="EF228" s="139"/>
      <c r="EG228" s="139"/>
      <c r="EH228" s="139"/>
      <c r="EI228" s="139"/>
      <c r="EJ228" s="139"/>
      <c r="EK228" s="139"/>
      <c r="EL228" s="139"/>
      <c r="EM228" s="139"/>
      <c r="EN228" s="139"/>
      <c r="EO228" s="139"/>
      <c r="EP228" s="139"/>
      <c r="EQ228" s="139"/>
      <c r="ER228" s="139"/>
      <c r="ES228" s="139"/>
      <c r="ET228" s="139"/>
      <c r="EU228" s="139"/>
      <c r="EV228" s="139"/>
      <c r="EW228" s="139"/>
      <c r="EX228" s="139"/>
      <c r="EY228" s="139"/>
      <c r="EZ228" s="139"/>
      <c r="FA228" s="139"/>
      <c r="FB228" s="139"/>
      <c r="FC228" s="139"/>
      <c r="FD228" s="139"/>
      <c r="FE228" s="139"/>
      <c r="FF228" s="139"/>
      <c r="FG228" s="139"/>
      <c r="FH228" s="139"/>
      <c r="FI228" s="139"/>
      <c r="FJ228" s="139"/>
      <c r="FK228" s="139"/>
      <c r="FL228" s="139"/>
      <c r="FM228" s="139"/>
      <c r="FN228" s="139"/>
      <c r="FO228" s="139"/>
      <c r="FP228" s="139"/>
      <c r="FQ228" s="139"/>
      <c r="FR228" s="139"/>
      <c r="FS228" s="139"/>
      <c r="FT228" s="139"/>
      <c r="FU228" s="139"/>
      <c r="FV228" s="139"/>
      <c r="FW228" s="139"/>
      <c r="FX228" s="139"/>
      <c r="FY228" s="139"/>
      <c r="FZ228" s="139"/>
      <c r="GA228" s="139"/>
      <c r="GB228" s="139"/>
      <c r="GC228" s="139"/>
      <c r="GD228" s="139"/>
      <c r="GE228" s="139"/>
      <c r="GF228" s="139"/>
      <c r="GG228" s="139"/>
      <c r="GH228" s="139"/>
      <c r="GI228" s="139"/>
      <c r="GJ228" s="139"/>
      <c r="GK228" s="139"/>
      <c r="GL228" s="139"/>
      <c r="GM228" s="139"/>
      <c r="GN228" s="139"/>
      <c r="GO228" s="139"/>
      <c r="GP228" s="139"/>
      <c r="GQ228" s="139"/>
      <c r="GR228" s="139"/>
      <c r="GS228" s="139"/>
      <c r="GT228" s="139"/>
      <c r="GU228" s="139"/>
      <c r="GV228" s="139"/>
      <c r="GW228" s="139"/>
      <c r="GX228" s="139"/>
      <c r="GY228" s="139"/>
      <c r="GZ228" s="139"/>
      <c r="HA228" s="139"/>
      <c r="HB228" s="139"/>
      <c r="HC228" s="139"/>
      <c r="HD228" s="139"/>
      <c r="HE228" s="139"/>
      <c r="HF228" s="139"/>
      <c r="HG228" s="139"/>
      <c r="HH228" s="139"/>
      <c r="HI228" s="139"/>
      <c r="HJ228" s="139"/>
      <c r="HK228" s="139"/>
      <c r="HL228" s="139"/>
      <c r="HM228" s="139"/>
      <c r="HN228" s="139"/>
      <c r="HO228" s="139"/>
      <c r="HP228" s="139"/>
      <c r="HQ228" s="139"/>
      <c r="HR228" s="139"/>
      <c r="HS228" s="139"/>
      <c r="HT228" s="139"/>
      <c r="HU228" s="139"/>
      <c r="HV228" s="139"/>
      <c r="HW228" s="139"/>
      <c r="HX228" s="139"/>
      <c r="HY228" s="139"/>
      <c r="HZ228" s="139"/>
      <c r="IA228" s="139"/>
      <c r="IB228" s="139"/>
      <c r="IC228" s="139"/>
      <c r="ID228" s="139"/>
      <c r="IE228" s="139"/>
      <c r="IF228" s="139"/>
      <c r="IG228" s="139"/>
      <c r="IH228" s="139"/>
      <c r="II228" s="139"/>
      <c r="IJ228" s="139"/>
      <c r="IK228" s="139"/>
      <c r="IL228" s="139"/>
      <c r="IM228" s="139"/>
      <c r="IN228" s="139"/>
      <c r="IO228" s="139"/>
      <c r="IP228" s="139"/>
      <c r="IQ228" s="139"/>
      <c r="IR228" s="139"/>
      <c r="IS228" s="139"/>
      <c r="IT228" s="139"/>
      <c r="IU228" s="139"/>
      <c r="IV228" s="139"/>
      <c r="IW228" s="139"/>
    </row>
    <row r="229" spans="2:257" x14ac:dyDescent="0.3">
      <c r="B229" s="5" t="s">
        <v>105</v>
      </c>
      <c r="C229" s="916" t="s">
        <v>208</v>
      </c>
      <c r="D229" s="968">
        <v>1759.7</v>
      </c>
      <c r="E229" s="968">
        <v>758</v>
      </c>
      <c r="F229" s="968">
        <v>97077.6</v>
      </c>
      <c r="G229" s="968">
        <v>2516</v>
      </c>
      <c r="H229" s="968">
        <v>42828.1</v>
      </c>
      <c r="I229" s="968">
        <v>19538.900000000001</v>
      </c>
      <c r="J229" s="10">
        <v>17748.2</v>
      </c>
      <c r="K229" s="993">
        <v>10511.9</v>
      </c>
      <c r="L229" s="270">
        <f t="shared" ref="L229:L259" si="28">SUM(D229:K229)</f>
        <v>192738.4</v>
      </c>
      <c r="M229" s="995">
        <f>(P269*EF_CH4_DieselAvBio_Trans_kg_l+'II. Transport '!Q269*EF_CH4_PetrolAvBio_Trans_kg_l)*0.001</f>
        <v>234.05381381399994</v>
      </c>
      <c r="N229" s="996">
        <f>(P269*EF_N2O_DieselAvBio_Trans_kg_l+'II. Transport '!Q269*EF_N2O_PetrolAvBio_Trans_kg_l)*0.001</f>
        <v>1726.4005889160001</v>
      </c>
      <c r="O229" s="268">
        <f t="shared" si="25"/>
        <v>194698.85440273001</v>
      </c>
      <c r="P229" s="283">
        <v>6.634256638542106</v>
      </c>
      <c r="Q229" s="16">
        <v>113.48481355812027</v>
      </c>
      <c r="R229" s="16">
        <v>1289.8555906887864</v>
      </c>
      <c r="S229" s="16">
        <v>251.32125148359506</v>
      </c>
      <c r="T229" s="968">
        <v>227.20377735054203</v>
      </c>
      <c r="U229" s="993">
        <v>646.25464667210167</v>
      </c>
      <c r="V229" s="968">
        <v>545.10174545385962</v>
      </c>
      <c r="W229" s="16">
        <v>5.4635054670346754</v>
      </c>
      <c r="X229" s="283">
        <f t="shared" si="26"/>
        <v>3085.3195873125819</v>
      </c>
      <c r="Y229" s="968">
        <f>(AB269*EF_CH4_ElectGen_DCI+AB269*EF_CH4_ElectTDL_DCI)/1000</f>
        <v>15.647742046091858</v>
      </c>
      <c r="Z229" s="968">
        <f t="shared" si="24"/>
        <v>21.236221348267524</v>
      </c>
      <c r="AA229" s="268">
        <f t="shared" si="27"/>
        <v>3122.2035507069413</v>
      </c>
      <c r="AB229" s="139"/>
      <c r="AC229" s="139"/>
      <c r="AD229" s="139"/>
      <c r="AE229" s="139"/>
      <c r="AF229" s="139"/>
      <c r="AG229" s="139"/>
      <c r="AH229" s="139"/>
      <c r="AI229" s="139"/>
      <c r="AJ229" s="139"/>
      <c r="AK229" s="139"/>
      <c r="AL229" s="139"/>
      <c r="AM229" s="139"/>
      <c r="AN229" s="139"/>
      <c r="AO229" s="139"/>
      <c r="AP229" s="139"/>
      <c r="AQ229" s="139"/>
      <c r="AR229" s="139"/>
      <c r="AS229" s="139"/>
      <c r="AT229" s="139"/>
      <c r="AU229" s="139"/>
      <c r="AV229" s="139"/>
      <c r="AW229" s="139"/>
      <c r="AX229" s="139"/>
      <c r="AY229" s="139"/>
      <c r="AZ229" s="139"/>
      <c r="BA229" s="139"/>
      <c r="BB229" s="139"/>
      <c r="BC229" s="139"/>
      <c r="BD229" s="139"/>
      <c r="BE229" s="139"/>
      <c r="BF229" s="139"/>
      <c r="BG229" s="139"/>
      <c r="BH229" s="139"/>
      <c r="BI229" s="139"/>
      <c r="BJ229" s="139"/>
      <c r="BK229" s="139"/>
      <c r="BL229" s="139"/>
      <c r="BM229" s="139"/>
      <c r="BN229" s="139"/>
      <c r="BO229" s="139"/>
      <c r="BP229" s="139"/>
      <c r="BQ229" s="139"/>
      <c r="BR229" s="139"/>
      <c r="BS229" s="139"/>
      <c r="BT229" s="139"/>
      <c r="BU229" s="139"/>
      <c r="BV229" s="139"/>
      <c r="BW229" s="139"/>
      <c r="BX229" s="139"/>
      <c r="BY229" s="139"/>
      <c r="BZ229" s="139"/>
      <c r="CA229" s="139"/>
      <c r="CB229" s="139"/>
      <c r="CC229" s="139"/>
      <c r="CD229" s="139"/>
      <c r="CE229" s="139"/>
      <c r="CF229" s="139"/>
      <c r="CG229" s="139"/>
      <c r="CH229" s="139"/>
      <c r="CI229" s="139"/>
      <c r="CJ229" s="139"/>
      <c r="CK229" s="139"/>
      <c r="CL229" s="139"/>
      <c r="CM229" s="139"/>
      <c r="CN229" s="139"/>
      <c r="CO229" s="139"/>
      <c r="CP229" s="139"/>
      <c r="CQ229" s="139"/>
      <c r="CR229" s="139"/>
      <c r="CS229" s="139"/>
      <c r="CT229" s="139"/>
      <c r="CU229" s="139"/>
      <c r="CV229" s="139"/>
      <c r="CW229" s="139"/>
      <c r="CX229" s="139"/>
      <c r="CY229" s="139"/>
      <c r="CZ229" s="139"/>
      <c r="DA229" s="139"/>
      <c r="DB229" s="139"/>
      <c r="DC229" s="139"/>
      <c r="DD229" s="139"/>
      <c r="DE229" s="139"/>
      <c r="DF229" s="139"/>
      <c r="DG229" s="139"/>
      <c r="DH229" s="139"/>
      <c r="DI229" s="139"/>
      <c r="DJ229" s="139"/>
      <c r="DK229" s="139"/>
      <c r="DL229" s="139"/>
      <c r="DM229" s="139"/>
      <c r="DN229" s="139"/>
      <c r="DO229" s="139"/>
      <c r="DP229" s="139"/>
      <c r="DQ229" s="139"/>
      <c r="DR229" s="139"/>
      <c r="DS229" s="139"/>
      <c r="DT229" s="139"/>
      <c r="DU229" s="139"/>
      <c r="DV229" s="139"/>
      <c r="DW229" s="139"/>
      <c r="DX229" s="139"/>
      <c r="DY229" s="139"/>
      <c r="DZ229" s="139"/>
      <c r="EA229" s="139"/>
      <c r="EB229" s="139"/>
      <c r="EC229" s="139"/>
      <c r="ED229" s="139"/>
      <c r="EE229" s="139"/>
      <c r="EF229" s="139"/>
      <c r="EG229" s="139"/>
      <c r="EH229" s="139"/>
      <c r="EI229" s="139"/>
      <c r="EJ229" s="139"/>
      <c r="EK229" s="139"/>
      <c r="EL229" s="139"/>
      <c r="EM229" s="139"/>
      <c r="EN229" s="139"/>
      <c r="EO229" s="139"/>
      <c r="EP229" s="139"/>
      <c r="EQ229" s="139"/>
      <c r="ER229" s="139"/>
      <c r="ES229" s="139"/>
      <c r="ET229" s="139"/>
      <c r="EU229" s="139"/>
      <c r="EV229" s="139"/>
      <c r="EW229" s="139"/>
      <c r="EX229" s="139"/>
      <c r="EY229" s="139"/>
      <c r="EZ229" s="139"/>
      <c r="FA229" s="139"/>
      <c r="FB229" s="139"/>
      <c r="FC229" s="139"/>
      <c r="FD229" s="139"/>
      <c r="FE229" s="139"/>
      <c r="FF229" s="139"/>
      <c r="FG229" s="139"/>
      <c r="FH229" s="139"/>
      <c r="FI229" s="139"/>
      <c r="FJ229" s="139"/>
      <c r="FK229" s="139"/>
      <c r="FL229" s="139"/>
      <c r="FM229" s="139"/>
      <c r="FN229" s="139"/>
      <c r="FO229" s="139"/>
      <c r="FP229" s="139"/>
      <c r="FQ229" s="139"/>
      <c r="FR229" s="139"/>
      <c r="FS229" s="139"/>
      <c r="FT229" s="139"/>
      <c r="FU229" s="139"/>
      <c r="FV229" s="139"/>
      <c r="FW229" s="139"/>
      <c r="FX229" s="139"/>
      <c r="FY229" s="139"/>
      <c r="FZ229" s="139"/>
      <c r="GA229" s="139"/>
      <c r="GB229" s="139"/>
      <c r="GC229" s="139"/>
      <c r="GD229" s="139"/>
      <c r="GE229" s="139"/>
      <c r="GF229" s="139"/>
      <c r="GG229" s="139"/>
      <c r="GH229" s="139"/>
      <c r="GI229" s="139"/>
      <c r="GJ229" s="139"/>
      <c r="GK229" s="139"/>
      <c r="GL229" s="139"/>
      <c r="GM229" s="139"/>
      <c r="GN229" s="139"/>
      <c r="GO229" s="139"/>
      <c r="GP229" s="139"/>
      <c r="GQ229" s="139"/>
      <c r="GR229" s="139"/>
      <c r="GS229" s="139"/>
      <c r="GT229" s="139"/>
      <c r="GU229" s="139"/>
      <c r="GV229" s="139"/>
      <c r="GW229" s="139"/>
      <c r="GX229" s="139"/>
      <c r="GY229" s="139"/>
      <c r="GZ229" s="139"/>
      <c r="HA229" s="139"/>
      <c r="HB229" s="139"/>
      <c r="HC229" s="139"/>
      <c r="HD229" s="139"/>
      <c r="HE229" s="139"/>
      <c r="HF229" s="139"/>
      <c r="HG229" s="139"/>
      <c r="HH229" s="139"/>
      <c r="HI229" s="139"/>
      <c r="HJ229" s="139"/>
      <c r="HK229" s="139"/>
      <c r="HL229" s="139"/>
      <c r="HM229" s="139"/>
      <c r="HN229" s="139"/>
      <c r="HO229" s="139"/>
      <c r="HP229" s="139"/>
      <c r="HQ229" s="139"/>
      <c r="HR229" s="139"/>
      <c r="HS229" s="139"/>
      <c r="HT229" s="139"/>
      <c r="HU229" s="139"/>
      <c r="HV229" s="139"/>
      <c r="HW229" s="139"/>
      <c r="HX229" s="139"/>
      <c r="HY229" s="139"/>
      <c r="HZ229" s="139"/>
      <c r="IA229" s="139"/>
      <c r="IB229" s="139"/>
      <c r="IC229" s="139"/>
      <c r="ID229" s="139"/>
      <c r="IE229" s="139"/>
      <c r="IF229" s="139"/>
      <c r="IG229" s="139"/>
      <c r="IH229" s="139"/>
      <c r="II229" s="139"/>
      <c r="IJ229" s="139"/>
      <c r="IK229" s="139"/>
      <c r="IL229" s="139"/>
      <c r="IM229" s="139"/>
      <c r="IN229" s="139"/>
      <c r="IO229" s="139"/>
      <c r="IP229" s="139"/>
      <c r="IQ229" s="139"/>
      <c r="IR229" s="139"/>
      <c r="IS229" s="139"/>
      <c r="IT229" s="139"/>
      <c r="IU229" s="139"/>
      <c r="IV229" s="139"/>
      <c r="IW229" s="139"/>
    </row>
    <row r="230" spans="2:257" x14ac:dyDescent="0.3">
      <c r="B230" s="5" t="s">
        <v>106</v>
      </c>
      <c r="C230" s="916" t="s">
        <v>209</v>
      </c>
      <c r="D230" s="968">
        <v>2733.1</v>
      </c>
      <c r="E230" s="968">
        <v>882.9</v>
      </c>
      <c r="F230" s="968">
        <v>97697.9</v>
      </c>
      <c r="G230" s="968">
        <v>3153.6</v>
      </c>
      <c r="H230" s="968">
        <v>44859.9</v>
      </c>
      <c r="I230" s="968">
        <v>33330.699999999997</v>
      </c>
      <c r="J230" s="10">
        <v>21977.4</v>
      </c>
      <c r="K230" s="993">
        <v>9465.2000000000007</v>
      </c>
      <c r="L230" s="270">
        <f t="shared" si="28"/>
        <v>214100.69999999998</v>
      </c>
      <c r="M230" s="995">
        <f>(P270*EF_CH4_DieselAvBio_Trans_kg_l+'II. Transport '!Q270*EF_CH4_PetrolAvBio_Trans_kg_l)*0.001</f>
        <v>247.36304320299999</v>
      </c>
      <c r="N230" s="996">
        <f>(P270*EF_N2O_DieselAvBio_Trans_kg_l+'II. Transport '!Q270*EF_N2O_PetrolAvBio_Trans_kg_l)*0.001</f>
        <v>1954.8129852039997</v>
      </c>
      <c r="O230" s="268">
        <f t="shared" si="25"/>
        <v>216302.87602840696</v>
      </c>
      <c r="P230" s="283">
        <v>9.5221095282604349</v>
      </c>
      <c r="Q230" s="16">
        <v>127.53382761620942</v>
      </c>
      <c r="R230" s="16">
        <v>1342.3052431723193</v>
      </c>
      <c r="S230" s="16">
        <v>336.86413708173802</v>
      </c>
      <c r="T230" s="968">
        <v>267.16541733799562</v>
      </c>
      <c r="U230" s="993">
        <v>935.742386346839</v>
      </c>
      <c r="V230" s="968">
        <v>596.84894723448815</v>
      </c>
      <c r="W230" s="16">
        <v>5.4635054670346754</v>
      </c>
      <c r="X230" s="283">
        <f t="shared" si="26"/>
        <v>3621.4455737848848</v>
      </c>
      <c r="Y230" s="968">
        <f t="shared" si="23"/>
        <v>18.366799473731756</v>
      </c>
      <c r="Z230" s="968">
        <f t="shared" si="24"/>
        <v>24.926370714350238</v>
      </c>
      <c r="AA230" s="268">
        <f t="shared" si="27"/>
        <v>3664.7387439729664</v>
      </c>
      <c r="AB230" s="139"/>
      <c r="AC230" s="139"/>
      <c r="AD230" s="139"/>
      <c r="AE230" s="139"/>
      <c r="AF230" s="139"/>
      <c r="AG230" s="139"/>
      <c r="AH230" s="139"/>
      <c r="AI230" s="139"/>
      <c r="AJ230" s="139"/>
      <c r="AK230" s="139"/>
      <c r="AL230" s="139"/>
      <c r="AM230" s="139"/>
      <c r="AN230" s="139"/>
      <c r="AO230" s="139"/>
      <c r="AP230" s="139"/>
      <c r="AQ230" s="139"/>
      <c r="AR230" s="139"/>
      <c r="AS230" s="139"/>
      <c r="AT230" s="139"/>
      <c r="AU230" s="139"/>
      <c r="AV230" s="139"/>
      <c r="AW230" s="139"/>
      <c r="AX230" s="139"/>
      <c r="AY230" s="139"/>
      <c r="AZ230" s="139"/>
      <c r="BA230" s="139"/>
      <c r="BB230" s="139"/>
      <c r="BC230" s="139"/>
      <c r="BD230" s="139"/>
      <c r="BE230" s="139"/>
      <c r="BF230" s="139"/>
      <c r="BG230" s="139"/>
      <c r="BH230" s="139"/>
      <c r="BI230" s="139"/>
      <c r="BJ230" s="139"/>
      <c r="BK230" s="139"/>
      <c r="BL230" s="139"/>
      <c r="BM230" s="139"/>
      <c r="BN230" s="139"/>
      <c r="BO230" s="139"/>
      <c r="BP230" s="139"/>
      <c r="BQ230" s="139"/>
      <c r="BR230" s="139"/>
      <c r="BS230" s="139"/>
      <c r="BT230" s="139"/>
      <c r="BU230" s="139"/>
      <c r="BV230" s="139"/>
      <c r="BW230" s="139"/>
      <c r="BX230" s="139"/>
      <c r="BY230" s="139"/>
      <c r="BZ230" s="139"/>
      <c r="CA230" s="139"/>
      <c r="CB230" s="139"/>
      <c r="CC230" s="139"/>
      <c r="CD230" s="139"/>
      <c r="CE230" s="139"/>
      <c r="CF230" s="139"/>
      <c r="CG230" s="139"/>
      <c r="CH230" s="139"/>
      <c r="CI230" s="139"/>
      <c r="CJ230" s="139"/>
      <c r="CK230" s="139"/>
      <c r="CL230" s="139"/>
      <c r="CM230" s="139"/>
      <c r="CN230" s="139"/>
      <c r="CO230" s="139"/>
      <c r="CP230" s="139"/>
      <c r="CQ230" s="139"/>
      <c r="CR230" s="139"/>
      <c r="CS230" s="139"/>
      <c r="CT230" s="139"/>
      <c r="CU230" s="139"/>
      <c r="CV230" s="139"/>
      <c r="CW230" s="139"/>
      <c r="CX230" s="139"/>
      <c r="CY230" s="139"/>
      <c r="CZ230" s="139"/>
      <c r="DA230" s="139"/>
      <c r="DB230" s="139"/>
      <c r="DC230" s="139"/>
      <c r="DD230" s="139"/>
      <c r="DE230" s="139"/>
      <c r="DF230" s="139"/>
      <c r="DG230" s="139"/>
      <c r="DH230" s="139"/>
      <c r="DI230" s="139"/>
      <c r="DJ230" s="139"/>
      <c r="DK230" s="139"/>
      <c r="DL230" s="139"/>
      <c r="DM230" s="139"/>
      <c r="DN230" s="139"/>
      <c r="DO230" s="139"/>
      <c r="DP230" s="139"/>
      <c r="DQ230" s="139"/>
      <c r="DR230" s="139"/>
      <c r="DS230" s="139"/>
      <c r="DT230" s="139"/>
      <c r="DU230" s="139"/>
      <c r="DV230" s="139"/>
      <c r="DW230" s="139"/>
      <c r="DX230" s="139"/>
      <c r="DY230" s="139"/>
      <c r="DZ230" s="139"/>
      <c r="EA230" s="139"/>
      <c r="EB230" s="139"/>
      <c r="EC230" s="139"/>
      <c r="ED230" s="139"/>
      <c r="EE230" s="139"/>
      <c r="EF230" s="139"/>
      <c r="EG230" s="139"/>
      <c r="EH230" s="139"/>
      <c r="EI230" s="139"/>
      <c r="EJ230" s="139"/>
      <c r="EK230" s="139"/>
      <c r="EL230" s="139"/>
      <c r="EM230" s="139"/>
      <c r="EN230" s="139"/>
      <c r="EO230" s="139"/>
      <c r="EP230" s="139"/>
      <c r="EQ230" s="139"/>
      <c r="ER230" s="139"/>
      <c r="ES230" s="139"/>
      <c r="ET230" s="139"/>
      <c r="EU230" s="139"/>
      <c r="EV230" s="139"/>
      <c r="EW230" s="139"/>
      <c r="EX230" s="139"/>
      <c r="EY230" s="139"/>
      <c r="EZ230" s="139"/>
      <c r="FA230" s="139"/>
      <c r="FB230" s="139"/>
      <c r="FC230" s="139"/>
      <c r="FD230" s="139"/>
      <c r="FE230" s="139"/>
      <c r="FF230" s="139"/>
      <c r="FG230" s="139"/>
      <c r="FH230" s="139"/>
      <c r="FI230" s="139"/>
      <c r="FJ230" s="139"/>
      <c r="FK230" s="139"/>
      <c r="FL230" s="139"/>
      <c r="FM230" s="139"/>
      <c r="FN230" s="139"/>
      <c r="FO230" s="139"/>
      <c r="FP230" s="139"/>
      <c r="FQ230" s="139"/>
      <c r="FR230" s="139"/>
      <c r="FS230" s="139"/>
      <c r="FT230" s="139"/>
      <c r="FU230" s="139"/>
      <c r="FV230" s="139"/>
      <c r="FW230" s="139"/>
      <c r="FX230" s="139"/>
      <c r="FY230" s="139"/>
      <c r="FZ230" s="139"/>
      <c r="GA230" s="139"/>
      <c r="GB230" s="139"/>
      <c r="GC230" s="139"/>
      <c r="GD230" s="139"/>
      <c r="GE230" s="139"/>
      <c r="GF230" s="139"/>
      <c r="GG230" s="139"/>
      <c r="GH230" s="139"/>
      <c r="GI230" s="139"/>
      <c r="GJ230" s="139"/>
      <c r="GK230" s="139"/>
      <c r="GL230" s="139"/>
      <c r="GM230" s="139"/>
      <c r="GN230" s="139"/>
      <c r="GO230" s="139"/>
      <c r="GP230" s="139"/>
      <c r="GQ230" s="139"/>
      <c r="GR230" s="139"/>
      <c r="GS230" s="139"/>
      <c r="GT230" s="139"/>
      <c r="GU230" s="139"/>
      <c r="GV230" s="139"/>
      <c r="GW230" s="139"/>
      <c r="GX230" s="139"/>
      <c r="GY230" s="139"/>
      <c r="GZ230" s="139"/>
      <c r="HA230" s="139"/>
      <c r="HB230" s="139"/>
      <c r="HC230" s="139"/>
      <c r="HD230" s="139"/>
      <c r="HE230" s="139"/>
      <c r="HF230" s="139"/>
      <c r="HG230" s="139"/>
      <c r="HH230" s="139"/>
      <c r="HI230" s="139"/>
      <c r="HJ230" s="139"/>
      <c r="HK230" s="139"/>
      <c r="HL230" s="139"/>
      <c r="HM230" s="139"/>
      <c r="HN230" s="139"/>
      <c r="HO230" s="139"/>
      <c r="HP230" s="139"/>
      <c r="HQ230" s="139"/>
      <c r="HR230" s="139"/>
      <c r="HS230" s="139"/>
      <c r="HT230" s="139"/>
      <c r="HU230" s="139"/>
      <c r="HV230" s="139"/>
      <c r="HW230" s="139"/>
      <c r="HX230" s="139"/>
      <c r="HY230" s="139"/>
      <c r="HZ230" s="139"/>
      <c r="IA230" s="139"/>
      <c r="IB230" s="139"/>
      <c r="IC230" s="139"/>
      <c r="ID230" s="139"/>
      <c r="IE230" s="139"/>
      <c r="IF230" s="139"/>
      <c r="IG230" s="139"/>
      <c r="IH230" s="139"/>
      <c r="II230" s="139"/>
      <c r="IJ230" s="139"/>
      <c r="IK230" s="139"/>
      <c r="IL230" s="139"/>
      <c r="IM230" s="139"/>
      <c r="IN230" s="139"/>
      <c r="IO230" s="139"/>
      <c r="IP230" s="139"/>
      <c r="IQ230" s="139"/>
      <c r="IR230" s="139"/>
      <c r="IS230" s="139"/>
      <c r="IT230" s="139"/>
      <c r="IU230" s="139"/>
      <c r="IV230" s="139"/>
      <c r="IW230" s="139"/>
    </row>
    <row r="231" spans="2:257" x14ac:dyDescent="0.3">
      <c r="B231" s="5" t="s">
        <v>107</v>
      </c>
      <c r="C231" s="916" t="s">
        <v>210</v>
      </c>
      <c r="D231" s="968">
        <v>2746.3</v>
      </c>
      <c r="E231" s="968">
        <v>1006.4</v>
      </c>
      <c r="F231" s="968">
        <v>147029.20000000001</v>
      </c>
      <c r="G231" s="968">
        <v>2740.7</v>
      </c>
      <c r="H231" s="968">
        <v>62293.9</v>
      </c>
      <c r="I231" s="968">
        <v>28301.8</v>
      </c>
      <c r="J231" s="10">
        <v>16510.8</v>
      </c>
      <c r="K231" s="993">
        <v>8845.9</v>
      </c>
      <c r="L231" s="270">
        <f t="shared" si="28"/>
        <v>269475</v>
      </c>
      <c r="M231" s="995">
        <f>(P271*EF_CH4_DieselAvBio_Trans_kg_l+'II. Transport '!Q271*EF_CH4_PetrolAvBio_Trans_kg_l)*0.001</f>
        <v>352.97085815499997</v>
      </c>
      <c r="N231" s="996">
        <f>(P271*EF_N2O_DieselAvBio_Trans_kg_l+'II. Transport '!Q271*EF_N2O_PetrolAvBio_Trans_kg_l)*0.001</f>
        <v>2335.9221842289999</v>
      </c>
      <c r="O231" s="268">
        <f t="shared" si="25"/>
        <v>272163.89304238401</v>
      </c>
      <c r="P231" s="283">
        <v>10.068460074963902</v>
      </c>
      <c r="Q231" s="16">
        <v>145.71949581362483</v>
      </c>
      <c r="R231" s="16">
        <v>2056.0732074013495</v>
      </c>
      <c r="S231" s="16">
        <v>321.64437185214143</v>
      </c>
      <c r="T231" s="968">
        <v>324.92247513236219</v>
      </c>
      <c r="U231" s="993">
        <v>981.55778219182969</v>
      </c>
      <c r="V231" s="968">
        <v>460.18326048052069</v>
      </c>
      <c r="W231" s="16">
        <v>4.0586040612257595</v>
      </c>
      <c r="X231" s="283">
        <f t="shared" si="26"/>
        <v>4304.2276570080185</v>
      </c>
      <c r="Y231" s="968">
        <f>(AB271*EF_CH4_ElectGen_DCI+AB271*EF_CH4_ElectTDL_DCI)/1000</f>
        <v>21.829649142823879</v>
      </c>
      <c r="Z231" s="968">
        <f t="shared" si="24"/>
        <v>29.625952408118124</v>
      </c>
      <c r="AA231" s="268">
        <f t="shared" si="27"/>
        <v>4355.68325855896</v>
      </c>
      <c r="AB231" s="139"/>
      <c r="AC231" s="139"/>
      <c r="AD231" s="139"/>
      <c r="AE231" s="139"/>
      <c r="AF231" s="139"/>
      <c r="AG231" s="139"/>
      <c r="AH231" s="139"/>
      <c r="AI231" s="139"/>
      <c r="AJ231" s="139"/>
      <c r="AK231" s="139"/>
      <c r="AL231" s="139"/>
      <c r="AM231" s="139"/>
      <c r="AN231" s="139"/>
      <c r="AO231" s="139"/>
      <c r="AP231" s="139"/>
      <c r="AQ231" s="139"/>
      <c r="AR231" s="139"/>
      <c r="AS231" s="139"/>
      <c r="AT231" s="139"/>
      <c r="AU231" s="139"/>
      <c r="AV231" s="139"/>
      <c r="AW231" s="139"/>
      <c r="AX231" s="139"/>
      <c r="AY231" s="139"/>
      <c r="AZ231" s="139"/>
      <c r="BA231" s="139"/>
      <c r="BB231" s="139"/>
      <c r="BC231" s="139"/>
      <c r="BD231" s="139"/>
      <c r="BE231" s="139"/>
      <c r="BF231" s="139"/>
      <c r="BG231" s="139"/>
      <c r="BH231" s="139"/>
      <c r="BI231" s="139"/>
      <c r="BJ231" s="139"/>
      <c r="BK231" s="139"/>
      <c r="BL231" s="139"/>
      <c r="BM231" s="139"/>
      <c r="BN231" s="139"/>
      <c r="BO231" s="139"/>
      <c r="BP231" s="139"/>
      <c r="BQ231" s="139"/>
      <c r="BR231" s="139"/>
      <c r="BS231" s="139"/>
      <c r="BT231" s="139"/>
      <c r="BU231" s="139"/>
      <c r="BV231" s="139"/>
      <c r="BW231" s="139"/>
      <c r="BX231" s="139"/>
      <c r="BY231" s="139"/>
      <c r="BZ231" s="139"/>
      <c r="CA231" s="139"/>
      <c r="CB231" s="139"/>
      <c r="CC231" s="139"/>
      <c r="CD231" s="139"/>
      <c r="CE231" s="139"/>
      <c r="CF231" s="139"/>
      <c r="CG231" s="139"/>
      <c r="CH231" s="139"/>
      <c r="CI231" s="139"/>
      <c r="CJ231" s="139"/>
      <c r="CK231" s="139"/>
      <c r="CL231" s="139"/>
      <c r="CM231" s="139"/>
      <c r="CN231" s="139"/>
      <c r="CO231" s="139"/>
      <c r="CP231" s="139"/>
      <c r="CQ231" s="139"/>
      <c r="CR231" s="139"/>
      <c r="CS231" s="139"/>
      <c r="CT231" s="139"/>
      <c r="CU231" s="139"/>
      <c r="CV231" s="139"/>
      <c r="CW231" s="139"/>
      <c r="CX231" s="139"/>
      <c r="CY231" s="139"/>
      <c r="CZ231" s="139"/>
      <c r="DA231" s="139"/>
      <c r="DB231" s="139"/>
      <c r="DC231" s="139"/>
      <c r="DD231" s="139"/>
      <c r="DE231" s="139"/>
      <c r="DF231" s="139"/>
      <c r="DG231" s="139"/>
      <c r="DH231" s="139"/>
      <c r="DI231" s="139"/>
      <c r="DJ231" s="139"/>
      <c r="DK231" s="139"/>
      <c r="DL231" s="139"/>
      <c r="DM231" s="139"/>
      <c r="DN231" s="139"/>
      <c r="DO231" s="139"/>
      <c r="DP231" s="139"/>
      <c r="DQ231" s="139"/>
      <c r="DR231" s="139"/>
      <c r="DS231" s="139"/>
      <c r="DT231" s="139"/>
      <c r="DU231" s="139"/>
      <c r="DV231" s="139"/>
      <c r="DW231" s="139"/>
      <c r="DX231" s="139"/>
      <c r="DY231" s="139"/>
      <c r="DZ231" s="139"/>
      <c r="EA231" s="139"/>
      <c r="EB231" s="139"/>
      <c r="EC231" s="139"/>
      <c r="ED231" s="139"/>
      <c r="EE231" s="139"/>
      <c r="EF231" s="139"/>
      <c r="EG231" s="139"/>
      <c r="EH231" s="139"/>
      <c r="EI231" s="139"/>
      <c r="EJ231" s="139"/>
      <c r="EK231" s="139"/>
      <c r="EL231" s="139"/>
      <c r="EM231" s="139"/>
      <c r="EN231" s="139"/>
      <c r="EO231" s="139"/>
      <c r="EP231" s="139"/>
      <c r="EQ231" s="139"/>
      <c r="ER231" s="139"/>
      <c r="ES231" s="139"/>
      <c r="ET231" s="139"/>
      <c r="EU231" s="139"/>
      <c r="EV231" s="139"/>
      <c r="EW231" s="139"/>
      <c r="EX231" s="139"/>
      <c r="EY231" s="139"/>
      <c r="EZ231" s="139"/>
      <c r="FA231" s="139"/>
      <c r="FB231" s="139"/>
      <c r="FC231" s="139"/>
      <c r="FD231" s="139"/>
      <c r="FE231" s="139"/>
      <c r="FF231" s="139"/>
      <c r="FG231" s="139"/>
      <c r="FH231" s="139"/>
      <c r="FI231" s="139"/>
      <c r="FJ231" s="139"/>
      <c r="FK231" s="139"/>
      <c r="FL231" s="139"/>
      <c r="FM231" s="139"/>
      <c r="FN231" s="139"/>
      <c r="FO231" s="139"/>
      <c r="FP231" s="139"/>
      <c r="FQ231" s="139"/>
      <c r="FR231" s="139"/>
      <c r="FS231" s="139"/>
      <c r="FT231" s="139"/>
      <c r="FU231" s="139"/>
      <c r="FV231" s="139"/>
      <c r="FW231" s="139"/>
      <c r="FX231" s="139"/>
      <c r="FY231" s="139"/>
      <c r="FZ231" s="139"/>
      <c r="GA231" s="139"/>
      <c r="GB231" s="139"/>
      <c r="GC231" s="139"/>
      <c r="GD231" s="139"/>
      <c r="GE231" s="139"/>
      <c r="GF231" s="139"/>
      <c r="GG231" s="139"/>
      <c r="GH231" s="139"/>
      <c r="GI231" s="139"/>
      <c r="GJ231" s="139"/>
      <c r="GK231" s="139"/>
      <c r="GL231" s="139"/>
      <c r="GM231" s="139"/>
      <c r="GN231" s="139"/>
      <c r="GO231" s="139"/>
      <c r="GP231" s="139"/>
      <c r="GQ231" s="139"/>
      <c r="GR231" s="139"/>
      <c r="GS231" s="139"/>
      <c r="GT231" s="139"/>
      <c r="GU231" s="139"/>
      <c r="GV231" s="139"/>
      <c r="GW231" s="139"/>
      <c r="GX231" s="139"/>
      <c r="GY231" s="139"/>
      <c r="GZ231" s="139"/>
      <c r="HA231" s="139"/>
      <c r="HB231" s="139"/>
      <c r="HC231" s="139"/>
      <c r="HD231" s="139"/>
      <c r="HE231" s="139"/>
      <c r="HF231" s="139"/>
      <c r="HG231" s="139"/>
      <c r="HH231" s="139"/>
      <c r="HI231" s="139"/>
      <c r="HJ231" s="139"/>
      <c r="HK231" s="139"/>
      <c r="HL231" s="139"/>
      <c r="HM231" s="139"/>
      <c r="HN231" s="139"/>
      <c r="HO231" s="139"/>
      <c r="HP231" s="139"/>
      <c r="HQ231" s="139"/>
      <c r="HR231" s="139"/>
      <c r="HS231" s="139"/>
      <c r="HT231" s="139"/>
      <c r="HU231" s="139"/>
      <c r="HV231" s="139"/>
      <c r="HW231" s="139"/>
      <c r="HX231" s="139"/>
      <c r="HY231" s="139"/>
      <c r="HZ231" s="139"/>
      <c r="IA231" s="139"/>
      <c r="IB231" s="139"/>
      <c r="IC231" s="139"/>
      <c r="ID231" s="139"/>
      <c r="IE231" s="139"/>
      <c r="IF231" s="139"/>
      <c r="IG231" s="139"/>
      <c r="IH231" s="139"/>
      <c r="II231" s="139"/>
      <c r="IJ231" s="139"/>
      <c r="IK231" s="139"/>
      <c r="IL231" s="139"/>
      <c r="IM231" s="139"/>
      <c r="IN231" s="139"/>
      <c r="IO231" s="139"/>
      <c r="IP231" s="139"/>
      <c r="IQ231" s="139"/>
      <c r="IR231" s="139"/>
      <c r="IS231" s="139"/>
      <c r="IT231" s="139"/>
      <c r="IU231" s="139"/>
      <c r="IV231" s="139"/>
      <c r="IW231" s="139"/>
    </row>
    <row r="232" spans="2:257" x14ac:dyDescent="0.3">
      <c r="B232" s="5" t="s">
        <v>108</v>
      </c>
      <c r="C232" s="916" t="s">
        <v>211</v>
      </c>
      <c r="D232" s="968">
        <v>3643.2</v>
      </c>
      <c r="E232" s="968">
        <v>5339.5</v>
      </c>
      <c r="F232" s="968">
        <v>41002.400000000001</v>
      </c>
      <c r="G232" s="968">
        <v>6589.3</v>
      </c>
      <c r="H232" s="968">
        <v>26188</v>
      </c>
      <c r="I232" s="968">
        <v>24846.799999999999</v>
      </c>
      <c r="J232" s="10">
        <v>10870.6</v>
      </c>
      <c r="K232" s="993">
        <v>1909.4</v>
      </c>
      <c r="L232" s="270">
        <f t="shared" si="28"/>
        <v>120389.20000000001</v>
      </c>
      <c r="M232" s="995">
        <f>(P272*EF_CH4_DieselAvBio_Trans_kg_l+'II. Transport '!Q272*EF_CH4_PetrolAvBio_Trans_kg_l)*0.001</f>
        <v>122.19145379799998</v>
      </c>
      <c r="N232" s="996">
        <f>(P272*EF_N2O_DieselAvBio_Trans_kg_l+'II. Transport '!Q272*EF_N2O_PetrolAvBio_Trans_kg_l)*0.001</f>
        <v>1155.1094323810003</v>
      </c>
      <c r="O232" s="268">
        <f t="shared" si="25"/>
        <v>121666.50088617901</v>
      </c>
      <c r="P232" s="283">
        <v>12.019712027476286</v>
      </c>
      <c r="Q232" s="16">
        <v>599.11239949940239</v>
      </c>
      <c r="R232" s="16">
        <v>600.98560137381435</v>
      </c>
      <c r="S232" s="16">
        <v>669.12331955554669</v>
      </c>
      <c r="T232" s="968">
        <v>192.86174298632403</v>
      </c>
      <c r="U232" s="993">
        <v>557.27755763753692</v>
      </c>
      <c r="V232" s="968">
        <v>224.78422492942664</v>
      </c>
      <c r="W232" s="16">
        <v>2.1073521087133749</v>
      </c>
      <c r="X232" s="283">
        <f t="shared" si="26"/>
        <v>2858.2719101182406</v>
      </c>
      <c r="Y232" s="968">
        <f t="shared" si="23"/>
        <v>14.496229736147988</v>
      </c>
      <c r="Z232" s="968">
        <f t="shared" si="24"/>
        <v>19.673454641915125</v>
      </c>
      <c r="AA232" s="268">
        <f t="shared" si="27"/>
        <v>2892.4415944963039</v>
      </c>
      <c r="AB232" s="139"/>
      <c r="AC232" s="139"/>
      <c r="AD232" s="139"/>
      <c r="AE232" s="139"/>
      <c r="AF232" s="139"/>
      <c r="AG232" s="139"/>
      <c r="AH232" s="139"/>
      <c r="AI232" s="139"/>
      <c r="AJ232" s="139"/>
      <c r="AK232" s="139"/>
      <c r="AL232" s="139"/>
      <c r="AM232" s="139"/>
      <c r="AN232" s="139"/>
      <c r="AO232" s="139"/>
      <c r="AP232" s="139"/>
      <c r="AQ232" s="139"/>
      <c r="AR232" s="139"/>
      <c r="AS232" s="139"/>
      <c r="AT232" s="139"/>
      <c r="AU232" s="139"/>
      <c r="AV232" s="139"/>
      <c r="AW232" s="139"/>
      <c r="AX232" s="139"/>
      <c r="AY232" s="139"/>
      <c r="AZ232" s="139"/>
      <c r="BA232" s="139"/>
      <c r="BB232" s="139"/>
      <c r="BC232" s="139"/>
      <c r="BD232" s="139"/>
      <c r="BE232" s="139"/>
      <c r="BF232" s="139"/>
      <c r="BG232" s="139"/>
      <c r="BH232" s="139"/>
      <c r="BI232" s="139"/>
      <c r="BJ232" s="139"/>
      <c r="BK232" s="139"/>
      <c r="BL232" s="139"/>
      <c r="BM232" s="139"/>
      <c r="BN232" s="139"/>
      <c r="BO232" s="139"/>
      <c r="BP232" s="139"/>
      <c r="BQ232" s="139"/>
      <c r="BR232" s="139"/>
      <c r="BS232" s="139"/>
      <c r="BT232" s="139"/>
      <c r="BU232" s="139"/>
      <c r="BV232" s="139"/>
      <c r="BW232" s="139"/>
      <c r="BX232" s="139"/>
      <c r="BY232" s="139"/>
      <c r="BZ232" s="139"/>
      <c r="CA232" s="139"/>
      <c r="CB232" s="139"/>
      <c r="CC232" s="139"/>
      <c r="CD232" s="139"/>
      <c r="CE232" s="139"/>
      <c r="CF232" s="139"/>
      <c r="CG232" s="139"/>
      <c r="CH232" s="139"/>
      <c r="CI232" s="139"/>
      <c r="CJ232" s="139"/>
      <c r="CK232" s="139"/>
      <c r="CL232" s="139"/>
      <c r="CM232" s="139"/>
      <c r="CN232" s="139"/>
      <c r="CO232" s="139"/>
      <c r="CP232" s="139"/>
      <c r="CQ232" s="139"/>
      <c r="CR232" s="139"/>
      <c r="CS232" s="139"/>
      <c r="CT232" s="139"/>
      <c r="CU232" s="139"/>
      <c r="CV232" s="139"/>
      <c r="CW232" s="139"/>
      <c r="CX232" s="139"/>
      <c r="CY232" s="139"/>
      <c r="CZ232" s="139"/>
      <c r="DA232" s="139"/>
      <c r="DB232" s="139"/>
      <c r="DC232" s="139"/>
      <c r="DD232" s="139"/>
      <c r="DE232" s="139"/>
      <c r="DF232" s="139"/>
      <c r="DG232" s="139"/>
      <c r="DH232" s="139"/>
      <c r="DI232" s="139"/>
      <c r="DJ232" s="139"/>
      <c r="DK232" s="139"/>
      <c r="DL232" s="139"/>
      <c r="DM232" s="139"/>
      <c r="DN232" s="139"/>
      <c r="DO232" s="139"/>
      <c r="DP232" s="139"/>
      <c r="DQ232" s="139"/>
      <c r="DR232" s="139"/>
      <c r="DS232" s="139"/>
      <c r="DT232" s="139"/>
      <c r="DU232" s="139"/>
      <c r="DV232" s="139"/>
      <c r="DW232" s="139"/>
      <c r="DX232" s="139"/>
      <c r="DY232" s="139"/>
      <c r="DZ232" s="139"/>
      <c r="EA232" s="139"/>
      <c r="EB232" s="139"/>
      <c r="EC232" s="139"/>
      <c r="ED232" s="139"/>
      <c r="EE232" s="139"/>
      <c r="EF232" s="139"/>
      <c r="EG232" s="139"/>
      <c r="EH232" s="139"/>
      <c r="EI232" s="139"/>
      <c r="EJ232" s="139"/>
      <c r="EK232" s="139"/>
      <c r="EL232" s="139"/>
      <c r="EM232" s="139"/>
      <c r="EN232" s="139"/>
      <c r="EO232" s="139"/>
      <c r="EP232" s="139"/>
      <c r="EQ232" s="139"/>
      <c r="ER232" s="139"/>
      <c r="ES232" s="139"/>
      <c r="ET232" s="139"/>
      <c r="EU232" s="139"/>
      <c r="EV232" s="139"/>
      <c r="EW232" s="139"/>
      <c r="EX232" s="139"/>
      <c r="EY232" s="139"/>
      <c r="EZ232" s="139"/>
      <c r="FA232" s="139"/>
      <c r="FB232" s="139"/>
      <c r="FC232" s="139"/>
      <c r="FD232" s="139"/>
      <c r="FE232" s="139"/>
      <c r="FF232" s="139"/>
      <c r="FG232" s="139"/>
      <c r="FH232" s="139"/>
      <c r="FI232" s="139"/>
      <c r="FJ232" s="139"/>
      <c r="FK232" s="139"/>
      <c r="FL232" s="139"/>
      <c r="FM232" s="139"/>
      <c r="FN232" s="139"/>
      <c r="FO232" s="139"/>
      <c r="FP232" s="139"/>
      <c r="FQ232" s="139"/>
      <c r="FR232" s="139"/>
      <c r="FS232" s="139"/>
      <c r="FT232" s="139"/>
      <c r="FU232" s="139"/>
      <c r="FV232" s="139"/>
      <c r="FW232" s="139"/>
      <c r="FX232" s="139"/>
      <c r="FY232" s="139"/>
      <c r="FZ232" s="139"/>
      <c r="GA232" s="139"/>
      <c r="GB232" s="139"/>
      <c r="GC232" s="139"/>
      <c r="GD232" s="139"/>
      <c r="GE232" s="139"/>
      <c r="GF232" s="139"/>
      <c r="GG232" s="139"/>
      <c r="GH232" s="139"/>
      <c r="GI232" s="139"/>
      <c r="GJ232" s="139"/>
      <c r="GK232" s="139"/>
      <c r="GL232" s="139"/>
      <c r="GM232" s="139"/>
      <c r="GN232" s="139"/>
      <c r="GO232" s="139"/>
      <c r="GP232" s="139"/>
      <c r="GQ232" s="139"/>
      <c r="GR232" s="139"/>
      <c r="GS232" s="139"/>
      <c r="GT232" s="139"/>
      <c r="GU232" s="139"/>
      <c r="GV232" s="139"/>
      <c r="GW232" s="139"/>
      <c r="GX232" s="139"/>
      <c r="GY232" s="139"/>
      <c r="GZ232" s="139"/>
      <c r="HA232" s="139"/>
      <c r="HB232" s="139"/>
      <c r="HC232" s="139"/>
      <c r="HD232" s="139"/>
      <c r="HE232" s="139"/>
      <c r="HF232" s="139"/>
      <c r="HG232" s="139"/>
      <c r="HH232" s="139"/>
      <c r="HI232" s="139"/>
      <c r="HJ232" s="139"/>
      <c r="HK232" s="139"/>
      <c r="HL232" s="139"/>
      <c r="HM232" s="139"/>
      <c r="HN232" s="139"/>
      <c r="HO232" s="139"/>
      <c r="HP232" s="139"/>
      <c r="HQ232" s="139"/>
      <c r="HR232" s="139"/>
      <c r="HS232" s="139"/>
      <c r="HT232" s="139"/>
      <c r="HU232" s="139"/>
      <c r="HV232" s="139"/>
      <c r="HW232" s="139"/>
      <c r="HX232" s="139"/>
      <c r="HY232" s="139"/>
      <c r="HZ232" s="139"/>
      <c r="IA232" s="139"/>
      <c r="IB232" s="139"/>
      <c r="IC232" s="139"/>
      <c r="ID232" s="139"/>
      <c r="IE232" s="139"/>
      <c r="IF232" s="139"/>
      <c r="IG232" s="139"/>
      <c r="IH232" s="139"/>
      <c r="II232" s="139"/>
      <c r="IJ232" s="139"/>
      <c r="IK232" s="139"/>
      <c r="IL232" s="139"/>
      <c r="IM232" s="139"/>
      <c r="IN232" s="139"/>
      <c r="IO232" s="139"/>
      <c r="IP232" s="139"/>
      <c r="IQ232" s="139"/>
      <c r="IR232" s="139"/>
      <c r="IS232" s="139"/>
      <c r="IT232" s="139"/>
      <c r="IU232" s="139"/>
      <c r="IV232" s="139"/>
      <c r="IW232" s="139"/>
    </row>
    <row r="233" spans="2:257" x14ac:dyDescent="0.3">
      <c r="B233" s="5" t="s">
        <v>109</v>
      </c>
      <c r="C233" s="916" t="s">
        <v>212</v>
      </c>
      <c r="D233" s="968">
        <v>2118.8000000000002</v>
      </c>
      <c r="E233" s="968">
        <v>4675.7</v>
      </c>
      <c r="F233" s="968">
        <v>4881.3</v>
      </c>
      <c r="G233" s="968">
        <v>3532.5</v>
      </c>
      <c r="H233" s="968">
        <v>7613.4</v>
      </c>
      <c r="I233" s="968">
        <v>11074.3</v>
      </c>
      <c r="J233" s="10">
        <v>4678.8</v>
      </c>
      <c r="K233" s="993">
        <v>464.3</v>
      </c>
      <c r="L233" s="270">
        <f t="shared" si="28"/>
        <v>39039.100000000006</v>
      </c>
      <c r="M233" s="995">
        <f>(P273*EF_CH4_DieselAvBio_Trans_kg_l+'II. Transport '!Q273*EF_CH4_PetrolAvBio_Trans_kg_l)*0.001</f>
        <v>22.304186154</v>
      </c>
      <c r="N233" s="996">
        <f>(P273*EF_N2O_DieselAvBio_Trans_kg_l+'II. Transport '!Q273*EF_N2O_PetrolAvBio_Trans_kg_l)*0.001</f>
        <v>427.19253756899997</v>
      </c>
      <c r="O233" s="268">
        <f t="shared" si="25"/>
        <v>39488.596723723</v>
      </c>
      <c r="P233" s="283">
        <v>7.5708575757480503</v>
      </c>
      <c r="Q233" s="16">
        <v>472.82737313280091</v>
      </c>
      <c r="R233" s="16">
        <v>120.04102011856187</v>
      </c>
      <c r="S233" s="16">
        <v>363.0889633235044</v>
      </c>
      <c r="T233" s="968">
        <v>78.986679037701307</v>
      </c>
      <c r="U233" s="993">
        <v>163.2027133081358</v>
      </c>
      <c r="V233" s="968">
        <v>70.323120368546313</v>
      </c>
      <c r="W233" s="16">
        <v>1.4049014058089166</v>
      </c>
      <c r="X233" s="283">
        <f t="shared" si="26"/>
        <v>1277.4456282708077</v>
      </c>
      <c r="Y233" s="968">
        <f t="shared" si="23"/>
        <v>6.4787906417502006</v>
      </c>
      <c r="Z233" s="968">
        <f t="shared" si="24"/>
        <v>8.7926444423752752</v>
      </c>
      <c r="AA233" s="268">
        <f t="shared" si="27"/>
        <v>1292.7170633549333</v>
      </c>
      <c r="AB233" s="139"/>
      <c r="AC233" s="139"/>
      <c r="AD233" s="139"/>
      <c r="AE233" s="139"/>
      <c r="AF233" s="139"/>
      <c r="AG233" s="139"/>
      <c r="AH233" s="139"/>
      <c r="AI233" s="139"/>
      <c r="AJ233" s="139"/>
      <c r="AK233" s="139"/>
      <c r="AL233" s="139"/>
      <c r="AM233" s="139"/>
      <c r="AN233" s="139"/>
      <c r="AO233" s="139"/>
      <c r="AP233" s="139"/>
      <c r="AQ233" s="139"/>
      <c r="AR233" s="139"/>
      <c r="AS233" s="139"/>
      <c r="AT233" s="139"/>
      <c r="AU233" s="139"/>
      <c r="AV233" s="139"/>
      <c r="AW233" s="139"/>
      <c r="AX233" s="139"/>
      <c r="AY233" s="139"/>
      <c r="AZ233" s="139"/>
      <c r="BA233" s="139"/>
      <c r="BB233" s="139"/>
      <c r="BC233" s="139"/>
      <c r="BD233" s="139"/>
      <c r="BE233" s="139"/>
      <c r="BF233" s="139"/>
      <c r="BG233" s="139"/>
      <c r="BH233" s="139"/>
      <c r="BI233" s="139"/>
      <c r="BJ233" s="139"/>
      <c r="BK233" s="139"/>
      <c r="BL233" s="139"/>
      <c r="BM233" s="139"/>
      <c r="BN233" s="139"/>
      <c r="BO233" s="139"/>
      <c r="BP233" s="139"/>
      <c r="BQ233" s="139"/>
      <c r="BR233" s="139"/>
      <c r="BS233" s="139"/>
      <c r="BT233" s="139"/>
      <c r="BU233" s="139"/>
      <c r="BV233" s="139"/>
      <c r="BW233" s="139"/>
      <c r="BX233" s="139"/>
      <c r="BY233" s="139"/>
      <c r="BZ233" s="139"/>
      <c r="CA233" s="139"/>
      <c r="CB233" s="139"/>
      <c r="CC233" s="139"/>
      <c r="CD233" s="139"/>
      <c r="CE233" s="139"/>
      <c r="CF233" s="139"/>
      <c r="CG233" s="139"/>
      <c r="CH233" s="139"/>
      <c r="CI233" s="139"/>
      <c r="CJ233" s="139"/>
      <c r="CK233" s="139"/>
      <c r="CL233" s="139"/>
      <c r="CM233" s="139"/>
      <c r="CN233" s="139"/>
      <c r="CO233" s="139"/>
      <c r="CP233" s="139"/>
      <c r="CQ233" s="139"/>
      <c r="CR233" s="139"/>
      <c r="CS233" s="139"/>
      <c r="CT233" s="139"/>
      <c r="CU233" s="139"/>
      <c r="CV233" s="139"/>
      <c r="CW233" s="139"/>
      <c r="CX233" s="139"/>
      <c r="CY233" s="139"/>
      <c r="CZ233" s="139"/>
      <c r="DA233" s="139"/>
      <c r="DB233" s="139"/>
      <c r="DC233" s="139"/>
      <c r="DD233" s="139"/>
      <c r="DE233" s="139"/>
      <c r="DF233" s="139"/>
      <c r="DG233" s="139"/>
      <c r="DH233" s="139"/>
      <c r="DI233" s="139"/>
      <c r="DJ233" s="139"/>
      <c r="DK233" s="139"/>
      <c r="DL233" s="139"/>
      <c r="DM233" s="139"/>
      <c r="DN233" s="139"/>
      <c r="DO233" s="139"/>
      <c r="DP233" s="139"/>
      <c r="DQ233" s="139"/>
      <c r="DR233" s="139"/>
      <c r="DS233" s="139"/>
      <c r="DT233" s="139"/>
      <c r="DU233" s="139"/>
      <c r="DV233" s="139"/>
      <c r="DW233" s="139"/>
      <c r="DX233" s="139"/>
      <c r="DY233" s="139"/>
      <c r="DZ233" s="139"/>
      <c r="EA233" s="139"/>
      <c r="EB233" s="139"/>
      <c r="EC233" s="139"/>
      <c r="ED233" s="139"/>
      <c r="EE233" s="139"/>
      <c r="EF233" s="139"/>
      <c r="EG233" s="139"/>
      <c r="EH233" s="139"/>
      <c r="EI233" s="139"/>
      <c r="EJ233" s="139"/>
      <c r="EK233" s="139"/>
      <c r="EL233" s="139"/>
      <c r="EM233" s="139"/>
      <c r="EN233" s="139"/>
      <c r="EO233" s="139"/>
      <c r="EP233" s="139"/>
      <c r="EQ233" s="139"/>
      <c r="ER233" s="139"/>
      <c r="ES233" s="139"/>
      <c r="ET233" s="139"/>
      <c r="EU233" s="139"/>
      <c r="EV233" s="139"/>
      <c r="EW233" s="139"/>
      <c r="EX233" s="139"/>
      <c r="EY233" s="139"/>
      <c r="EZ233" s="139"/>
      <c r="FA233" s="139"/>
      <c r="FB233" s="139"/>
      <c r="FC233" s="139"/>
      <c r="FD233" s="139"/>
      <c r="FE233" s="139"/>
      <c r="FF233" s="139"/>
      <c r="FG233" s="139"/>
      <c r="FH233" s="139"/>
      <c r="FI233" s="139"/>
      <c r="FJ233" s="139"/>
      <c r="FK233" s="139"/>
      <c r="FL233" s="139"/>
      <c r="FM233" s="139"/>
      <c r="FN233" s="139"/>
      <c r="FO233" s="139"/>
      <c r="FP233" s="139"/>
      <c r="FQ233" s="139"/>
      <c r="FR233" s="139"/>
      <c r="FS233" s="139"/>
      <c r="FT233" s="139"/>
      <c r="FU233" s="139"/>
      <c r="FV233" s="139"/>
      <c r="FW233" s="139"/>
      <c r="FX233" s="139"/>
      <c r="FY233" s="139"/>
      <c r="FZ233" s="139"/>
      <c r="GA233" s="139"/>
      <c r="GB233" s="139"/>
      <c r="GC233" s="139"/>
      <c r="GD233" s="139"/>
      <c r="GE233" s="139"/>
      <c r="GF233" s="139"/>
      <c r="GG233" s="139"/>
      <c r="GH233" s="139"/>
      <c r="GI233" s="139"/>
      <c r="GJ233" s="139"/>
      <c r="GK233" s="139"/>
      <c r="GL233" s="139"/>
      <c r="GM233" s="139"/>
      <c r="GN233" s="139"/>
      <c r="GO233" s="139"/>
      <c r="GP233" s="139"/>
      <c r="GQ233" s="139"/>
      <c r="GR233" s="139"/>
      <c r="GS233" s="139"/>
      <c r="GT233" s="139"/>
      <c r="GU233" s="139"/>
      <c r="GV233" s="139"/>
      <c r="GW233" s="139"/>
      <c r="GX233" s="139"/>
      <c r="GY233" s="139"/>
      <c r="GZ233" s="139"/>
      <c r="HA233" s="139"/>
      <c r="HB233" s="139"/>
      <c r="HC233" s="139"/>
      <c r="HD233" s="139"/>
      <c r="HE233" s="139"/>
      <c r="HF233" s="139"/>
      <c r="HG233" s="139"/>
      <c r="HH233" s="139"/>
      <c r="HI233" s="139"/>
      <c r="HJ233" s="139"/>
      <c r="HK233" s="139"/>
      <c r="HL233" s="139"/>
      <c r="HM233" s="139"/>
      <c r="HN233" s="139"/>
      <c r="HO233" s="139"/>
      <c r="HP233" s="139"/>
      <c r="HQ233" s="139"/>
      <c r="HR233" s="139"/>
      <c r="HS233" s="139"/>
      <c r="HT233" s="139"/>
      <c r="HU233" s="139"/>
      <c r="HV233" s="139"/>
      <c r="HW233" s="139"/>
      <c r="HX233" s="139"/>
      <c r="HY233" s="139"/>
      <c r="HZ233" s="139"/>
      <c r="IA233" s="139"/>
      <c r="IB233" s="139"/>
      <c r="IC233" s="139"/>
      <c r="ID233" s="139"/>
      <c r="IE233" s="139"/>
      <c r="IF233" s="139"/>
      <c r="IG233" s="139"/>
      <c r="IH233" s="139"/>
      <c r="II233" s="139"/>
      <c r="IJ233" s="139"/>
      <c r="IK233" s="139"/>
      <c r="IL233" s="139"/>
      <c r="IM233" s="139"/>
      <c r="IN233" s="139"/>
      <c r="IO233" s="139"/>
      <c r="IP233" s="139"/>
      <c r="IQ233" s="139"/>
      <c r="IR233" s="139"/>
      <c r="IS233" s="139"/>
      <c r="IT233" s="139"/>
      <c r="IU233" s="139"/>
      <c r="IV233" s="139"/>
      <c r="IW233" s="139"/>
    </row>
    <row r="234" spans="2:257" x14ac:dyDescent="0.3">
      <c r="B234" s="5" t="s">
        <v>110</v>
      </c>
      <c r="C234" s="916" t="s">
        <v>213</v>
      </c>
      <c r="D234" s="968">
        <v>2608.9</v>
      </c>
      <c r="E234" s="968">
        <v>1240.3</v>
      </c>
      <c r="F234" s="968">
        <v>139023.4</v>
      </c>
      <c r="G234" s="968">
        <v>3179.5</v>
      </c>
      <c r="H234" s="968">
        <v>61473.2</v>
      </c>
      <c r="I234" s="968">
        <v>30868.799999999999</v>
      </c>
      <c r="J234" s="10">
        <v>18645.5</v>
      </c>
      <c r="K234" s="993">
        <v>9860</v>
      </c>
      <c r="L234" s="270">
        <f t="shared" si="28"/>
        <v>266899.59999999998</v>
      </c>
      <c r="M234" s="995">
        <f>(P274*EF_CH4_DieselAvBio_Trans_kg_l+'II. Transport '!Q274*EF_CH4_PetrolAvBio_Trans_kg_l)*0.001</f>
        <v>335.94655588900002</v>
      </c>
      <c r="N234" s="996">
        <f>(P274*EF_N2O_DieselAvBio_Trans_kg_l+'II. Transport '!Q274*EF_N2O_PetrolAvBio_Trans_kg_l)*0.001</f>
        <v>2353.8171037689999</v>
      </c>
      <c r="O234" s="268">
        <f t="shared" si="25"/>
        <v>269589.36365965795</v>
      </c>
      <c r="P234" s="283">
        <v>9.4440594501599389</v>
      </c>
      <c r="Q234" s="16">
        <v>176.31512642901905</v>
      </c>
      <c r="R234" s="16">
        <v>1926.1198273640248</v>
      </c>
      <c r="S234" s="16">
        <v>377.60627785019659</v>
      </c>
      <c r="T234" s="968">
        <v>317.19551740041311</v>
      </c>
      <c r="U234" s="993">
        <v>1004.8947555438777</v>
      </c>
      <c r="V234" s="968">
        <v>499.4424497650698</v>
      </c>
      <c r="W234" s="16">
        <v>4.448854451728236</v>
      </c>
      <c r="X234" s="283">
        <f t="shared" si="26"/>
        <v>4315.4668682544889</v>
      </c>
      <c r="Y234" s="968">
        <f t="shared" si="23"/>
        <v>21.886650783467367</v>
      </c>
      <c r="Z234" s="968">
        <f t="shared" si="24"/>
        <v>29.70331177756286</v>
      </c>
      <c r="AA234" s="268">
        <f t="shared" si="27"/>
        <v>4367.0568308155189</v>
      </c>
      <c r="AB234" s="139"/>
      <c r="AC234" s="139"/>
      <c r="AD234" s="139"/>
      <c r="AE234" s="139"/>
      <c r="AF234" s="139"/>
      <c r="AG234" s="139"/>
      <c r="AH234" s="139"/>
      <c r="AI234" s="139"/>
      <c r="AJ234" s="139"/>
      <c r="AK234" s="139"/>
      <c r="AL234" s="139"/>
      <c r="AM234" s="139"/>
      <c r="AN234" s="139"/>
      <c r="AO234" s="139"/>
      <c r="AP234" s="139"/>
      <c r="AQ234" s="139"/>
      <c r="AR234" s="139"/>
      <c r="AS234" s="139"/>
      <c r="AT234" s="139"/>
      <c r="AU234" s="139"/>
      <c r="AV234" s="139"/>
      <c r="AW234" s="139"/>
      <c r="AX234" s="139"/>
      <c r="AY234" s="139"/>
      <c r="AZ234" s="139"/>
      <c r="BA234" s="139"/>
      <c r="BB234" s="139"/>
      <c r="BC234" s="139"/>
      <c r="BD234" s="139"/>
      <c r="BE234" s="139"/>
      <c r="BF234" s="139"/>
      <c r="BG234" s="139"/>
      <c r="BH234" s="139"/>
      <c r="BI234" s="139"/>
      <c r="BJ234" s="139"/>
      <c r="BK234" s="139"/>
      <c r="BL234" s="139"/>
      <c r="BM234" s="139"/>
      <c r="BN234" s="139"/>
      <c r="BO234" s="139"/>
      <c r="BP234" s="139"/>
      <c r="BQ234" s="139"/>
      <c r="BR234" s="139"/>
      <c r="BS234" s="139"/>
      <c r="BT234" s="139"/>
      <c r="BU234" s="139"/>
      <c r="BV234" s="139"/>
      <c r="BW234" s="139"/>
      <c r="BX234" s="139"/>
      <c r="BY234" s="139"/>
      <c r="BZ234" s="139"/>
      <c r="CA234" s="139"/>
      <c r="CB234" s="139"/>
      <c r="CC234" s="139"/>
      <c r="CD234" s="139"/>
      <c r="CE234" s="139"/>
      <c r="CF234" s="139"/>
      <c r="CG234" s="139"/>
      <c r="CH234" s="139"/>
      <c r="CI234" s="139"/>
      <c r="CJ234" s="139"/>
      <c r="CK234" s="139"/>
      <c r="CL234" s="139"/>
      <c r="CM234" s="139"/>
      <c r="CN234" s="139"/>
      <c r="CO234" s="139"/>
      <c r="CP234" s="139"/>
      <c r="CQ234" s="139"/>
      <c r="CR234" s="139"/>
      <c r="CS234" s="139"/>
      <c r="CT234" s="139"/>
      <c r="CU234" s="139"/>
      <c r="CV234" s="139"/>
      <c r="CW234" s="139"/>
      <c r="CX234" s="139"/>
      <c r="CY234" s="139"/>
      <c r="CZ234" s="139"/>
      <c r="DA234" s="139"/>
      <c r="DB234" s="139"/>
      <c r="DC234" s="139"/>
      <c r="DD234" s="139"/>
      <c r="DE234" s="139"/>
      <c r="DF234" s="139"/>
      <c r="DG234" s="139"/>
      <c r="DH234" s="139"/>
      <c r="DI234" s="139"/>
      <c r="DJ234" s="139"/>
      <c r="DK234" s="139"/>
      <c r="DL234" s="139"/>
      <c r="DM234" s="139"/>
      <c r="DN234" s="139"/>
      <c r="DO234" s="139"/>
      <c r="DP234" s="139"/>
      <c r="DQ234" s="139"/>
      <c r="DR234" s="139"/>
      <c r="DS234" s="139"/>
      <c r="DT234" s="139"/>
      <c r="DU234" s="139"/>
      <c r="DV234" s="139"/>
      <c r="DW234" s="139"/>
      <c r="DX234" s="139"/>
      <c r="DY234" s="139"/>
      <c r="DZ234" s="139"/>
      <c r="EA234" s="139"/>
      <c r="EB234" s="139"/>
      <c r="EC234" s="139"/>
      <c r="ED234" s="139"/>
      <c r="EE234" s="139"/>
      <c r="EF234" s="139"/>
      <c r="EG234" s="139"/>
      <c r="EH234" s="139"/>
      <c r="EI234" s="139"/>
      <c r="EJ234" s="139"/>
      <c r="EK234" s="139"/>
      <c r="EL234" s="139"/>
      <c r="EM234" s="139"/>
      <c r="EN234" s="139"/>
      <c r="EO234" s="139"/>
      <c r="EP234" s="139"/>
      <c r="EQ234" s="139"/>
      <c r="ER234" s="139"/>
      <c r="ES234" s="139"/>
      <c r="ET234" s="139"/>
      <c r="EU234" s="139"/>
      <c r="EV234" s="139"/>
      <c r="EW234" s="139"/>
      <c r="EX234" s="139"/>
      <c r="EY234" s="139"/>
      <c r="EZ234" s="139"/>
      <c r="FA234" s="139"/>
      <c r="FB234" s="139"/>
      <c r="FC234" s="139"/>
      <c r="FD234" s="139"/>
      <c r="FE234" s="139"/>
      <c r="FF234" s="139"/>
      <c r="FG234" s="139"/>
      <c r="FH234" s="139"/>
      <c r="FI234" s="139"/>
      <c r="FJ234" s="139"/>
      <c r="FK234" s="139"/>
      <c r="FL234" s="139"/>
      <c r="FM234" s="139"/>
      <c r="FN234" s="139"/>
      <c r="FO234" s="139"/>
      <c r="FP234" s="139"/>
      <c r="FQ234" s="139"/>
      <c r="FR234" s="139"/>
      <c r="FS234" s="139"/>
      <c r="FT234" s="139"/>
      <c r="FU234" s="139"/>
      <c r="FV234" s="139"/>
      <c r="FW234" s="139"/>
      <c r="FX234" s="139"/>
      <c r="FY234" s="139"/>
      <c r="FZ234" s="139"/>
      <c r="GA234" s="139"/>
      <c r="GB234" s="139"/>
      <c r="GC234" s="139"/>
      <c r="GD234" s="139"/>
      <c r="GE234" s="139"/>
      <c r="GF234" s="139"/>
      <c r="GG234" s="139"/>
      <c r="GH234" s="139"/>
      <c r="GI234" s="139"/>
      <c r="GJ234" s="139"/>
      <c r="GK234" s="139"/>
      <c r="GL234" s="139"/>
      <c r="GM234" s="139"/>
      <c r="GN234" s="139"/>
      <c r="GO234" s="139"/>
      <c r="GP234" s="139"/>
      <c r="GQ234" s="139"/>
      <c r="GR234" s="139"/>
      <c r="GS234" s="139"/>
      <c r="GT234" s="139"/>
      <c r="GU234" s="139"/>
      <c r="GV234" s="139"/>
      <c r="GW234" s="139"/>
      <c r="GX234" s="139"/>
      <c r="GY234" s="139"/>
      <c r="GZ234" s="139"/>
      <c r="HA234" s="139"/>
      <c r="HB234" s="139"/>
      <c r="HC234" s="139"/>
      <c r="HD234" s="139"/>
      <c r="HE234" s="139"/>
      <c r="HF234" s="139"/>
      <c r="HG234" s="139"/>
      <c r="HH234" s="139"/>
      <c r="HI234" s="139"/>
      <c r="HJ234" s="139"/>
      <c r="HK234" s="139"/>
      <c r="HL234" s="139"/>
      <c r="HM234" s="139"/>
      <c r="HN234" s="139"/>
      <c r="HO234" s="139"/>
      <c r="HP234" s="139"/>
      <c r="HQ234" s="139"/>
      <c r="HR234" s="139"/>
      <c r="HS234" s="139"/>
      <c r="HT234" s="139"/>
      <c r="HU234" s="139"/>
      <c r="HV234" s="139"/>
      <c r="HW234" s="139"/>
      <c r="HX234" s="139"/>
      <c r="HY234" s="139"/>
      <c r="HZ234" s="139"/>
      <c r="IA234" s="139"/>
      <c r="IB234" s="139"/>
      <c r="IC234" s="139"/>
      <c r="ID234" s="139"/>
      <c r="IE234" s="139"/>
      <c r="IF234" s="139"/>
      <c r="IG234" s="139"/>
      <c r="IH234" s="139"/>
      <c r="II234" s="139"/>
      <c r="IJ234" s="139"/>
      <c r="IK234" s="139"/>
      <c r="IL234" s="139"/>
      <c r="IM234" s="139"/>
      <c r="IN234" s="139"/>
      <c r="IO234" s="139"/>
      <c r="IP234" s="139"/>
      <c r="IQ234" s="139"/>
      <c r="IR234" s="139"/>
      <c r="IS234" s="139"/>
      <c r="IT234" s="139"/>
      <c r="IU234" s="139"/>
      <c r="IV234" s="139"/>
      <c r="IW234" s="139"/>
    </row>
    <row r="235" spans="2:257" x14ac:dyDescent="0.3">
      <c r="B235" s="5" t="s">
        <v>111</v>
      </c>
      <c r="C235" s="916" t="s">
        <v>214</v>
      </c>
      <c r="D235" s="968">
        <v>3216.9</v>
      </c>
      <c r="E235" s="968">
        <v>1206.5999999999999</v>
      </c>
      <c r="F235" s="968">
        <v>128943.9</v>
      </c>
      <c r="G235" s="968">
        <v>4274</v>
      </c>
      <c r="H235" s="968">
        <v>59286.1</v>
      </c>
      <c r="I235" s="968">
        <v>36201.5</v>
      </c>
      <c r="J235" s="10">
        <v>27871.5</v>
      </c>
      <c r="K235" s="993">
        <v>13045.8</v>
      </c>
      <c r="L235" s="270">
        <f t="shared" si="28"/>
        <v>274046.3</v>
      </c>
      <c r="M235" s="995">
        <f>(P275*EF_CH4_DieselAvBio_Trans_kg_l+'II. Transport '!Q275*EF_CH4_PetrolAvBio_Trans_kg_l)*0.001</f>
        <v>323.28728574699988</v>
      </c>
      <c r="N235" s="996">
        <f>(P275*EF_N2O_DieselAvBio_Trans_kg_l+'II. Transport '!Q275*EF_N2O_PetrolAvBio_Trans_kg_l)*0.001</f>
        <v>2482.4582152869998</v>
      </c>
      <c r="O235" s="268">
        <f t="shared" si="25"/>
        <v>276852.04550103401</v>
      </c>
      <c r="P235" s="283">
        <v>11.629461636973808</v>
      </c>
      <c r="Q235" s="16">
        <v>173.27117338309972</v>
      </c>
      <c r="R235" s="16">
        <v>1749.8047009350055</v>
      </c>
      <c r="S235" s="16">
        <v>473.06152336710238</v>
      </c>
      <c r="T235" s="968">
        <v>346.69844692240042</v>
      </c>
      <c r="U235" s="993">
        <v>1029.5585802236342</v>
      </c>
      <c r="V235" s="968">
        <v>757.86625835581003</v>
      </c>
      <c r="W235" s="16">
        <v>7.4928074976475543</v>
      </c>
      <c r="X235" s="283">
        <f t="shared" si="26"/>
        <v>4549.3829523216737</v>
      </c>
      <c r="Y235" s="968">
        <f t="shared" si="23"/>
        <v>23.07299742936004</v>
      </c>
      <c r="Z235" s="968">
        <f t="shared" si="24"/>
        <v>31.313353654131479</v>
      </c>
      <c r="AA235" s="268">
        <f t="shared" si="27"/>
        <v>4603.7693034051654</v>
      </c>
      <c r="AB235" s="139"/>
      <c r="AC235" s="139"/>
      <c r="AD235" s="139"/>
      <c r="AE235" s="139"/>
      <c r="AF235" s="139"/>
      <c r="AG235" s="139"/>
      <c r="AH235" s="139"/>
      <c r="AI235" s="139"/>
      <c r="AJ235" s="139"/>
      <c r="AK235" s="139"/>
      <c r="AL235" s="139"/>
      <c r="AM235" s="139"/>
      <c r="AN235" s="139"/>
      <c r="AO235" s="139"/>
      <c r="AP235" s="139"/>
      <c r="AQ235" s="139"/>
      <c r="AR235" s="139"/>
      <c r="AS235" s="139"/>
      <c r="AT235" s="139"/>
      <c r="AU235" s="139"/>
      <c r="AV235" s="139"/>
      <c r="AW235" s="139"/>
      <c r="AX235" s="139"/>
      <c r="AY235" s="139"/>
      <c r="AZ235" s="139"/>
      <c r="BA235" s="139"/>
      <c r="BB235" s="139"/>
      <c r="BC235" s="139"/>
      <c r="BD235" s="139"/>
      <c r="BE235" s="139"/>
      <c r="BF235" s="139"/>
      <c r="BG235" s="139"/>
      <c r="BH235" s="139"/>
      <c r="BI235" s="139"/>
      <c r="BJ235" s="139"/>
      <c r="BK235" s="139"/>
      <c r="BL235" s="139"/>
      <c r="BM235" s="139"/>
      <c r="BN235" s="139"/>
      <c r="BO235" s="139"/>
      <c r="BP235" s="139"/>
      <c r="BQ235" s="139"/>
      <c r="BR235" s="139"/>
      <c r="BS235" s="139"/>
      <c r="BT235" s="139"/>
      <c r="BU235" s="139"/>
      <c r="BV235" s="139"/>
      <c r="BW235" s="139"/>
      <c r="BX235" s="139"/>
      <c r="BY235" s="139"/>
      <c r="BZ235" s="139"/>
      <c r="CA235" s="139"/>
      <c r="CB235" s="139"/>
      <c r="CC235" s="139"/>
      <c r="CD235" s="139"/>
      <c r="CE235" s="139"/>
      <c r="CF235" s="139"/>
      <c r="CG235" s="139"/>
      <c r="CH235" s="139"/>
      <c r="CI235" s="139"/>
      <c r="CJ235" s="139"/>
      <c r="CK235" s="139"/>
      <c r="CL235" s="139"/>
      <c r="CM235" s="139"/>
      <c r="CN235" s="139"/>
      <c r="CO235" s="139"/>
      <c r="CP235" s="139"/>
      <c r="CQ235" s="139"/>
      <c r="CR235" s="139"/>
      <c r="CS235" s="139"/>
      <c r="CT235" s="139"/>
      <c r="CU235" s="139"/>
      <c r="CV235" s="139"/>
      <c r="CW235" s="139"/>
      <c r="CX235" s="139"/>
      <c r="CY235" s="139"/>
      <c r="CZ235" s="139"/>
      <c r="DA235" s="139"/>
      <c r="DB235" s="139"/>
      <c r="DC235" s="139"/>
      <c r="DD235" s="139"/>
      <c r="DE235" s="139"/>
      <c r="DF235" s="139"/>
      <c r="DG235" s="139"/>
      <c r="DH235" s="139"/>
      <c r="DI235" s="139"/>
      <c r="DJ235" s="139"/>
      <c r="DK235" s="139"/>
      <c r="DL235" s="139"/>
      <c r="DM235" s="139"/>
      <c r="DN235" s="139"/>
      <c r="DO235" s="139"/>
      <c r="DP235" s="139"/>
      <c r="DQ235" s="139"/>
      <c r="DR235" s="139"/>
      <c r="DS235" s="139"/>
      <c r="DT235" s="139"/>
      <c r="DU235" s="139"/>
      <c r="DV235" s="139"/>
      <c r="DW235" s="139"/>
      <c r="DX235" s="139"/>
      <c r="DY235" s="139"/>
      <c r="DZ235" s="139"/>
      <c r="EA235" s="139"/>
      <c r="EB235" s="139"/>
      <c r="EC235" s="139"/>
      <c r="ED235" s="139"/>
      <c r="EE235" s="139"/>
      <c r="EF235" s="139"/>
      <c r="EG235" s="139"/>
      <c r="EH235" s="139"/>
      <c r="EI235" s="139"/>
      <c r="EJ235" s="139"/>
      <c r="EK235" s="139"/>
      <c r="EL235" s="139"/>
      <c r="EM235" s="139"/>
      <c r="EN235" s="139"/>
      <c r="EO235" s="139"/>
      <c r="EP235" s="139"/>
      <c r="EQ235" s="139"/>
      <c r="ER235" s="139"/>
      <c r="ES235" s="139"/>
      <c r="ET235" s="139"/>
      <c r="EU235" s="139"/>
      <c r="EV235" s="139"/>
      <c r="EW235" s="139"/>
      <c r="EX235" s="139"/>
      <c r="EY235" s="139"/>
      <c r="EZ235" s="139"/>
      <c r="FA235" s="139"/>
      <c r="FB235" s="139"/>
      <c r="FC235" s="139"/>
      <c r="FD235" s="139"/>
      <c r="FE235" s="139"/>
      <c r="FF235" s="139"/>
      <c r="FG235" s="139"/>
      <c r="FH235" s="139"/>
      <c r="FI235" s="139"/>
      <c r="FJ235" s="139"/>
      <c r="FK235" s="139"/>
      <c r="FL235" s="139"/>
      <c r="FM235" s="139"/>
      <c r="FN235" s="139"/>
      <c r="FO235" s="139"/>
      <c r="FP235" s="139"/>
      <c r="FQ235" s="139"/>
      <c r="FR235" s="139"/>
      <c r="FS235" s="139"/>
      <c r="FT235" s="139"/>
      <c r="FU235" s="139"/>
      <c r="FV235" s="139"/>
      <c r="FW235" s="139"/>
      <c r="FX235" s="139"/>
      <c r="FY235" s="139"/>
      <c r="FZ235" s="139"/>
      <c r="GA235" s="139"/>
      <c r="GB235" s="139"/>
      <c r="GC235" s="139"/>
      <c r="GD235" s="139"/>
      <c r="GE235" s="139"/>
      <c r="GF235" s="139"/>
      <c r="GG235" s="139"/>
      <c r="GH235" s="139"/>
      <c r="GI235" s="139"/>
      <c r="GJ235" s="139"/>
      <c r="GK235" s="139"/>
      <c r="GL235" s="139"/>
      <c r="GM235" s="139"/>
      <c r="GN235" s="139"/>
      <c r="GO235" s="139"/>
      <c r="GP235" s="139"/>
      <c r="GQ235" s="139"/>
      <c r="GR235" s="139"/>
      <c r="GS235" s="139"/>
      <c r="GT235" s="139"/>
      <c r="GU235" s="139"/>
      <c r="GV235" s="139"/>
      <c r="GW235" s="139"/>
      <c r="GX235" s="139"/>
      <c r="GY235" s="139"/>
      <c r="GZ235" s="139"/>
      <c r="HA235" s="139"/>
      <c r="HB235" s="139"/>
      <c r="HC235" s="139"/>
      <c r="HD235" s="139"/>
      <c r="HE235" s="139"/>
      <c r="HF235" s="139"/>
      <c r="HG235" s="139"/>
      <c r="HH235" s="139"/>
      <c r="HI235" s="139"/>
      <c r="HJ235" s="139"/>
      <c r="HK235" s="139"/>
      <c r="HL235" s="139"/>
      <c r="HM235" s="139"/>
      <c r="HN235" s="139"/>
      <c r="HO235" s="139"/>
      <c r="HP235" s="139"/>
      <c r="HQ235" s="139"/>
      <c r="HR235" s="139"/>
      <c r="HS235" s="139"/>
      <c r="HT235" s="139"/>
      <c r="HU235" s="139"/>
      <c r="HV235" s="139"/>
      <c r="HW235" s="139"/>
      <c r="HX235" s="139"/>
      <c r="HY235" s="139"/>
      <c r="HZ235" s="139"/>
      <c r="IA235" s="139"/>
      <c r="IB235" s="139"/>
      <c r="IC235" s="139"/>
      <c r="ID235" s="139"/>
      <c r="IE235" s="139"/>
      <c r="IF235" s="139"/>
      <c r="IG235" s="139"/>
      <c r="IH235" s="139"/>
      <c r="II235" s="139"/>
      <c r="IJ235" s="139"/>
      <c r="IK235" s="139"/>
      <c r="IL235" s="139"/>
      <c r="IM235" s="139"/>
      <c r="IN235" s="139"/>
      <c r="IO235" s="139"/>
      <c r="IP235" s="139"/>
      <c r="IQ235" s="139"/>
      <c r="IR235" s="139"/>
      <c r="IS235" s="139"/>
      <c r="IT235" s="139"/>
      <c r="IU235" s="139"/>
      <c r="IV235" s="139"/>
      <c r="IW235" s="139"/>
    </row>
    <row r="236" spans="2:257" x14ac:dyDescent="0.3">
      <c r="B236" s="5" t="s">
        <v>112</v>
      </c>
      <c r="C236" s="916" t="s">
        <v>215</v>
      </c>
      <c r="D236" s="968">
        <v>2723.1</v>
      </c>
      <c r="E236" s="968">
        <v>1682.1</v>
      </c>
      <c r="F236" s="968">
        <v>170188.5</v>
      </c>
      <c r="G236" s="968">
        <v>7271.8</v>
      </c>
      <c r="H236" s="968">
        <v>79449.100000000006</v>
      </c>
      <c r="I236" s="968">
        <v>25701.8</v>
      </c>
      <c r="J236" s="10">
        <v>32729</v>
      </c>
      <c r="K236" s="993">
        <v>68593</v>
      </c>
      <c r="L236" s="270">
        <f t="shared" si="28"/>
        <v>388338.4</v>
      </c>
      <c r="M236" s="995">
        <f>(P276*EF_CH4_DieselAvBio_Trans_kg_l+'II. Transport '!Q276*EF_CH4_PetrolAvBio_Trans_kg_l)*0.001</f>
        <v>403.44918207199993</v>
      </c>
      <c r="N236" s="996">
        <f>(P276*EF_N2O_DieselAvBio_Trans_kg_l+'II. Transport '!Q276*EF_N2O_PetrolAvBio_Trans_kg_l)*0.001</f>
        <v>3674.3402883709996</v>
      </c>
      <c r="O236" s="268">
        <f t="shared" si="25"/>
        <v>392416.18947044306</v>
      </c>
      <c r="P236" s="283">
        <v>8.819658825355976</v>
      </c>
      <c r="Q236" s="16">
        <v>227.12572727244151</v>
      </c>
      <c r="R236" s="16">
        <v>2632.3949840954069</v>
      </c>
      <c r="S236" s="16">
        <v>416.31911658804222</v>
      </c>
      <c r="T236" s="968">
        <v>354.19125442004798</v>
      </c>
      <c r="U236" s="993">
        <v>879.07802964587916</v>
      </c>
      <c r="V236" s="968">
        <v>579.44377981807759</v>
      </c>
      <c r="W236" s="16">
        <v>54.557004592246265</v>
      </c>
      <c r="X236" s="283">
        <f t="shared" si="26"/>
        <v>5151.9295552574977</v>
      </c>
      <c r="Y236" s="968">
        <f t="shared" si="23"/>
        <v>26.128918719413896</v>
      </c>
      <c r="Z236" s="968">
        <f t="shared" si="24"/>
        <v>35.460675404918859</v>
      </c>
      <c r="AA236" s="268">
        <f t="shared" si="27"/>
        <v>5213.5191493818311</v>
      </c>
      <c r="AB236" s="139"/>
      <c r="AC236" s="139"/>
      <c r="AD236" s="441"/>
      <c r="AE236" s="139"/>
      <c r="AF236" s="139"/>
      <c r="AG236" s="139"/>
      <c r="AH236" s="139"/>
      <c r="AI236" s="139"/>
      <c r="AJ236" s="139"/>
      <c r="AK236" s="139"/>
      <c r="AL236" s="139"/>
      <c r="AM236" s="139"/>
      <c r="AN236" s="139"/>
      <c r="AO236" s="139"/>
      <c r="AP236" s="139"/>
      <c r="AQ236" s="139"/>
      <c r="AR236" s="139"/>
      <c r="AS236" s="139"/>
      <c r="AT236" s="139"/>
      <c r="AU236" s="139"/>
      <c r="AV236" s="139"/>
      <c r="AW236" s="139"/>
      <c r="AX236" s="139"/>
      <c r="AY236" s="139"/>
      <c r="AZ236" s="139"/>
      <c r="BA236" s="139"/>
      <c r="BB236" s="139"/>
      <c r="BC236" s="139"/>
      <c r="BD236" s="139"/>
      <c r="BE236" s="139"/>
      <c r="BF236" s="139"/>
      <c r="BG236" s="139"/>
      <c r="BH236" s="139"/>
      <c r="BI236" s="139"/>
      <c r="BJ236" s="139"/>
      <c r="BK236" s="139"/>
      <c r="BL236" s="139"/>
      <c r="BM236" s="139"/>
      <c r="BN236" s="139"/>
      <c r="BO236" s="139"/>
      <c r="BP236" s="139"/>
      <c r="BQ236" s="139"/>
      <c r="BR236" s="139"/>
      <c r="BS236" s="139"/>
      <c r="BT236" s="139"/>
      <c r="BU236" s="139"/>
      <c r="BV236" s="139"/>
      <c r="BW236" s="139"/>
      <c r="BX236" s="139"/>
      <c r="BY236" s="139"/>
      <c r="BZ236" s="139"/>
      <c r="CA236" s="139"/>
      <c r="CB236" s="139"/>
      <c r="CC236" s="139"/>
      <c r="CD236" s="139"/>
      <c r="CE236" s="139"/>
      <c r="CF236" s="139"/>
      <c r="CG236" s="139"/>
      <c r="CH236" s="139"/>
      <c r="CI236" s="139"/>
      <c r="CJ236" s="139"/>
      <c r="CK236" s="139"/>
      <c r="CL236" s="139"/>
      <c r="CM236" s="139"/>
      <c r="CN236" s="139"/>
      <c r="CO236" s="139"/>
      <c r="CP236" s="139"/>
      <c r="CQ236" s="139"/>
      <c r="CR236" s="139"/>
      <c r="CS236" s="139"/>
      <c r="CT236" s="139"/>
      <c r="CU236" s="139"/>
      <c r="CV236" s="139"/>
      <c r="CW236" s="139"/>
      <c r="CX236" s="139"/>
      <c r="CY236" s="139"/>
      <c r="CZ236" s="139"/>
      <c r="DA236" s="139"/>
      <c r="DB236" s="139"/>
      <c r="DC236" s="139"/>
      <c r="DD236" s="139"/>
      <c r="DE236" s="139"/>
      <c r="DF236" s="139"/>
      <c r="DG236" s="139"/>
      <c r="DH236" s="139"/>
      <c r="DI236" s="139"/>
      <c r="DJ236" s="139"/>
      <c r="DK236" s="139"/>
      <c r="DL236" s="139"/>
      <c r="DM236" s="139"/>
      <c r="DN236" s="139"/>
      <c r="DO236" s="139"/>
      <c r="DP236" s="139"/>
      <c r="DQ236" s="139"/>
      <c r="DR236" s="139"/>
      <c r="DS236" s="139"/>
      <c r="DT236" s="139"/>
      <c r="DU236" s="139"/>
      <c r="DV236" s="139"/>
      <c r="DW236" s="139"/>
      <c r="DX236" s="139"/>
      <c r="DY236" s="139"/>
      <c r="DZ236" s="139"/>
      <c r="EA236" s="139"/>
      <c r="EB236" s="139"/>
      <c r="EC236" s="139"/>
      <c r="ED236" s="139"/>
      <c r="EE236" s="139"/>
      <c r="EF236" s="139"/>
      <c r="EG236" s="139"/>
      <c r="EH236" s="139"/>
      <c r="EI236" s="139"/>
      <c r="EJ236" s="139"/>
      <c r="EK236" s="139"/>
      <c r="EL236" s="139"/>
      <c r="EM236" s="139"/>
      <c r="EN236" s="139"/>
      <c r="EO236" s="139"/>
      <c r="EP236" s="139"/>
      <c r="EQ236" s="139"/>
      <c r="ER236" s="139"/>
      <c r="ES236" s="139"/>
      <c r="ET236" s="139"/>
      <c r="EU236" s="139"/>
      <c r="EV236" s="139"/>
      <c r="EW236" s="139"/>
      <c r="EX236" s="139"/>
      <c r="EY236" s="139"/>
      <c r="EZ236" s="139"/>
      <c r="FA236" s="139"/>
      <c r="FB236" s="139"/>
      <c r="FC236" s="139"/>
      <c r="FD236" s="139"/>
      <c r="FE236" s="139"/>
      <c r="FF236" s="139"/>
      <c r="FG236" s="139"/>
      <c r="FH236" s="139"/>
      <c r="FI236" s="139"/>
      <c r="FJ236" s="139"/>
      <c r="FK236" s="139"/>
      <c r="FL236" s="139"/>
      <c r="FM236" s="139"/>
      <c r="FN236" s="139"/>
      <c r="FO236" s="139"/>
      <c r="FP236" s="139"/>
      <c r="FQ236" s="139"/>
      <c r="FR236" s="139"/>
      <c r="FS236" s="139"/>
      <c r="FT236" s="139"/>
      <c r="FU236" s="139"/>
      <c r="FV236" s="139"/>
      <c r="FW236" s="139"/>
      <c r="FX236" s="139"/>
      <c r="FY236" s="139"/>
      <c r="FZ236" s="139"/>
      <c r="GA236" s="139"/>
      <c r="GB236" s="139"/>
      <c r="GC236" s="139"/>
      <c r="GD236" s="139"/>
      <c r="GE236" s="139"/>
      <c r="GF236" s="139"/>
      <c r="GG236" s="139"/>
      <c r="GH236" s="139"/>
      <c r="GI236" s="139"/>
      <c r="GJ236" s="139"/>
      <c r="GK236" s="139"/>
      <c r="GL236" s="139"/>
      <c r="GM236" s="139"/>
      <c r="GN236" s="139"/>
      <c r="GO236" s="139"/>
      <c r="GP236" s="139"/>
      <c r="GQ236" s="139"/>
      <c r="GR236" s="139"/>
      <c r="GS236" s="139"/>
      <c r="GT236" s="139"/>
      <c r="GU236" s="139"/>
      <c r="GV236" s="139"/>
      <c r="GW236" s="139"/>
      <c r="GX236" s="139"/>
      <c r="GY236" s="139"/>
      <c r="GZ236" s="139"/>
      <c r="HA236" s="139"/>
      <c r="HB236" s="139"/>
      <c r="HC236" s="139"/>
      <c r="HD236" s="139"/>
      <c r="HE236" s="139"/>
      <c r="HF236" s="139"/>
      <c r="HG236" s="139"/>
      <c r="HH236" s="139"/>
      <c r="HI236" s="139"/>
      <c r="HJ236" s="139"/>
      <c r="HK236" s="139"/>
      <c r="HL236" s="139"/>
      <c r="HM236" s="139"/>
      <c r="HN236" s="139"/>
      <c r="HO236" s="139"/>
      <c r="HP236" s="139"/>
      <c r="HQ236" s="139"/>
      <c r="HR236" s="139"/>
      <c r="HS236" s="139"/>
      <c r="HT236" s="139"/>
      <c r="HU236" s="139"/>
      <c r="HV236" s="139"/>
      <c r="HW236" s="139"/>
      <c r="HX236" s="139"/>
      <c r="HY236" s="139"/>
      <c r="HZ236" s="139"/>
      <c r="IA236" s="139"/>
      <c r="IB236" s="139"/>
      <c r="IC236" s="139"/>
      <c r="ID236" s="139"/>
      <c r="IE236" s="139"/>
      <c r="IF236" s="139"/>
      <c r="IG236" s="139"/>
      <c r="IH236" s="139"/>
      <c r="II236" s="139"/>
      <c r="IJ236" s="139"/>
      <c r="IK236" s="139"/>
      <c r="IL236" s="139"/>
      <c r="IM236" s="139"/>
      <c r="IN236" s="139"/>
      <c r="IO236" s="139"/>
      <c r="IP236" s="139"/>
      <c r="IQ236" s="139"/>
      <c r="IR236" s="139"/>
      <c r="IS236" s="139"/>
      <c r="IT236" s="139"/>
      <c r="IU236" s="139"/>
      <c r="IV236" s="139"/>
      <c r="IW236" s="139"/>
    </row>
    <row r="237" spans="2:257" x14ac:dyDescent="0.3">
      <c r="B237" s="5" t="s">
        <v>113</v>
      </c>
      <c r="C237" s="916" t="s">
        <v>216</v>
      </c>
      <c r="D237" s="968">
        <v>3586.8</v>
      </c>
      <c r="E237" s="968">
        <v>1426.6</v>
      </c>
      <c r="F237" s="968">
        <v>111953.2</v>
      </c>
      <c r="G237" s="968">
        <v>3388.7</v>
      </c>
      <c r="H237" s="968">
        <v>54456.3</v>
      </c>
      <c r="I237" s="968">
        <v>35124.699999999997</v>
      </c>
      <c r="J237" s="10">
        <v>26058.799999999999</v>
      </c>
      <c r="K237" s="993">
        <v>9892.6</v>
      </c>
      <c r="L237" s="270">
        <f t="shared" si="28"/>
        <v>245887.69999999998</v>
      </c>
      <c r="M237" s="995">
        <f>(P277*EF_CH4_DieselAvBio_Trans_kg_l+'II. Transport '!Q277*EF_CH4_PetrolAvBio_Trans_kg_l)*0.001</f>
        <v>287.86542092599996</v>
      </c>
      <c r="N237" s="996">
        <f>(P277*EF_N2O_DieselAvBio_Trans_kg_l+'II. Transport '!Q277*EF_N2O_PetrolAvBio_Trans_kg_l)*0.001</f>
        <v>2234.5060067929999</v>
      </c>
      <c r="O237" s="268">
        <f t="shared" si="25"/>
        <v>248410.071427719</v>
      </c>
      <c r="P237" s="283">
        <v>13.970963979988669</v>
      </c>
      <c r="Q237" s="16">
        <v>221.03782118060289</v>
      </c>
      <c r="R237" s="16">
        <v>1687.208538298408</v>
      </c>
      <c r="S237" s="16">
        <v>388.76743901856742</v>
      </c>
      <c r="T237" s="968">
        <v>381.97708222382431</v>
      </c>
      <c r="U237" s="993">
        <v>1069.2860699767864</v>
      </c>
      <c r="V237" s="968">
        <v>730.54873102063664</v>
      </c>
      <c r="W237" s="16">
        <v>8.1172081224515189</v>
      </c>
      <c r="X237" s="283">
        <f t="shared" si="26"/>
        <v>4500.9138538212655</v>
      </c>
      <c r="Y237" s="968">
        <f t="shared" si="23"/>
        <v>22.827177854084979</v>
      </c>
      <c r="Z237" s="968">
        <f t="shared" si="24"/>
        <v>30.979741373401044</v>
      </c>
      <c r="AA237" s="268">
        <f t="shared" si="27"/>
        <v>4554.7207730487517</v>
      </c>
      <c r="AB237" s="139"/>
      <c r="AC237" s="139"/>
      <c r="AD237" s="139"/>
      <c r="AE237" s="139"/>
      <c r="AF237" s="139"/>
      <c r="AG237" s="139"/>
      <c r="AH237" s="139"/>
      <c r="AI237" s="139"/>
      <c r="AJ237" s="139"/>
      <c r="AK237" s="139"/>
      <c r="AL237" s="139"/>
      <c r="AM237" s="139"/>
      <c r="AN237" s="139"/>
      <c r="AO237" s="139"/>
      <c r="AP237" s="139"/>
      <c r="AQ237" s="139"/>
      <c r="AR237" s="139"/>
      <c r="AS237" s="139"/>
      <c r="AT237" s="139"/>
      <c r="AU237" s="139"/>
      <c r="AV237" s="139"/>
      <c r="AW237" s="139"/>
      <c r="AX237" s="139"/>
      <c r="AY237" s="139"/>
      <c r="AZ237" s="139"/>
      <c r="BA237" s="139"/>
      <c r="BB237" s="139"/>
      <c r="BC237" s="139"/>
      <c r="BD237" s="139"/>
      <c r="BE237" s="139"/>
      <c r="BF237" s="139"/>
      <c r="BG237" s="139"/>
      <c r="BH237" s="139"/>
      <c r="BI237" s="139"/>
      <c r="BJ237" s="139"/>
      <c r="BK237" s="139"/>
      <c r="BL237" s="139"/>
      <c r="BM237" s="139"/>
      <c r="BN237" s="139"/>
      <c r="BO237" s="139"/>
      <c r="BP237" s="139"/>
      <c r="BQ237" s="139"/>
      <c r="BR237" s="139"/>
      <c r="BS237" s="139"/>
      <c r="BT237" s="139"/>
      <c r="BU237" s="139"/>
      <c r="BV237" s="139"/>
      <c r="BW237" s="139"/>
      <c r="BX237" s="139"/>
      <c r="BY237" s="139"/>
      <c r="BZ237" s="139"/>
      <c r="CA237" s="139"/>
      <c r="CB237" s="139"/>
      <c r="CC237" s="139"/>
      <c r="CD237" s="139"/>
      <c r="CE237" s="139"/>
      <c r="CF237" s="139"/>
      <c r="CG237" s="139"/>
      <c r="CH237" s="139"/>
      <c r="CI237" s="139"/>
      <c r="CJ237" s="139"/>
      <c r="CK237" s="139"/>
      <c r="CL237" s="139"/>
      <c r="CM237" s="139"/>
      <c r="CN237" s="139"/>
      <c r="CO237" s="139"/>
      <c r="CP237" s="139"/>
      <c r="CQ237" s="139"/>
      <c r="CR237" s="139"/>
      <c r="CS237" s="139"/>
      <c r="CT237" s="139"/>
      <c r="CU237" s="139"/>
      <c r="CV237" s="139"/>
      <c r="CW237" s="139"/>
      <c r="CX237" s="139"/>
      <c r="CY237" s="139"/>
      <c r="CZ237" s="139"/>
      <c r="DA237" s="139"/>
      <c r="DB237" s="139"/>
      <c r="DC237" s="139"/>
      <c r="DD237" s="139"/>
      <c r="DE237" s="139"/>
      <c r="DF237" s="139"/>
      <c r="DG237" s="139"/>
      <c r="DH237" s="139"/>
      <c r="DI237" s="139"/>
      <c r="DJ237" s="139"/>
      <c r="DK237" s="139"/>
      <c r="DL237" s="139"/>
      <c r="DM237" s="139"/>
      <c r="DN237" s="139"/>
      <c r="DO237" s="139"/>
      <c r="DP237" s="139"/>
      <c r="DQ237" s="139"/>
      <c r="DR237" s="139"/>
      <c r="DS237" s="139"/>
      <c r="DT237" s="139"/>
      <c r="DU237" s="139"/>
      <c r="DV237" s="139"/>
      <c r="DW237" s="139"/>
      <c r="DX237" s="139"/>
      <c r="DY237" s="139"/>
      <c r="DZ237" s="139"/>
      <c r="EA237" s="139"/>
      <c r="EB237" s="139"/>
      <c r="EC237" s="139"/>
      <c r="ED237" s="139"/>
      <c r="EE237" s="139"/>
      <c r="EF237" s="139"/>
      <c r="EG237" s="139"/>
      <c r="EH237" s="139"/>
      <c r="EI237" s="139"/>
      <c r="EJ237" s="139"/>
      <c r="EK237" s="139"/>
      <c r="EL237" s="139"/>
      <c r="EM237" s="139"/>
      <c r="EN237" s="139"/>
      <c r="EO237" s="139"/>
      <c r="EP237" s="139"/>
      <c r="EQ237" s="139"/>
      <c r="ER237" s="139"/>
      <c r="ES237" s="139"/>
      <c r="ET237" s="139"/>
      <c r="EU237" s="139"/>
      <c r="EV237" s="139"/>
      <c r="EW237" s="139"/>
      <c r="EX237" s="139"/>
      <c r="EY237" s="139"/>
      <c r="EZ237" s="139"/>
      <c r="FA237" s="139"/>
      <c r="FB237" s="139"/>
      <c r="FC237" s="139"/>
      <c r="FD237" s="139"/>
      <c r="FE237" s="139"/>
      <c r="FF237" s="139"/>
      <c r="FG237" s="139"/>
      <c r="FH237" s="139"/>
      <c r="FI237" s="139"/>
      <c r="FJ237" s="139"/>
      <c r="FK237" s="139"/>
      <c r="FL237" s="139"/>
      <c r="FM237" s="139"/>
      <c r="FN237" s="139"/>
      <c r="FO237" s="139"/>
      <c r="FP237" s="139"/>
      <c r="FQ237" s="139"/>
      <c r="FR237" s="139"/>
      <c r="FS237" s="139"/>
      <c r="FT237" s="139"/>
      <c r="FU237" s="139"/>
      <c r="FV237" s="139"/>
      <c r="FW237" s="139"/>
      <c r="FX237" s="139"/>
      <c r="FY237" s="139"/>
      <c r="FZ237" s="139"/>
      <c r="GA237" s="139"/>
      <c r="GB237" s="139"/>
      <c r="GC237" s="139"/>
      <c r="GD237" s="139"/>
      <c r="GE237" s="139"/>
      <c r="GF237" s="139"/>
      <c r="GG237" s="139"/>
      <c r="GH237" s="139"/>
      <c r="GI237" s="139"/>
      <c r="GJ237" s="139"/>
      <c r="GK237" s="139"/>
      <c r="GL237" s="139"/>
      <c r="GM237" s="139"/>
      <c r="GN237" s="139"/>
      <c r="GO237" s="139"/>
      <c r="GP237" s="139"/>
      <c r="GQ237" s="139"/>
      <c r="GR237" s="139"/>
      <c r="GS237" s="139"/>
      <c r="GT237" s="139"/>
      <c r="GU237" s="139"/>
      <c r="GV237" s="139"/>
      <c r="GW237" s="139"/>
      <c r="GX237" s="139"/>
      <c r="GY237" s="139"/>
      <c r="GZ237" s="139"/>
      <c r="HA237" s="139"/>
      <c r="HB237" s="139"/>
      <c r="HC237" s="139"/>
      <c r="HD237" s="139"/>
      <c r="HE237" s="139"/>
      <c r="HF237" s="139"/>
      <c r="HG237" s="139"/>
      <c r="HH237" s="139"/>
      <c r="HI237" s="139"/>
      <c r="HJ237" s="139"/>
      <c r="HK237" s="139"/>
      <c r="HL237" s="139"/>
      <c r="HM237" s="139"/>
      <c r="HN237" s="139"/>
      <c r="HO237" s="139"/>
      <c r="HP237" s="139"/>
      <c r="HQ237" s="139"/>
      <c r="HR237" s="139"/>
      <c r="HS237" s="139"/>
      <c r="HT237" s="139"/>
      <c r="HU237" s="139"/>
      <c r="HV237" s="139"/>
      <c r="HW237" s="139"/>
      <c r="HX237" s="139"/>
      <c r="HY237" s="139"/>
      <c r="HZ237" s="139"/>
      <c r="IA237" s="139"/>
      <c r="IB237" s="139"/>
      <c r="IC237" s="139"/>
      <c r="ID237" s="139"/>
      <c r="IE237" s="139"/>
      <c r="IF237" s="139"/>
      <c r="IG237" s="139"/>
      <c r="IH237" s="139"/>
      <c r="II237" s="139"/>
      <c r="IJ237" s="139"/>
      <c r="IK237" s="139"/>
      <c r="IL237" s="139"/>
      <c r="IM237" s="139"/>
      <c r="IN237" s="139"/>
      <c r="IO237" s="139"/>
      <c r="IP237" s="139"/>
      <c r="IQ237" s="139"/>
      <c r="IR237" s="139"/>
      <c r="IS237" s="139"/>
      <c r="IT237" s="139"/>
      <c r="IU237" s="139"/>
      <c r="IV237" s="139"/>
      <c r="IW237" s="139"/>
    </row>
    <row r="238" spans="2:257" x14ac:dyDescent="0.3">
      <c r="B238" s="5" t="s">
        <v>114</v>
      </c>
      <c r="C238" s="916" t="s">
        <v>217</v>
      </c>
      <c r="D238" s="968">
        <v>2293.8000000000002</v>
      </c>
      <c r="E238" s="968">
        <v>1342.7</v>
      </c>
      <c r="F238" s="968">
        <v>41501.4</v>
      </c>
      <c r="G238" s="968">
        <v>3473.6</v>
      </c>
      <c r="H238" s="968">
        <v>23872.6</v>
      </c>
      <c r="I238" s="968">
        <v>29015.599999999999</v>
      </c>
      <c r="J238" s="10">
        <v>11548.7</v>
      </c>
      <c r="K238" s="993">
        <v>2658.7</v>
      </c>
      <c r="L238" s="270">
        <f t="shared" si="28"/>
        <v>115707.1</v>
      </c>
      <c r="M238" s="995">
        <f>(P278*EF_CH4_DieselAvBio_Trans_kg_l+'II. Transport '!Q278*EF_CH4_PetrolAvBio_Trans_kg_l)*0.001</f>
        <v>118.31783466899999</v>
      </c>
      <c r="N238" s="996">
        <f>(P278*EF_N2O_DieselAvBio_Trans_kg_l+'II. Transport '!Q278*EF_N2O_PetrolAvBio_Trans_kg_l)*0.001</f>
        <v>1103.8925626800001</v>
      </c>
      <c r="O238" s="268">
        <f t="shared" si="25"/>
        <v>116929.31039734901</v>
      </c>
      <c r="P238" s="283">
        <v>7.7269577319490406</v>
      </c>
      <c r="Q238" s="16">
        <v>176.23707635091856</v>
      </c>
      <c r="R238" s="16">
        <v>615.81511621290838</v>
      </c>
      <c r="S238" s="16">
        <v>372.76717300796588</v>
      </c>
      <c r="T238" s="968">
        <v>181.85668197415418</v>
      </c>
      <c r="U238" s="993">
        <v>737.49518797158066</v>
      </c>
      <c r="V238" s="968">
        <v>265.37026554168426</v>
      </c>
      <c r="W238" s="16">
        <v>2.6537026554168421</v>
      </c>
      <c r="X238" s="283">
        <f t="shared" si="26"/>
        <v>2359.9221614465773</v>
      </c>
      <c r="Y238" s="968">
        <f t="shared" si="23"/>
        <v>11.968761156226497</v>
      </c>
      <c r="Z238" s="968">
        <f t="shared" si="24"/>
        <v>16.243318712021676</v>
      </c>
      <c r="AA238" s="268">
        <f t="shared" si="27"/>
        <v>2388.1342413148259</v>
      </c>
      <c r="AB238" s="139"/>
      <c r="AC238" s="139"/>
      <c r="AD238" s="139"/>
      <c r="AE238" s="139"/>
      <c r="AF238" s="139"/>
      <c r="AG238" s="139"/>
      <c r="AH238" s="139"/>
      <c r="AI238" s="139"/>
      <c r="AJ238" s="139"/>
      <c r="AK238" s="139"/>
      <c r="AL238" s="139"/>
      <c r="AM238" s="139"/>
      <c r="AN238" s="139"/>
      <c r="AO238" s="139"/>
      <c r="AP238" s="139"/>
      <c r="AQ238" s="139"/>
      <c r="AR238" s="139"/>
      <c r="AS238" s="139"/>
      <c r="AT238" s="139"/>
      <c r="AU238" s="139"/>
      <c r="AV238" s="139"/>
      <c r="AW238" s="139"/>
      <c r="AX238" s="139"/>
      <c r="AY238" s="139"/>
      <c r="AZ238" s="139"/>
      <c r="BA238" s="139"/>
      <c r="BB238" s="139"/>
      <c r="BC238" s="139"/>
      <c r="BD238" s="139"/>
      <c r="BE238" s="139"/>
      <c r="BF238" s="139"/>
      <c r="BG238" s="139"/>
      <c r="BH238" s="139"/>
      <c r="BI238" s="139"/>
      <c r="BJ238" s="139"/>
      <c r="BK238" s="139"/>
      <c r="BL238" s="139"/>
      <c r="BM238" s="139"/>
      <c r="BN238" s="139"/>
      <c r="BO238" s="139"/>
      <c r="BP238" s="139"/>
      <c r="BQ238" s="139"/>
      <c r="BR238" s="139"/>
      <c r="BS238" s="139"/>
      <c r="BT238" s="139"/>
      <c r="BU238" s="139"/>
      <c r="BV238" s="139"/>
      <c r="BW238" s="139"/>
      <c r="BX238" s="139"/>
      <c r="BY238" s="139"/>
      <c r="BZ238" s="139"/>
      <c r="CA238" s="139"/>
      <c r="CB238" s="139"/>
      <c r="CC238" s="139"/>
      <c r="CD238" s="139"/>
      <c r="CE238" s="139"/>
      <c r="CF238" s="139"/>
      <c r="CG238" s="139"/>
      <c r="CH238" s="139"/>
      <c r="CI238" s="139"/>
      <c r="CJ238" s="139"/>
      <c r="CK238" s="139"/>
      <c r="CL238" s="139"/>
      <c r="CM238" s="139"/>
      <c r="CN238" s="139"/>
      <c r="CO238" s="139"/>
      <c r="CP238" s="139"/>
      <c r="CQ238" s="139"/>
      <c r="CR238" s="139"/>
      <c r="CS238" s="139"/>
      <c r="CT238" s="139"/>
      <c r="CU238" s="139"/>
      <c r="CV238" s="139"/>
      <c r="CW238" s="139"/>
      <c r="CX238" s="139"/>
      <c r="CY238" s="139"/>
      <c r="CZ238" s="139"/>
      <c r="DA238" s="139"/>
      <c r="DB238" s="139"/>
      <c r="DC238" s="139"/>
      <c r="DD238" s="139"/>
      <c r="DE238" s="139"/>
      <c r="DF238" s="139"/>
      <c r="DG238" s="139"/>
      <c r="DH238" s="139"/>
      <c r="DI238" s="139"/>
      <c r="DJ238" s="139"/>
      <c r="DK238" s="139"/>
      <c r="DL238" s="139"/>
      <c r="DM238" s="139"/>
      <c r="DN238" s="139"/>
      <c r="DO238" s="139"/>
      <c r="DP238" s="139"/>
      <c r="DQ238" s="139"/>
      <c r="DR238" s="139"/>
      <c r="DS238" s="139"/>
      <c r="DT238" s="139"/>
      <c r="DU238" s="139"/>
      <c r="DV238" s="139"/>
      <c r="DW238" s="139"/>
      <c r="DX238" s="139"/>
      <c r="DY238" s="139"/>
      <c r="DZ238" s="139"/>
      <c r="EA238" s="139"/>
      <c r="EB238" s="139"/>
      <c r="EC238" s="139"/>
      <c r="ED238" s="139"/>
      <c r="EE238" s="139"/>
      <c r="EF238" s="139"/>
      <c r="EG238" s="139"/>
      <c r="EH238" s="139"/>
      <c r="EI238" s="139"/>
      <c r="EJ238" s="139"/>
      <c r="EK238" s="139"/>
      <c r="EL238" s="139"/>
      <c r="EM238" s="139"/>
      <c r="EN238" s="139"/>
      <c r="EO238" s="139"/>
      <c r="EP238" s="139"/>
      <c r="EQ238" s="139"/>
      <c r="ER238" s="139"/>
      <c r="ES238" s="139"/>
      <c r="ET238" s="139"/>
      <c r="EU238" s="139"/>
      <c r="EV238" s="139"/>
      <c r="EW238" s="139"/>
      <c r="EX238" s="139"/>
      <c r="EY238" s="139"/>
      <c r="EZ238" s="139"/>
      <c r="FA238" s="139"/>
      <c r="FB238" s="139"/>
      <c r="FC238" s="139"/>
      <c r="FD238" s="139"/>
      <c r="FE238" s="139"/>
      <c r="FF238" s="139"/>
      <c r="FG238" s="139"/>
      <c r="FH238" s="139"/>
      <c r="FI238" s="139"/>
      <c r="FJ238" s="139"/>
      <c r="FK238" s="139"/>
      <c r="FL238" s="139"/>
      <c r="FM238" s="139"/>
      <c r="FN238" s="139"/>
      <c r="FO238" s="139"/>
      <c r="FP238" s="139"/>
      <c r="FQ238" s="139"/>
      <c r="FR238" s="139"/>
      <c r="FS238" s="139"/>
      <c r="FT238" s="139"/>
      <c r="FU238" s="139"/>
      <c r="FV238" s="139"/>
      <c r="FW238" s="139"/>
      <c r="FX238" s="139"/>
      <c r="FY238" s="139"/>
      <c r="FZ238" s="139"/>
      <c r="GA238" s="139"/>
      <c r="GB238" s="139"/>
      <c r="GC238" s="139"/>
      <c r="GD238" s="139"/>
      <c r="GE238" s="139"/>
      <c r="GF238" s="139"/>
      <c r="GG238" s="139"/>
      <c r="GH238" s="139"/>
      <c r="GI238" s="139"/>
      <c r="GJ238" s="139"/>
      <c r="GK238" s="139"/>
      <c r="GL238" s="139"/>
      <c r="GM238" s="139"/>
      <c r="GN238" s="139"/>
      <c r="GO238" s="139"/>
      <c r="GP238" s="139"/>
      <c r="GQ238" s="139"/>
      <c r="GR238" s="139"/>
      <c r="GS238" s="139"/>
      <c r="GT238" s="139"/>
      <c r="GU238" s="139"/>
      <c r="GV238" s="139"/>
      <c r="GW238" s="139"/>
      <c r="GX238" s="139"/>
      <c r="GY238" s="139"/>
      <c r="GZ238" s="139"/>
      <c r="HA238" s="139"/>
      <c r="HB238" s="139"/>
      <c r="HC238" s="139"/>
      <c r="HD238" s="139"/>
      <c r="HE238" s="139"/>
      <c r="HF238" s="139"/>
      <c r="HG238" s="139"/>
      <c r="HH238" s="139"/>
      <c r="HI238" s="139"/>
      <c r="HJ238" s="139"/>
      <c r="HK238" s="139"/>
      <c r="HL238" s="139"/>
      <c r="HM238" s="139"/>
      <c r="HN238" s="139"/>
      <c r="HO238" s="139"/>
      <c r="HP238" s="139"/>
      <c r="HQ238" s="139"/>
      <c r="HR238" s="139"/>
      <c r="HS238" s="139"/>
      <c r="HT238" s="139"/>
      <c r="HU238" s="139"/>
      <c r="HV238" s="139"/>
      <c r="HW238" s="139"/>
      <c r="HX238" s="139"/>
      <c r="HY238" s="139"/>
      <c r="HZ238" s="139"/>
      <c r="IA238" s="139"/>
      <c r="IB238" s="139"/>
      <c r="IC238" s="139"/>
      <c r="ID238" s="139"/>
      <c r="IE238" s="139"/>
      <c r="IF238" s="139"/>
      <c r="IG238" s="139"/>
      <c r="IH238" s="139"/>
      <c r="II238" s="139"/>
      <c r="IJ238" s="139"/>
      <c r="IK238" s="139"/>
      <c r="IL238" s="139"/>
      <c r="IM238" s="139"/>
      <c r="IN238" s="139"/>
      <c r="IO238" s="139"/>
      <c r="IP238" s="139"/>
      <c r="IQ238" s="139"/>
      <c r="IR238" s="139"/>
      <c r="IS238" s="139"/>
      <c r="IT238" s="139"/>
      <c r="IU238" s="139"/>
      <c r="IV238" s="139"/>
      <c r="IW238" s="139"/>
    </row>
    <row r="239" spans="2:257" x14ac:dyDescent="0.3">
      <c r="B239" s="5" t="s">
        <v>115</v>
      </c>
      <c r="C239" s="916" t="s">
        <v>218</v>
      </c>
      <c r="D239" s="968">
        <v>2507.8000000000002</v>
      </c>
      <c r="E239" s="968">
        <v>1786.7</v>
      </c>
      <c r="F239" s="968">
        <v>48296.7</v>
      </c>
      <c r="G239" s="968">
        <v>3467.1</v>
      </c>
      <c r="H239" s="968">
        <v>22442.9</v>
      </c>
      <c r="I239" s="968">
        <v>19138</v>
      </c>
      <c r="J239" s="10">
        <v>10797.5</v>
      </c>
      <c r="K239" s="993">
        <v>2667.6</v>
      </c>
      <c r="L239" s="270">
        <f t="shared" si="28"/>
        <v>111104.3</v>
      </c>
      <c r="M239" s="995">
        <f>(P279*EF_CH4_DieselAvBio_Trans_kg_l+'II. Transport '!Q279*EF_CH4_PetrolAvBio_Trans_kg_l)*0.001</f>
        <v>134.459046105</v>
      </c>
      <c r="N239" s="996">
        <f>(P279*EF_N2O_DieselAvBio_Trans_kg_l+'II. Transport '!Q279*EF_N2O_PetrolAvBio_Trans_kg_l)*0.001</f>
        <v>999.35059551600023</v>
      </c>
      <c r="O239" s="268">
        <f t="shared" si="25"/>
        <v>112238.10964162101</v>
      </c>
      <c r="P239" s="283">
        <v>8.897708903456472</v>
      </c>
      <c r="Q239" s="16">
        <v>258.50185866884061</v>
      </c>
      <c r="R239" s="16">
        <v>741.3196417985049</v>
      </c>
      <c r="S239" s="16">
        <v>418.03621830625315</v>
      </c>
      <c r="T239" s="968">
        <v>173.58337369550171</v>
      </c>
      <c r="U239" s="993">
        <v>476.88597719402674</v>
      </c>
      <c r="V239" s="968">
        <v>255.53595570102178</v>
      </c>
      <c r="W239" s="16">
        <v>2.7317527335173377</v>
      </c>
      <c r="X239" s="283">
        <f t="shared" si="26"/>
        <v>2335.4924870011228</v>
      </c>
      <c r="Y239" s="968">
        <f t="shared" si="23"/>
        <v>11.844861756772243</v>
      </c>
      <c r="Z239" s="968">
        <f t="shared" si="24"/>
        <v>16.075169527048043</v>
      </c>
      <c r="AA239" s="268">
        <f t="shared" si="27"/>
        <v>2363.412518284943</v>
      </c>
      <c r="AB239" s="139"/>
      <c r="AC239" s="139"/>
      <c r="AD239" s="139"/>
      <c r="AE239" s="139"/>
      <c r="AF239" s="139"/>
      <c r="AG239" s="139"/>
      <c r="AH239" s="139"/>
      <c r="AI239" s="139"/>
      <c r="AJ239" s="139"/>
      <c r="AK239" s="139"/>
      <c r="AL239" s="139"/>
      <c r="AM239" s="139"/>
      <c r="AN239" s="139"/>
      <c r="AO239" s="139"/>
      <c r="AP239" s="139"/>
      <c r="AQ239" s="139"/>
      <c r="AR239" s="139"/>
      <c r="AS239" s="139"/>
      <c r="AT239" s="139"/>
      <c r="AU239" s="139"/>
      <c r="AV239" s="139"/>
      <c r="AW239" s="139"/>
      <c r="AX239" s="139"/>
      <c r="AY239" s="139"/>
      <c r="AZ239" s="139"/>
      <c r="BA239" s="139"/>
      <c r="BB239" s="139"/>
      <c r="BC239" s="139"/>
      <c r="BD239" s="139"/>
      <c r="BE239" s="139"/>
      <c r="BF239" s="139"/>
      <c r="BG239" s="139"/>
      <c r="BH239" s="139"/>
      <c r="BI239" s="139"/>
      <c r="BJ239" s="139"/>
      <c r="BK239" s="139"/>
      <c r="BL239" s="139"/>
      <c r="BM239" s="139"/>
      <c r="BN239" s="139"/>
      <c r="BO239" s="139"/>
      <c r="BP239" s="139"/>
      <c r="BQ239" s="139"/>
      <c r="BR239" s="139"/>
      <c r="BS239" s="139"/>
      <c r="BT239" s="139"/>
      <c r="BU239" s="139"/>
      <c r="BV239" s="139"/>
      <c r="BW239" s="139"/>
      <c r="BX239" s="139"/>
      <c r="BY239" s="139"/>
      <c r="BZ239" s="139"/>
      <c r="CA239" s="139"/>
      <c r="CB239" s="139"/>
      <c r="CC239" s="139"/>
      <c r="CD239" s="139"/>
      <c r="CE239" s="139"/>
      <c r="CF239" s="139"/>
      <c r="CG239" s="139"/>
      <c r="CH239" s="139"/>
      <c r="CI239" s="139"/>
      <c r="CJ239" s="139"/>
      <c r="CK239" s="139"/>
      <c r="CL239" s="139"/>
      <c r="CM239" s="139"/>
      <c r="CN239" s="139"/>
      <c r="CO239" s="139"/>
      <c r="CP239" s="139"/>
      <c r="CQ239" s="139"/>
      <c r="CR239" s="139"/>
      <c r="CS239" s="139"/>
      <c r="CT239" s="139"/>
      <c r="CU239" s="139"/>
      <c r="CV239" s="139"/>
      <c r="CW239" s="139"/>
      <c r="CX239" s="139"/>
      <c r="CY239" s="139"/>
      <c r="CZ239" s="139"/>
      <c r="DA239" s="139"/>
      <c r="DB239" s="139"/>
      <c r="DC239" s="139"/>
      <c r="DD239" s="139"/>
      <c r="DE239" s="139"/>
      <c r="DF239" s="139"/>
      <c r="DG239" s="139"/>
      <c r="DH239" s="139"/>
      <c r="DI239" s="139"/>
      <c r="DJ239" s="139"/>
      <c r="DK239" s="139"/>
      <c r="DL239" s="139"/>
      <c r="DM239" s="139"/>
      <c r="DN239" s="139"/>
      <c r="DO239" s="139"/>
      <c r="DP239" s="139"/>
      <c r="DQ239" s="139"/>
      <c r="DR239" s="139"/>
      <c r="DS239" s="139"/>
      <c r="DT239" s="139"/>
      <c r="DU239" s="139"/>
      <c r="DV239" s="139"/>
      <c r="DW239" s="139"/>
      <c r="DX239" s="139"/>
      <c r="DY239" s="139"/>
      <c r="DZ239" s="139"/>
      <c r="EA239" s="139"/>
      <c r="EB239" s="139"/>
      <c r="EC239" s="139"/>
      <c r="ED239" s="139"/>
      <c r="EE239" s="139"/>
      <c r="EF239" s="139"/>
      <c r="EG239" s="139"/>
      <c r="EH239" s="139"/>
      <c r="EI239" s="139"/>
      <c r="EJ239" s="139"/>
      <c r="EK239" s="139"/>
      <c r="EL239" s="139"/>
      <c r="EM239" s="139"/>
      <c r="EN239" s="139"/>
      <c r="EO239" s="139"/>
      <c r="EP239" s="139"/>
      <c r="EQ239" s="139"/>
      <c r="ER239" s="139"/>
      <c r="ES239" s="139"/>
      <c r="ET239" s="139"/>
      <c r="EU239" s="139"/>
      <c r="EV239" s="139"/>
      <c r="EW239" s="139"/>
      <c r="EX239" s="139"/>
      <c r="EY239" s="139"/>
      <c r="EZ239" s="139"/>
      <c r="FA239" s="139"/>
      <c r="FB239" s="139"/>
      <c r="FC239" s="139"/>
      <c r="FD239" s="139"/>
      <c r="FE239" s="139"/>
      <c r="FF239" s="139"/>
      <c r="FG239" s="139"/>
      <c r="FH239" s="139"/>
      <c r="FI239" s="139"/>
      <c r="FJ239" s="139"/>
      <c r="FK239" s="139"/>
      <c r="FL239" s="139"/>
      <c r="FM239" s="139"/>
      <c r="FN239" s="139"/>
      <c r="FO239" s="139"/>
      <c r="FP239" s="139"/>
      <c r="FQ239" s="139"/>
      <c r="FR239" s="139"/>
      <c r="FS239" s="139"/>
      <c r="FT239" s="139"/>
      <c r="FU239" s="139"/>
      <c r="FV239" s="139"/>
      <c r="FW239" s="139"/>
      <c r="FX239" s="139"/>
      <c r="FY239" s="139"/>
      <c r="FZ239" s="139"/>
      <c r="GA239" s="139"/>
      <c r="GB239" s="139"/>
      <c r="GC239" s="139"/>
      <c r="GD239" s="139"/>
      <c r="GE239" s="139"/>
      <c r="GF239" s="139"/>
      <c r="GG239" s="139"/>
      <c r="GH239" s="139"/>
      <c r="GI239" s="139"/>
      <c r="GJ239" s="139"/>
      <c r="GK239" s="139"/>
      <c r="GL239" s="139"/>
      <c r="GM239" s="139"/>
      <c r="GN239" s="139"/>
      <c r="GO239" s="139"/>
      <c r="GP239" s="139"/>
      <c r="GQ239" s="139"/>
      <c r="GR239" s="139"/>
      <c r="GS239" s="139"/>
      <c r="GT239" s="139"/>
      <c r="GU239" s="139"/>
      <c r="GV239" s="139"/>
      <c r="GW239" s="139"/>
      <c r="GX239" s="139"/>
      <c r="GY239" s="139"/>
      <c r="GZ239" s="139"/>
      <c r="HA239" s="139"/>
      <c r="HB239" s="139"/>
      <c r="HC239" s="139"/>
      <c r="HD239" s="139"/>
      <c r="HE239" s="139"/>
      <c r="HF239" s="139"/>
      <c r="HG239" s="139"/>
      <c r="HH239" s="139"/>
      <c r="HI239" s="139"/>
      <c r="HJ239" s="139"/>
      <c r="HK239" s="139"/>
      <c r="HL239" s="139"/>
      <c r="HM239" s="139"/>
      <c r="HN239" s="139"/>
      <c r="HO239" s="139"/>
      <c r="HP239" s="139"/>
      <c r="HQ239" s="139"/>
      <c r="HR239" s="139"/>
      <c r="HS239" s="139"/>
      <c r="HT239" s="139"/>
      <c r="HU239" s="139"/>
      <c r="HV239" s="139"/>
      <c r="HW239" s="139"/>
      <c r="HX239" s="139"/>
      <c r="HY239" s="139"/>
      <c r="HZ239" s="139"/>
      <c r="IA239" s="139"/>
      <c r="IB239" s="139"/>
      <c r="IC239" s="139"/>
      <c r="ID239" s="139"/>
      <c r="IE239" s="139"/>
      <c r="IF239" s="139"/>
      <c r="IG239" s="139"/>
      <c r="IH239" s="139"/>
      <c r="II239" s="139"/>
      <c r="IJ239" s="139"/>
      <c r="IK239" s="139"/>
      <c r="IL239" s="139"/>
      <c r="IM239" s="139"/>
      <c r="IN239" s="139"/>
      <c r="IO239" s="139"/>
      <c r="IP239" s="139"/>
      <c r="IQ239" s="139"/>
      <c r="IR239" s="139"/>
      <c r="IS239" s="139"/>
      <c r="IT239" s="139"/>
      <c r="IU239" s="139"/>
      <c r="IV239" s="139"/>
      <c r="IW239" s="139"/>
    </row>
    <row r="240" spans="2:257" x14ac:dyDescent="0.3">
      <c r="B240" s="5" t="s">
        <v>116</v>
      </c>
      <c r="C240" s="916" t="s">
        <v>219</v>
      </c>
      <c r="D240" s="968">
        <v>2751.9</v>
      </c>
      <c r="E240" s="968">
        <v>835.9</v>
      </c>
      <c r="F240" s="968">
        <v>54255.199999999997</v>
      </c>
      <c r="G240" s="968">
        <v>1787.6</v>
      </c>
      <c r="H240" s="968">
        <v>25926.7</v>
      </c>
      <c r="I240" s="968">
        <v>21895.4</v>
      </c>
      <c r="J240" s="10">
        <v>10271.6</v>
      </c>
      <c r="K240" s="993">
        <v>2152.3000000000002</v>
      </c>
      <c r="L240" s="270">
        <f t="shared" si="28"/>
        <v>119876.60000000002</v>
      </c>
      <c r="M240" s="995">
        <f>(P280*EF_CH4_DieselAvBio_Trans_kg_l+'II. Transport '!Q280*EF_CH4_PetrolAvBio_Trans_kg_l)*0.001</f>
        <v>149.68318846299999</v>
      </c>
      <c r="N240" s="996">
        <f>(P280*EF_N2O_DieselAvBio_Trans_kg_l+'II. Transport '!Q280*EF_N2O_PetrolAvBio_Trans_kg_l)*0.001</f>
        <v>1062.2070799959997</v>
      </c>
      <c r="O240" s="268">
        <f t="shared" si="25"/>
        <v>121088.49026845902</v>
      </c>
      <c r="P240" s="283">
        <v>9.4440594501599389</v>
      </c>
      <c r="Q240" s="16">
        <v>117.9336680098485</v>
      </c>
      <c r="R240" s="16">
        <v>840.83349137663663</v>
      </c>
      <c r="S240" s="16">
        <v>204.72535485759934</v>
      </c>
      <c r="T240" s="968">
        <v>204.95950509190084</v>
      </c>
      <c r="U240" s="993">
        <v>599.34654973370391</v>
      </c>
      <c r="V240" s="968">
        <v>247.73094789097229</v>
      </c>
      <c r="W240" s="16">
        <v>2.18540218681387</v>
      </c>
      <c r="X240" s="283">
        <f t="shared" si="26"/>
        <v>2227.1589785976357</v>
      </c>
      <c r="Y240" s="968">
        <f t="shared" si="23"/>
        <v>11.295429276125256</v>
      </c>
      <c r="Z240" s="968">
        <f t="shared" si="24"/>
        <v>15.329511160455702</v>
      </c>
      <c r="AA240" s="268">
        <f t="shared" si="27"/>
        <v>2253.7839190342165</v>
      </c>
      <c r="AB240" s="139"/>
      <c r="AC240" s="139"/>
      <c r="AD240" s="139"/>
      <c r="AE240" s="139"/>
      <c r="AF240" s="139"/>
      <c r="AG240" s="139"/>
      <c r="AH240" s="139"/>
      <c r="AI240" s="139"/>
      <c r="AJ240" s="139"/>
      <c r="AK240" s="139"/>
      <c r="AL240" s="139"/>
      <c r="AM240" s="139"/>
      <c r="AN240" s="139"/>
      <c r="AO240" s="139"/>
      <c r="AP240" s="139"/>
      <c r="AQ240" s="139"/>
      <c r="AR240" s="139"/>
      <c r="AS240" s="139"/>
      <c r="AT240" s="139"/>
      <c r="AU240" s="139"/>
      <c r="AV240" s="139"/>
      <c r="AW240" s="139"/>
      <c r="AX240" s="139"/>
      <c r="AY240" s="139"/>
      <c r="AZ240" s="139"/>
      <c r="BA240" s="139"/>
      <c r="BB240" s="139"/>
      <c r="BC240" s="139"/>
      <c r="BD240" s="139"/>
      <c r="BE240" s="139"/>
      <c r="BF240" s="139"/>
      <c r="BG240" s="139"/>
      <c r="BH240" s="139"/>
      <c r="BI240" s="139"/>
      <c r="BJ240" s="139"/>
      <c r="BK240" s="139"/>
      <c r="BL240" s="139"/>
      <c r="BM240" s="139"/>
      <c r="BN240" s="139"/>
      <c r="BO240" s="139"/>
      <c r="BP240" s="139"/>
      <c r="BQ240" s="139"/>
      <c r="BR240" s="139"/>
      <c r="BS240" s="139"/>
      <c r="BT240" s="139"/>
      <c r="BU240" s="139"/>
      <c r="BV240" s="139"/>
      <c r="BW240" s="139"/>
      <c r="BX240" s="139"/>
      <c r="BY240" s="139"/>
      <c r="BZ240" s="139"/>
      <c r="CA240" s="139"/>
      <c r="CB240" s="139"/>
      <c r="CC240" s="139"/>
      <c r="CD240" s="139"/>
      <c r="CE240" s="139"/>
      <c r="CF240" s="139"/>
      <c r="CG240" s="139"/>
      <c r="CH240" s="139"/>
      <c r="CI240" s="139"/>
      <c r="CJ240" s="139"/>
      <c r="CK240" s="139"/>
      <c r="CL240" s="139"/>
      <c r="CM240" s="139"/>
      <c r="CN240" s="139"/>
      <c r="CO240" s="139"/>
      <c r="CP240" s="139"/>
      <c r="CQ240" s="139"/>
      <c r="CR240" s="139"/>
      <c r="CS240" s="139"/>
      <c r="CT240" s="139"/>
      <c r="CU240" s="139"/>
      <c r="CV240" s="139"/>
      <c r="CW240" s="139"/>
      <c r="CX240" s="139"/>
      <c r="CY240" s="139"/>
      <c r="CZ240" s="139"/>
      <c r="DA240" s="139"/>
      <c r="DB240" s="139"/>
      <c r="DC240" s="139"/>
      <c r="DD240" s="139"/>
      <c r="DE240" s="139"/>
      <c r="DF240" s="139"/>
      <c r="DG240" s="139"/>
      <c r="DH240" s="139"/>
      <c r="DI240" s="139"/>
      <c r="DJ240" s="139"/>
      <c r="DK240" s="139"/>
      <c r="DL240" s="139"/>
      <c r="DM240" s="139"/>
      <c r="DN240" s="139"/>
      <c r="DO240" s="139"/>
      <c r="DP240" s="139"/>
      <c r="DQ240" s="139"/>
      <c r="DR240" s="139"/>
      <c r="DS240" s="139"/>
      <c r="DT240" s="139"/>
      <c r="DU240" s="139"/>
      <c r="DV240" s="139"/>
      <c r="DW240" s="139"/>
      <c r="DX240" s="139"/>
      <c r="DY240" s="139"/>
      <c r="DZ240" s="139"/>
      <c r="EA240" s="139"/>
      <c r="EB240" s="139"/>
      <c r="EC240" s="139"/>
      <c r="ED240" s="139"/>
      <c r="EE240" s="139"/>
      <c r="EF240" s="139"/>
      <c r="EG240" s="139"/>
      <c r="EH240" s="139"/>
      <c r="EI240" s="139"/>
      <c r="EJ240" s="139"/>
      <c r="EK240" s="139"/>
      <c r="EL240" s="139"/>
      <c r="EM240" s="139"/>
      <c r="EN240" s="139"/>
      <c r="EO240" s="139"/>
      <c r="EP240" s="139"/>
      <c r="EQ240" s="139"/>
      <c r="ER240" s="139"/>
      <c r="ES240" s="139"/>
      <c r="ET240" s="139"/>
      <c r="EU240" s="139"/>
      <c r="EV240" s="139"/>
      <c r="EW240" s="139"/>
      <c r="EX240" s="139"/>
      <c r="EY240" s="139"/>
      <c r="EZ240" s="139"/>
      <c r="FA240" s="139"/>
      <c r="FB240" s="139"/>
      <c r="FC240" s="139"/>
      <c r="FD240" s="139"/>
      <c r="FE240" s="139"/>
      <c r="FF240" s="139"/>
      <c r="FG240" s="139"/>
      <c r="FH240" s="139"/>
      <c r="FI240" s="139"/>
      <c r="FJ240" s="139"/>
      <c r="FK240" s="139"/>
      <c r="FL240" s="139"/>
      <c r="FM240" s="139"/>
      <c r="FN240" s="139"/>
      <c r="FO240" s="139"/>
      <c r="FP240" s="139"/>
      <c r="FQ240" s="139"/>
      <c r="FR240" s="139"/>
      <c r="FS240" s="139"/>
      <c r="FT240" s="139"/>
      <c r="FU240" s="139"/>
      <c r="FV240" s="139"/>
      <c r="FW240" s="139"/>
      <c r="FX240" s="139"/>
      <c r="FY240" s="139"/>
      <c r="FZ240" s="139"/>
      <c r="GA240" s="139"/>
      <c r="GB240" s="139"/>
      <c r="GC240" s="139"/>
      <c r="GD240" s="139"/>
      <c r="GE240" s="139"/>
      <c r="GF240" s="139"/>
      <c r="GG240" s="139"/>
      <c r="GH240" s="139"/>
      <c r="GI240" s="139"/>
      <c r="GJ240" s="139"/>
      <c r="GK240" s="139"/>
      <c r="GL240" s="139"/>
      <c r="GM240" s="139"/>
      <c r="GN240" s="139"/>
      <c r="GO240" s="139"/>
      <c r="GP240" s="139"/>
      <c r="GQ240" s="139"/>
      <c r="GR240" s="139"/>
      <c r="GS240" s="139"/>
      <c r="GT240" s="139"/>
      <c r="GU240" s="139"/>
      <c r="GV240" s="139"/>
      <c r="GW240" s="139"/>
      <c r="GX240" s="139"/>
      <c r="GY240" s="139"/>
      <c r="GZ240" s="139"/>
      <c r="HA240" s="139"/>
      <c r="HB240" s="139"/>
      <c r="HC240" s="139"/>
      <c r="HD240" s="139"/>
      <c r="HE240" s="139"/>
      <c r="HF240" s="139"/>
      <c r="HG240" s="139"/>
      <c r="HH240" s="139"/>
      <c r="HI240" s="139"/>
      <c r="HJ240" s="139"/>
      <c r="HK240" s="139"/>
      <c r="HL240" s="139"/>
      <c r="HM240" s="139"/>
      <c r="HN240" s="139"/>
      <c r="HO240" s="139"/>
      <c r="HP240" s="139"/>
      <c r="HQ240" s="139"/>
      <c r="HR240" s="139"/>
      <c r="HS240" s="139"/>
      <c r="HT240" s="139"/>
      <c r="HU240" s="139"/>
      <c r="HV240" s="139"/>
      <c r="HW240" s="139"/>
      <c r="HX240" s="139"/>
      <c r="HY240" s="139"/>
      <c r="HZ240" s="139"/>
      <c r="IA240" s="139"/>
      <c r="IB240" s="139"/>
      <c r="IC240" s="139"/>
      <c r="ID240" s="139"/>
      <c r="IE240" s="139"/>
      <c r="IF240" s="139"/>
      <c r="IG240" s="139"/>
      <c r="IH240" s="139"/>
      <c r="II240" s="139"/>
      <c r="IJ240" s="139"/>
      <c r="IK240" s="139"/>
      <c r="IL240" s="139"/>
      <c r="IM240" s="139"/>
      <c r="IN240" s="139"/>
      <c r="IO240" s="139"/>
      <c r="IP240" s="139"/>
      <c r="IQ240" s="139"/>
      <c r="IR240" s="139"/>
      <c r="IS240" s="139"/>
      <c r="IT240" s="139"/>
      <c r="IU240" s="139"/>
      <c r="IV240" s="139"/>
      <c r="IW240" s="139"/>
    </row>
    <row r="241" spans="2:257" x14ac:dyDescent="0.3">
      <c r="B241" s="5" t="s">
        <v>117</v>
      </c>
      <c r="C241" s="916" t="s">
        <v>220</v>
      </c>
      <c r="D241" s="968">
        <v>1319.2</v>
      </c>
      <c r="E241" s="968">
        <v>557.6</v>
      </c>
      <c r="F241" s="968">
        <v>71460.3</v>
      </c>
      <c r="G241" s="968">
        <v>1752.7</v>
      </c>
      <c r="H241" s="968">
        <v>25554.1</v>
      </c>
      <c r="I241" s="968">
        <v>15038.4</v>
      </c>
      <c r="J241" s="10">
        <v>6383.8</v>
      </c>
      <c r="K241" s="993">
        <v>3991.6</v>
      </c>
      <c r="L241" s="270">
        <f t="shared" si="28"/>
        <v>126057.7</v>
      </c>
      <c r="M241" s="995">
        <f>(P281*EF_CH4_DieselAvBio_Trans_kg_l+'II. Transport '!Q281*EF_CH4_PetrolAvBio_Trans_kg_l)*0.001</f>
        <v>171.297910312</v>
      </c>
      <c r="N241" s="996">
        <f>(P281*EF_N2O_DieselAvBio_Trans_kg_l+'II. Transport '!Q281*EF_N2O_PetrolAvBio_Trans_kg_l)*0.001</f>
        <v>1075.2176865039999</v>
      </c>
      <c r="O241" s="268">
        <f t="shared" si="25"/>
        <v>127304.21559681599</v>
      </c>
      <c r="P241" s="283">
        <v>4.448854451728236</v>
      </c>
      <c r="Q241" s="16">
        <v>75.396375445078519</v>
      </c>
      <c r="R241" s="16">
        <v>936.83508744024573</v>
      </c>
      <c r="S241" s="16">
        <v>189.97389009660571</v>
      </c>
      <c r="T241" s="968">
        <v>123.47522355498364</v>
      </c>
      <c r="U241" s="993">
        <v>491.32524164261838</v>
      </c>
      <c r="V241" s="968">
        <v>187.32018744118886</v>
      </c>
      <c r="W241" s="16">
        <v>1.9512519525123839</v>
      </c>
      <c r="X241" s="283">
        <f t="shared" si="26"/>
        <v>2010.7261120249614</v>
      </c>
      <c r="Y241" s="968">
        <f t="shared" si="23"/>
        <v>10.197751849011347</v>
      </c>
      <c r="Z241" s="968">
        <f t="shared" si="24"/>
        <v>13.839806080801115</v>
      </c>
      <c r="AA241" s="268">
        <f t="shared" si="27"/>
        <v>2034.7636699547738</v>
      </c>
      <c r="AB241" s="139"/>
      <c r="AC241" s="139"/>
      <c r="AD241" s="139"/>
      <c r="AE241" s="139"/>
      <c r="AF241" s="139"/>
      <c r="AG241" s="139"/>
      <c r="AH241" s="139"/>
      <c r="AI241" s="139"/>
      <c r="AJ241" s="139"/>
      <c r="AK241" s="139"/>
      <c r="AL241" s="139"/>
      <c r="AM241" s="139"/>
      <c r="AN241" s="139"/>
      <c r="AO241" s="139"/>
      <c r="AP241" s="139"/>
      <c r="AQ241" s="139"/>
      <c r="AR241" s="139"/>
      <c r="AS241" s="139"/>
      <c r="AT241" s="139"/>
      <c r="AU241" s="139"/>
      <c r="AV241" s="139"/>
      <c r="AW241" s="139"/>
      <c r="AX241" s="139"/>
      <c r="AY241" s="139"/>
      <c r="AZ241" s="139"/>
      <c r="BA241" s="139"/>
      <c r="BB241" s="139"/>
      <c r="BC241" s="139"/>
      <c r="BD241" s="139"/>
      <c r="BE241" s="139"/>
      <c r="BF241" s="139"/>
      <c r="BG241" s="139"/>
      <c r="BH241" s="139"/>
      <c r="BI241" s="139"/>
      <c r="BJ241" s="139"/>
      <c r="BK241" s="139"/>
      <c r="BL241" s="139"/>
      <c r="BM241" s="139"/>
      <c r="BN241" s="139"/>
      <c r="BO241" s="139"/>
      <c r="BP241" s="139"/>
      <c r="BQ241" s="139"/>
      <c r="BR241" s="139"/>
      <c r="BS241" s="139"/>
      <c r="BT241" s="139"/>
      <c r="BU241" s="139"/>
      <c r="BV241" s="139"/>
      <c r="BW241" s="139"/>
      <c r="BX241" s="139"/>
      <c r="BY241" s="139"/>
      <c r="BZ241" s="139"/>
      <c r="CA241" s="139"/>
      <c r="CB241" s="139"/>
      <c r="CC241" s="139"/>
      <c r="CD241" s="139"/>
      <c r="CE241" s="139"/>
      <c r="CF241" s="139"/>
      <c r="CG241" s="139"/>
      <c r="CH241" s="139"/>
      <c r="CI241" s="139"/>
      <c r="CJ241" s="139"/>
      <c r="CK241" s="139"/>
      <c r="CL241" s="139"/>
      <c r="CM241" s="139"/>
      <c r="CN241" s="139"/>
      <c r="CO241" s="139"/>
      <c r="CP241" s="139"/>
      <c r="CQ241" s="139"/>
      <c r="CR241" s="139"/>
      <c r="CS241" s="139"/>
      <c r="CT241" s="139"/>
      <c r="CU241" s="139"/>
      <c r="CV241" s="139"/>
      <c r="CW241" s="139"/>
      <c r="CX241" s="139"/>
      <c r="CY241" s="139"/>
      <c r="CZ241" s="139"/>
      <c r="DA241" s="139"/>
      <c r="DB241" s="139"/>
      <c r="DC241" s="139"/>
      <c r="DD241" s="139"/>
      <c r="DE241" s="139"/>
      <c r="DF241" s="139"/>
      <c r="DG241" s="139"/>
      <c r="DH241" s="139"/>
      <c r="DI241" s="139"/>
      <c r="DJ241" s="139"/>
      <c r="DK241" s="139"/>
      <c r="DL241" s="139"/>
      <c r="DM241" s="139"/>
      <c r="DN241" s="139"/>
      <c r="DO241" s="139"/>
      <c r="DP241" s="139"/>
      <c r="DQ241" s="139"/>
      <c r="DR241" s="139"/>
      <c r="DS241" s="139"/>
      <c r="DT241" s="139"/>
      <c r="DU241" s="139"/>
      <c r="DV241" s="139"/>
      <c r="DW241" s="139"/>
      <c r="DX241" s="139"/>
      <c r="DY241" s="139"/>
      <c r="DZ241" s="139"/>
      <c r="EA241" s="139"/>
      <c r="EB241" s="139"/>
      <c r="EC241" s="139"/>
      <c r="ED241" s="139"/>
      <c r="EE241" s="139"/>
      <c r="EF241" s="139"/>
      <c r="EG241" s="139"/>
      <c r="EH241" s="139"/>
      <c r="EI241" s="139"/>
      <c r="EJ241" s="139"/>
      <c r="EK241" s="139"/>
      <c r="EL241" s="139"/>
      <c r="EM241" s="139"/>
      <c r="EN241" s="139"/>
      <c r="EO241" s="139"/>
      <c r="EP241" s="139"/>
      <c r="EQ241" s="139"/>
      <c r="ER241" s="139"/>
      <c r="ES241" s="139"/>
      <c r="ET241" s="139"/>
      <c r="EU241" s="139"/>
      <c r="EV241" s="139"/>
      <c r="EW241" s="139"/>
      <c r="EX241" s="139"/>
      <c r="EY241" s="139"/>
      <c r="EZ241" s="139"/>
      <c r="FA241" s="139"/>
      <c r="FB241" s="139"/>
      <c r="FC241" s="139"/>
      <c r="FD241" s="139"/>
      <c r="FE241" s="139"/>
      <c r="FF241" s="139"/>
      <c r="FG241" s="139"/>
      <c r="FH241" s="139"/>
      <c r="FI241" s="139"/>
      <c r="FJ241" s="139"/>
      <c r="FK241" s="139"/>
      <c r="FL241" s="139"/>
      <c r="FM241" s="139"/>
      <c r="FN241" s="139"/>
      <c r="FO241" s="139"/>
      <c r="FP241" s="139"/>
      <c r="FQ241" s="139"/>
      <c r="FR241" s="139"/>
      <c r="FS241" s="139"/>
      <c r="FT241" s="139"/>
      <c r="FU241" s="139"/>
      <c r="FV241" s="139"/>
      <c r="FW241" s="139"/>
      <c r="FX241" s="139"/>
      <c r="FY241" s="139"/>
      <c r="FZ241" s="139"/>
      <c r="GA241" s="139"/>
      <c r="GB241" s="139"/>
      <c r="GC241" s="139"/>
      <c r="GD241" s="139"/>
      <c r="GE241" s="139"/>
      <c r="GF241" s="139"/>
      <c r="GG241" s="139"/>
      <c r="GH241" s="139"/>
      <c r="GI241" s="139"/>
      <c r="GJ241" s="139"/>
      <c r="GK241" s="139"/>
      <c r="GL241" s="139"/>
      <c r="GM241" s="139"/>
      <c r="GN241" s="139"/>
      <c r="GO241" s="139"/>
      <c r="GP241" s="139"/>
      <c r="GQ241" s="139"/>
      <c r="GR241" s="139"/>
      <c r="GS241" s="139"/>
      <c r="GT241" s="139"/>
      <c r="GU241" s="139"/>
      <c r="GV241" s="139"/>
      <c r="GW241" s="139"/>
      <c r="GX241" s="139"/>
      <c r="GY241" s="139"/>
      <c r="GZ241" s="139"/>
      <c r="HA241" s="139"/>
      <c r="HB241" s="139"/>
      <c r="HC241" s="139"/>
      <c r="HD241" s="139"/>
      <c r="HE241" s="139"/>
      <c r="HF241" s="139"/>
      <c r="HG241" s="139"/>
      <c r="HH241" s="139"/>
      <c r="HI241" s="139"/>
      <c r="HJ241" s="139"/>
      <c r="HK241" s="139"/>
      <c r="HL241" s="139"/>
      <c r="HM241" s="139"/>
      <c r="HN241" s="139"/>
      <c r="HO241" s="139"/>
      <c r="HP241" s="139"/>
      <c r="HQ241" s="139"/>
      <c r="HR241" s="139"/>
      <c r="HS241" s="139"/>
      <c r="HT241" s="139"/>
      <c r="HU241" s="139"/>
      <c r="HV241" s="139"/>
      <c r="HW241" s="139"/>
      <c r="HX241" s="139"/>
      <c r="HY241" s="139"/>
      <c r="HZ241" s="139"/>
      <c r="IA241" s="139"/>
      <c r="IB241" s="139"/>
      <c r="IC241" s="139"/>
      <c r="ID241" s="139"/>
      <c r="IE241" s="139"/>
      <c r="IF241" s="139"/>
      <c r="IG241" s="139"/>
      <c r="IH241" s="139"/>
      <c r="II241" s="139"/>
      <c r="IJ241" s="139"/>
      <c r="IK241" s="139"/>
      <c r="IL241" s="139"/>
      <c r="IM241" s="139"/>
      <c r="IN241" s="139"/>
      <c r="IO241" s="139"/>
      <c r="IP241" s="139"/>
      <c r="IQ241" s="139"/>
      <c r="IR241" s="139"/>
      <c r="IS241" s="139"/>
      <c r="IT241" s="139"/>
      <c r="IU241" s="139"/>
      <c r="IV241" s="139"/>
      <c r="IW241" s="139"/>
    </row>
    <row r="242" spans="2:257" x14ac:dyDescent="0.3">
      <c r="B242" s="5" t="s">
        <v>118</v>
      </c>
      <c r="C242" s="916" t="s">
        <v>221</v>
      </c>
      <c r="D242" s="968">
        <v>2460.1</v>
      </c>
      <c r="E242" s="968">
        <v>1268.2</v>
      </c>
      <c r="F242" s="968">
        <v>155864.79999999999</v>
      </c>
      <c r="G242" s="968">
        <v>4837.7</v>
      </c>
      <c r="H242" s="968">
        <v>78501.8</v>
      </c>
      <c r="I242" s="968">
        <v>25973.5</v>
      </c>
      <c r="J242" s="10">
        <v>43680.5</v>
      </c>
      <c r="K242" s="993">
        <v>90413.6</v>
      </c>
      <c r="L242" s="270">
        <f t="shared" si="28"/>
        <v>403000.19999999995</v>
      </c>
      <c r="M242" s="995">
        <f>(P282*EF_CH4_DieselAvBio_Trans_kg_l+'II. Transport '!Q282*EF_CH4_PetrolAvBio_Trans_kg_l)*0.001</f>
        <v>369.52580220600004</v>
      </c>
      <c r="N242" s="996">
        <f>(P282*EF_N2O_DieselAvBio_Trans_kg_l+'II. Transport '!Q282*EF_N2O_PetrolAvBio_Trans_kg_l)*0.001</f>
        <v>3957.0444856889999</v>
      </c>
      <c r="O242" s="268">
        <f t="shared" si="25"/>
        <v>407326.77028789499</v>
      </c>
      <c r="P242" s="283">
        <v>8.1172081224515171</v>
      </c>
      <c r="Q242" s="16">
        <v>172.56872268019524</v>
      </c>
      <c r="R242" s="16">
        <v>2504.0806556981929</v>
      </c>
      <c r="S242" s="16">
        <v>325.70297591336714</v>
      </c>
      <c r="T242" s="968">
        <v>349.03994926541526</v>
      </c>
      <c r="U242" s="993">
        <v>863.15581371337828</v>
      </c>
      <c r="V242" s="968">
        <v>853.32150387271588</v>
      </c>
      <c r="W242" s="16">
        <v>79.064729115801796</v>
      </c>
      <c r="X242" s="283">
        <f t="shared" si="26"/>
        <v>5155.0515583815177</v>
      </c>
      <c r="Y242" s="968">
        <f t="shared" si="23"/>
        <v>26.144752508481542</v>
      </c>
      <c r="Z242" s="968">
        <f t="shared" si="24"/>
        <v>35.482164118653522</v>
      </c>
      <c r="AA242" s="268">
        <f t="shared" si="27"/>
        <v>5216.6784750086526</v>
      </c>
      <c r="AB242" s="139"/>
      <c r="AC242" s="139"/>
      <c r="AD242" s="139"/>
      <c r="AE242" s="139"/>
      <c r="AF242" s="139"/>
      <c r="AG242" s="139"/>
      <c r="AH242" s="139"/>
      <c r="AI242" s="139"/>
      <c r="AJ242" s="139"/>
      <c r="AK242" s="139"/>
      <c r="AL242" s="139"/>
      <c r="AM242" s="139"/>
      <c r="AN242" s="139"/>
      <c r="AO242" s="139"/>
      <c r="AP242" s="139"/>
      <c r="AQ242" s="139"/>
      <c r="AR242" s="139"/>
      <c r="AS242" s="139"/>
      <c r="AT242" s="139"/>
      <c r="AU242" s="139"/>
      <c r="AV242" s="139"/>
      <c r="AW242" s="139"/>
      <c r="AX242" s="139"/>
      <c r="AY242" s="139"/>
      <c r="AZ242" s="139"/>
      <c r="BA242" s="139"/>
      <c r="BB242" s="139"/>
      <c r="BC242" s="139"/>
      <c r="BD242" s="139"/>
      <c r="BE242" s="139"/>
      <c r="BF242" s="139"/>
      <c r="BG242" s="139"/>
      <c r="BH242" s="139"/>
      <c r="BI242" s="139"/>
      <c r="BJ242" s="139"/>
      <c r="BK242" s="139"/>
      <c r="BL242" s="139"/>
      <c r="BM242" s="139"/>
      <c r="BN242" s="139"/>
      <c r="BO242" s="139"/>
      <c r="BP242" s="139"/>
      <c r="BQ242" s="139"/>
      <c r="BR242" s="139"/>
      <c r="BS242" s="139"/>
      <c r="BT242" s="139"/>
      <c r="BU242" s="139"/>
      <c r="BV242" s="139"/>
      <c r="BW242" s="139"/>
      <c r="BX242" s="139"/>
      <c r="BY242" s="139"/>
      <c r="BZ242" s="139"/>
      <c r="CA242" s="139"/>
      <c r="CB242" s="139"/>
      <c r="CC242" s="139"/>
      <c r="CD242" s="139"/>
      <c r="CE242" s="139"/>
      <c r="CF242" s="139"/>
      <c r="CG242" s="139"/>
      <c r="CH242" s="139"/>
      <c r="CI242" s="139"/>
      <c r="CJ242" s="139"/>
      <c r="CK242" s="139"/>
      <c r="CL242" s="139"/>
      <c r="CM242" s="139"/>
      <c r="CN242" s="139"/>
      <c r="CO242" s="139"/>
      <c r="CP242" s="139"/>
      <c r="CQ242" s="139"/>
      <c r="CR242" s="139"/>
      <c r="CS242" s="139"/>
      <c r="CT242" s="139"/>
      <c r="CU242" s="139"/>
      <c r="CV242" s="139"/>
      <c r="CW242" s="139"/>
      <c r="CX242" s="139"/>
      <c r="CY242" s="139"/>
      <c r="CZ242" s="139"/>
      <c r="DA242" s="139"/>
      <c r="DB242" s="139"/>
      <c r="DC242" s="139"/>
      <c r="DD242" s="139"/>
      <c r="DE242" s="139"/>
      <c r="DF242" s="139"/>
      <c r="DG242" s="139"/>
      <c r="DH242" s="139"/>
      <c r="DI242" s="139"/>
      <c r="DJ242" s="139"/>
      <c r="DK242" s="139"/>
      <c r="DL242" s="139"/>
      <c r="DM242" s="139"/>
      <c r="DN242" s="139"/>
      <c r="DO242" s="139"/>
      <c r="DP242" s="139"/>
      <c r="DQ242" s="139"/>
      <c r="DR242" s="139"/>
      <c r="DS242" s="139"/>
      <c r="DT242" s="139"/>
      <c r="DU242" s="139"/>
      <c r="DV242" s="139"/>
      <c r="DW242" s="139"/>
      <c r="DX242" s="139"/>
      <c r="DY242" s="139"/>
      <c r="DZ242" s="139"/>
      <c r="EA242" s="139"/>
      <c r="EB242" s="139"/>
      <c r="EC242" s="139"/>
      <c r="ED242" s="139"/>
      <c r="EE242" s="139"/>
      <c r="EF242" s="139"/>
      <c r="EG242" s="139"/>
      <c r="EH242" s="139"/>
      <c r="EI242" s="139"/>
      <c r="EJ242" s="139"/>
      <c r="EK242" s="139"/>
      <c r="EL242" s="139"/>
      <c r="EM242" s="139"/>
      <c r="EN242" s="139"/>
      <c r="EO242" s="139"/>
      <c r="EP242" s="139"/>
      <c r="EQ242" s="139"/>
      <c r="ER242" s="139"/>
      <c r="ES242" s="139"/>
      <c r="ET242" s="139"/>
      <c r="EU242" s="139"/>
      <c r="EV242" s="139"/>
      <c r="EW242" s="139"/>
      <c r="EX242" s="139"/>
      <c r="EY242" s="139"/>
      <c r="EZ242" s="139"/>
      <c r="FA242" s="139"/>
      <c r="FB242" s="139"/>
      <c r="FC242" s="139"/>
      <c r="FD242" s="139"/>
      <c r="FE242" s="139"/>
      <c r="FF242" s="139"/>
      <c r="FG242" s="139"/>
      <c r="FH242" s="139"/>
      <c r="FI242" s="139"/>
      <c r="FJ242" s="139"/>
      <c r="FK242" s="139"/>
      <c r="FL242" s="139"/>
      <c r="FM242" s="139"/>
      <c r="FN242" s="139"/>
      <c r="FO242" s="139"/>
      <c r="FP242" s="139"/>
      <c r="FQ242" s="139"/>
      <c r="FR242" s="139"/>
      <c r="FS242" s="139"/>
      <c r="FT242" s="139"/>
      <c r="FU242" s="139"/>
      <c r="FV242" s="139"/>
      <c r="FW242" s="139"/>
      <c r="FX242" s="139"/>
      <c r="FY242" s="139"/>
      <c r="FZ242" s="139"/>
      <c r="GA242" s="139"/>
      <c r="GB242" s="139"/>
      <c r="GC242" s="139"/>
      <c r="GD242" s="139"/>
      <c r="GE242" s="139"/>
      <c r="GF242" s="139"/>
      <c r="GG242" s="139"/>
      <c r="GH242" s="139"/>
      <c r="GI242" s="139"/>
      <c r="GJ242" s="139"/>
      <c r="GK242" s="139"/>
      <c r="GL242" s="139"/>
      <c r="GM242" s="139"/>
      <c r="GN242" s="139"/>
      <c r="GO242" s="139"/>
      <c r="GP242" s="139"/>
      <c r="GQ242" s="139"/>
      <c r="GR242" s="139"/>
      <c r="GS242" s="139"/>
      <c r="GT242" s="139"/>
      <c r="GU242" s="139"/>
      <c r="GV242" s="139"/>
      <c r="GW242" s="139"/>
      <c r="GX242" s="139"/>
      <c r="GY242" s="139"/>
      <c r="GZ242" s="139"/>
      <c r="HA242" s="139"/>
      <c r="HB242" s="139"/>
      <c r="HC242" s="139"/>
      <c r="HD242" s="139"/>
      <c r="HE242" s="139"/>
      <c r="HF242" s="139"/>
      <c r="HG242" s="139"/>
      <c r="HH242" s="139"/>
      <c r="HI242" s="139"/>
      <c r="HJ242" s="139"/>
      <c r="HK242" s="139"/>
      <c r="HL242" s="139"/>
      <c r="HM242" s="139"/>
      <c r="HN242" s="139"/>
      <c r="HO242" s="139"/>
      <c r="HP242" s="139"/>
      <c r="HQ242" s="139"/>
      <c r="HR242" s="139"/>
      <c r="HS242" s="139"/>
      <c r="HT242" s="139"/>
      <c r="HU242" s="139"/>
      <c r="HV242" s="139"/>
      <c r="HW242" s="139"/>
      <c r="HX242" s="139"/>
      <c r="HY242" s="139"/>
      <c r="HZ242" s="139"/>
      <c r="IA242" s="139"/>
      <c r="IB242" s="139"/>
      <c r="IC242" s="139"/>
      <c r="ID242" s="139"/>
      <c r="IE242" s="139"/>
      <c r="IF242" s="139"/>
      <c r="IG242" s="139"/>
      <c r="IH242" s="139"/>
      <c r="II242" s="139"/>
      <c r="IJ242" s="139"/>
      <c r="IK242" s="139"/>
      <c r="IL242" s="139"/>
      <c r="IM242" s="139"/>
      <c r="IN242" s="139"/>
      <c r="IO242" s="139"/>
      <c r="IP242" s="139"/>
      <c r="IQ242" s="139"/>
      <c r="IR242" s="139"/>
      <c r="IS242" s="139"/>
      <c r="IT242" s="139"/>
      <c r="IU242" s="139"/>
      <c r="IV242" s="139"/>
      <c r="IW242" s="139"/>
    </row>
    <row r="243" spans="2:257" x14ac:dyDescent="0.3">
      <c r="B243" s="5" t="s">
        <v>119</v>
      </c>
      <c r="C243" s="916" t="s">
        <v>222</v>
      </c>
      <c r="D243" s="968">
        <v>3665.4</v>
      </c>
      <c r="E243" s="968">
        <v>2217.6999999999998</v>
      </c>
      <c r="F243" s="968">
        <v>214907.1</v>
      </c>
      <c r="G243" s="968">
        <v>13774</v>
      </c>
      <c r="H243" s="968">
        <v>84265.600000000006</v>
      </c>
      <c r="I243" s="968">
        <v>37428.5</v>
      </c>
      <c r="J243" s="10">
        <v>41493.599999999999</v>
      </c>
      <c r="K243" s="993">
        <v>34018.300000000003</v>
      </c>
      <c r="L243" s="270">
        <f t="shared" si="28"/>
        <v>431770.2</v>
      </c>
      <c r="M243" s="995">
        <f>(P283*EF_CH4_DieselAvBio_Trans_kg_l+'II. Transport '!Q283*EF_CH4_PetrolAvBio_Trans_kg_l)*0.001</f>
        <v>512.50189603599995</v>
      </c>
      <c r="N243" s="996">
        <f>(P283*EF_N2O_DieselAvBio_Trans_kg_l+'II. Transport '!Q283*EF_N2O_PetrolAvBio_Trans_kg_l)*0.001</f>
        <v>3908.5598499490002</v>
      </c>
      <c r="O243" s="268">
        <f t="shared" si="25"/>
        <v>436191.26174598496</v>
      </c>
      <c r="P243" s="283">
        <v>13.424613433285202</v>
      </c>
      <c r="Q243" s="16">
        <v>323.67367388275426</v>
      </c>
      <c r="R243" s="16">
        <v>3092.2660442635261</v>
      </c>
      <c r="S243" s="16">
        <v>1214.8494656342104</v>
      </c>
      <c r="T243" s="968">
        <v>435.4413857226636</v>
      </c>
      <c r="U243" s="993">
        <v>1256.1379569493724</v>
      </c>
      <c r="V243" s="968">
        <v>1161.6193123696726</v>
      </c>
      <c r="W243" s="16">
        <v>22.946722961545635</v>
      </c>
      <c r="X243" s="283">
        <f t="shared" si="26"/>
        <v>7520.3591752170287</v>
      </c>
      <c r="Y243" s="968">
        <f t="shared" si="23"/>
        <v>38.140826950849721</v>
      </c>
      <c r="Z243" s="968">
        <f t="shared" si="24"/>
        <v>51.762550861867467</v>
      </c>
      <c r="AA243" s="268">
        <f t="shared" si="27"/>
        <v>7610.2625530297464</v>
      </c>
      <c r="AB243" s="139"/>
      <c r="AC243" s="139"/>
      <c r="AD243" s="139"/>
      <c r="AE243" s="139"/>
      <c r="AF243" s="139"/>
      <c r="AG243" s="139"/>
      <c r="AH243" s="139"/>
      <c r="AI243" s="139"/>
      <c r="AJ243" s="139"/>
      <c r="AK243" s="139"/>
      <c r="AL243" s="139"/>
      <c r="AM243" s="139"/>
      <c r="AN243" s="139"/>
      <c r="AO243" s="139"/>
      <c r="AP243" s="139"/>
      <c r="AQ243" s="139"/>
      <c r="AR243" s="139"/>
      <c r="AS243" s="139"/>
      <c r="AT243" s="139"/>
      <c r="AU243" s="139"/>
      <c r="AV243" s="139"/>
      <c r="AW243" s="139"/>
      <c r="AX243" s="139"/>
      <c r="AY243" s="139"/>
      <c r="AZ243" s="139"/>
      <c r="BA243" s="139"/>
      <c r="BB243" s="139"/>
      <c r="BC243" s="139"/>
      <c r="BD243" s="139"/>
      <c r="BE243" s="139"/>
      <c r="BF243" s="139"/>
      <c r="BG243" s="139"/>
      <c r="BH243" s="139"/>
      <c r="BI243" s="139"/>
      <c r="BJ243" s="139"/>
      <c r="BK243" s="139"/>
      <c r="BL243" s="139"/>
      <c r="BM243" s="139"/>
      <c r="BN243" s="139"/>
      <c r="BO243" s="139"/>
      <c r="BP243" s="139"/>
      <c r="BQ243" s="139"/>
      <c r="BR243" s="139"/>
      <c r="BS243" s="139"/>
      <c r="BT243" s="139"/>
      <c r="BU243" s="139"/>
      <c r="BV243" s="139"/>
      <c r="BW243" s="139"/>
      <c r="BX243" s="139"/>
      <c r="BY243" s="139"/>
      <c r="BZ243" s="139"/>
      <c r="CA243" s="139"/>
      <c r="CB243" s="139"/>
      <c r="CC243" s="139"/>
      <c r="CD243" s="139"/>
      <c r="CE243" s="139"/>
      <c r="CF243" s="139"/>
      <c r="CG243" s="139"/>
      <c r="CH243" s="139"/>
      <c r="CI243" s="139"/>
      <c r="CJ243" s="139"/>
      <c r="CK243" s="139"/>
      <c r="CL243" s="139"/>
      <c r="CM243" s="139"/>
      <c r="CN243" s="139"/>
      <c r="CO243" s="139"/>
      <c r="CP243" s="139"/>
      <c r="CQ243" s="139"/>
      <c r="CR243" s="139"/>
      <c r="CS243" s="139"/>
      <c r="CT243" s="139"/>
      <c r="CU243" s="139"/>
      <c r="CV243" s="139"/>
      <c r="CW243" s="139"/>
      <c r="CX243" s="139"/>
      <c r="CY243" s="139"/>
      <c r="CZ243" s="139"/>
      <c r="DA243" s="139"/>
      <c r="DB243" s="139"/>
      <c r="DC243" s="139"/>
      <c r="DD243" s="139"/>
      <c r="DE243" s="139"/>
      <c r="DF243" s="139"/>
      <c r="DG243" s="139"/>
      <c r="DH243" s="139"/>
      <c r="DI243" s="139"/>
      <c r="DJ243" s="139"/>
      <c r="DK243" s="139"/>
      <c r="DL243" s="139"/>
      <c r="DM243" s="139"/>
      <c r="DN243" s="139"/>
      <c r="DO243" s="139"/>
      <c r="DP243" s="139"/>
      <c r="DQ243" s="139"/>
      <c r="DR243" s="139"/>
      <c r="DS243" s="139"/>
      <c r="DT243" s="139"/>
      <c r="DU243" s="139"/>
      <c r="DV243" s="139"/>
      <c r="DW243" s="139"/>
      <c r="DX243" s="139"/>
      <c r="DY243" s="139"/>
      <c r="DZ243" s="139"/>
      <c r="EA243" s="139"/>
      <c r="EB243" s="139"/>
      <c r="EC243" s="139"/>
      <c r="ED243" s="139"/>
      <c r="EE243" s="139"/>
      <c r="EF243" s="139"/>
      <c r="EG243" s="139"/>
      <c r="EH243" s="139"/>
      <c r="EI243" s="139"/>
      <c r="EJ243" s="139"/>
      <c r="EK243" s="139"/>
      <c r="EL243" s="139"/>
      <c r="EM243" s="139"/>
      <c r="EN243" s="139"/>
      <c r="EO243" s="139"/>
      <c r="EP243" s="139"/>
      <c r="EQ243" s="139"/>
      <c r="ER243" s="139"/>
      <c r="ES243" s="139"/>
      <c r="ET243" s="139"/>
      <c r="EU243" s="139"/>
      <c r="EV243" s="139"/>
      <c r="EW243" s="139"/>
      <c r="EX243" s="139"/>
      <c r="EY243" s="139"/>
      <c r="EZ243" s="139"/>
      <c r="FA243" s="139"/>
      <c r="FB243" s="139"/>
      <c r="FC243" s="139"/>
      <c r="FD243" s="139"/>
      <c r="FE243" s="139"/>
      <c r="FF243" s="139"/>
      <c r="FG243" s="139"/>
      <c r="FH243" s="139"/>
      <c r="FI243" s="139"/>
      <c r="FJ243" s="139"/>
      <c r="FK243" s="139"/>
      <c r="FL243" s="139"/>
      <c r="FM243" s="139"/>
      <c r="FN243" s="139"/>
      <c r="FO243" s="139"/>
      <c r="FP243" s="139"/>
      <c r="FQ243" s="139"/>
      <c r="FR243" s="139"/>
      <c r="FS243" s="139"/>
      <c r="FT243" s="139"/>
      <c r="FU243" s="139"/>
      <c r="FV243" s="139"/>
      <c r="FW243" s="139"/>
      <c r="FX243" s="139"/>
      <c r="FY243" s="139"/>
      <c r="FZ243" s="139"/>
      <c r="GA243" s="139"/>
      <c r="GB243" s="139"/>
      <c r="GC243" s="139"/>
      <c r="GD243" s="139"/>
      <c r="GE243" s="139"/>
      <c r="GF243" s="139"/>
      <c r="GG243" s="139"/>
      <c r="GH243" s="139"/>
      <c r="GI243" s="139"/>
      <c r="GJ243" s="139"/>
      <c r="GK243" s="139"/>
      <c r="GL243" s="139"/>
      <c r="GM243" s="139"/>
      <c r="GN243" s="139"/>
      <c r="GO243" s="139"/>
      <c r="GP243" s="139"/>
      <c r="GQ243" s="139"/>
      <c r="GR243" s="139"/>
      <c r="GS243" s="139"/>
      <c r="GT243" s="139"/>
      <c r="GU243" s="139"/>
      <c r="GV243" s="139"/>
      <c r="GW243" s="139"/>
      <c r="GX243" s="139"/>
      <c r="GY243" s="139"/>
      <c r="GZ243" s="139"/>
      <c r="HA243" s="139"/>
      <c r="HB243" s="139"/>
      <c r="HC243" s="139"/>
      <c r="HD243" s="139"/>
      <c r="HE243" s="139"/>
      <c r="HF243" s="139"/>
      <c r="HG243" s="139"/>
      <c r="HH243" s="139"/>
      <c r="HI243" s="139"/>
      <c r="HJ243" s="139"/>
      <c r="HK243" s="139"/>
      <c r="HL243" s="139"/>
      <c r="HM243" s="139"/>
      <c r="HN243" s="139"/>
      <c r="HO243" s="139"/>
      <c r="HP243" s="139"/>
      <c r="HQ243" s="139"/>
      <c r="HR243" s="139"/>
      <c r="HS243" s="139"/>
      <c r="HT243" s="139"/>
      <c r="HU243" s="139"/>
      <c r="HV243" s="139"/>
      <c r="HW243" s="139"/>
      <c r="HX243" s="139"/>
      <c r="HY243" s="139"/>
      <c r="HZ243" s="139"/>
      <c r="IA243" s="139"/>
      <c r="IB243" s="139"/>
      <c r="IC243" s="139"/>
      <c r="ID243" s="139"/>
      <c r="IE243" s="139"/>
      <c r="IF243" s="139"/>
      <c r="IG243" s="139"/>
      <c r="IH243" s="139"/>
      <c r="II243" s="139"/>
      <c r="IJ243" s="139"/>
      <c r="IK243" s="139"/>
      <c r="IL243" s="139"/>
      <c r="IM243" s="139"/>
      <c r="IN243" s="139"/>
      <c r="IO243" s="139"/>
      <c r="IP243" s="139"/>
      <c r="IQ243" s="139"/>
      <c r="IR243" s="139"/>
      <c r="IS243" s="139"/>
      <c r="IT243" s="139"/>
      <c r="IU243" s="139"/>
      <c r="IV243" s="139"/>
      <c r="IW243" s="139"/>
    </row>
    <row r="244" spans="2:257" x14ac:dyDescent="0.3">
      <c r="B244" s="5" t="s">
        <v>120</v>
      </c>
      <c r="C244" s="916" t="s">
        <v>223</v>
      </c>
      <c r="D244" s="968">
        <v>3343.5</v>
      </c>
      <c r="E244" s="968">
        <v>3454</v>
      </c>
      <c r="F244" s="968">
        <v>158512.20000000001</v>
      </c>
      <c r="G244" s="968">
        <v>10927.2</v>
      </c>
      <c r="H244" s="968">
        <v>60177.2</v>
      </c>
      <c r="I244" s="968">
        <v>32581.9</v>
      </c>
      <c r="J244" s="10">
        <v>26189.9</v>
      </c>
      <c r="K244" s="993">
        <v>14416.5</v>
      </c>
      <c r="L244" s="270">
        <f t="shared" si="28"/>
        <v>309602.40000000008</v>
      </c>
      <c r="M244" s="995">
        <f>(P284*EF_CH4_DieselAvBio_Trans_kg_l+'II. Transport '!Q284*EF_CH4_PetrolAvBio_Trans_kg_l)*0.001</f>
        <v>388.81748829999998</v>
      </c>
      <c r="N244" s="996">
        <f>(P284*EF_N2O_DieselAvBio_Trans_kg_l+'II. Transport '!Q284*EF_N2O_PetrolAvBio_Trans_kg_l)*0.001</f>
        <v>2743.0314793120001</v>
      </c>
      <c r="O244" s="268">
        <f t="shared" si="25"/>
        <v>312734.24896761205</v>
      </c>
      <c r="P244" s="283">
        <v>12.566062574179755</v>
      </c>
      <c r="Q244" s="16">
        <v>521.4525717894096</v>
      </c>
      <c r="R244" s="16">
        <v>2183.8411852518602</v>
      </c>
      <c r="S244" s="16">
        <v>1155.9216566683363</v>
      </c>
      <c r="T244" s="968">
        <v>338.97148919045139</v>
      </c>
      <c r="U244" s="993">
        <v>987.8798385179698</v>
      </c>
      <c r="V244" s="968">
        <v>736.5585870343748</v>
      </c>
      <c r="W244" s="16">
        <v>7.8050078100495357</v>
      </c>
      <c r="X244" s="283">
        <f t="shared" si="26"/>
        <v>5944.9963988366317</v>
      </c>
      <c r="Y244" s="968">
        <f t="shared" si="23"/>
        <v>30.151096987320287</v>
      </c>
      <c r="Z244" s="968">
        <f t="shared" si="24"/>
        <v>40.919345911363251</v>
      </c>
      <c r="AA244" s="268">
        <f t="shared" si="27"/>
        <v>6016.0668417353154</v>
      </c>
      <c r="AB244" s="139"/>
      <c r="AC244" s="139"/>
      <c r="AD244" s="139"/>
      <c r="AE244" s="139"/>
      <c r="AF244" s="139"/>
      <c r="AG244" s="139"/>
      <c r="AH244" s="139"/>
      <c r="AI244" s="139"/>
      <c r="AJ244" s="139"/>
      <c r="AK244" s="139"/>
      <c r="AL244" s="139"/>
      <c r="AM244" s="139"/>
      <c r="AN244" s="139"/>
      <c r="AO244" s="139"/>
      <c r="AP244" s="139"/>
      <c r="AQ244" s="139"/>
      <c r="AR244" s="139"/>
      <c r="AS244" s="139"/>
      <c r="AT244" s="139"/>
      <c r="AU244" s="139"/>
      <c r="AV244" s="139"/>
      <c r="AW244" s="139"/>
      <c r="AX244" s="139"/>
      <c r="AY244" s="139"/>
      <c r="AZ244" s="139"/>
      <c r="BA244" s="139"/>
      <c r="BB244" s="139"/>
      <c r="BC244" s="139"/>
      <c r="BD244" s="139"/>
      <c r="BE244" s="139"/>
      <c r="BF244" s="139"/>
      <c r="BG244" s="139"/>
      <c r="BH244" s="139"/>
      <c r="BI244" s="139"/>
      <c r="BJ244" s="139"/>
      <c r="BK244" s="139"/>
      <c r="BL244" s="139"/>
      <c r="BM244" s="139"/>
      <c r="BN244" s="139"/>
      <c r="BO244" s="139"/>
      <c r="BP244" s="139"/>
      <c r="BQ244" s="139"/>
      <c r="BR244" s="139"/>
      <c r="BS244" s="139"/>
      <c r="BT244" s="139"/>
      <c r="BU244" s="139"/>
      <c r="BV244" s="139"/>
      <c r="BW244" s="139"/>
      <c r="BX244" s="139"/>
      <c r="BY244" s="139"/>
      <c r="BZ244" s="139"/>
      <c r="CA244" s="139"/>
      <c r="CB244" s="139"/>
      <c r="CC244" s="139"/>
      <c r="CD244" s="139"/>
      <c r="CE244" s="139"/>
      <c r="CF244" s="139"/>
      <c r="CG244" s="139"/>
      <c r="CH244" s="139"/>
      <c r="CI244" s="139"/>
      <c r="CJ244" s="139"/>
      <c r="CK244" s="139"/>
      <c r="CL244" s="139"/>
      <c r="CM244" s="139"/>
      <c r="CN244" s="139"/>
      <c r="CO244" s="139"/>
      <c r="CP244" s="139"/>
      <c r="CQ244" s="139"/>
      <c r="CR244" s="139"/>
      <c r="CS244" s="139"/>
      <c r="CT244" s="139"/>
      <c r="CU244" s="139"/>
      <c r="CV244" s="139"/>
      <c r="CW244" s="139"/>
      <c r="CX244" s="139"/>
      <c r="CY244" s="139"/>
      <c r="CZ244" s="139"/>
      <c r="DA244" s="139"/>
      <c r="DB244" s="139"/>
      <c r="DC244" s="139"/>
      <c r="DD244" s="139"/>
      <c r="DE244" s="139"/>
      <c r="DF244" s="139"/>
      <c r="DG244" s="139"/>
      <c r="DH244" s="139"/>
      <c r="DI244" s="139"/>
      <c r="DJ244" s="139"/>
      <c r="DK244" s="139"/>
      <c r="DL244" s="139"/>
      <c r="DM244" s="139"/>
      <c r="DN244" s="139"/>
      <c r="DO244" s="139"/>
      <c r="DP244" s="139"/>
      <c r="DQ244" s="139"/>
      <c r="DR244" s="139"/>
      <c r="DS244" s="139"/>
      <c r="DT244" s="139"/>
      <c r="DU244" s="139"/>
      <c r="DV244" s="139"/>
      <c r="DW244" s="139"/>
      <c r="DX244" s="139"/>
      <c r="DY244" s="139"/>
      <c r="DZ244" s="139"/>
      <c r="EA244" s="139"/>
      <c r="EB244" s="139"/>
      <c r="EC244" s="139"/>
      <c r="ED244" s="139"/>
      <c r="EE244" s="139"/>
      <c r="EF244" s="139"/>
      <c r="EG244" s="139"/>
      <c r="EH244" s="139"/>
      <c r="EI244" s="139"/>
      <c r="EJ244" s="139"/>
      <c r="EK244" s="139"/>
      <c r="EL244" s="139"/>
      <c r="EM244" s="139"/>
      <c r="EN244" s="139"/>
      <c r="EO244" s="139"/>
      <c r="EP244" s="139"/>
      <c r="EQ244" s="139"/>
      <c r="ER244" s="139"/>
      <c r="ES244" s="139"/>
      <c r="ET244" s="139"/>
      <c r="EU244" s="139"/>
      <c r="EV244" s="139"/>
      <c r="EW244" s="139"/>
      <c r="EX244" s="139"/>
      <c r="EY244" s="139"/>
      <c r="EZ244" s="139"/>
      <c r="FA244" s="139"/>
      <c r="FB244" s="139"/>
      <c r="FC244" s="139"/>
      <c r="FD244" s="139"/>
      <c r="FE244" s="139"/>
      <c r="FF244" s="139"/>
      <c r="FG244" s="139"/>
      <c r="FH244" s="139"/>
      <c r="FI244" s="139"/>
      <c r="FJ244" s="139"/>
      <c r="FK244" s="139"/>
      <c r="FL244" s="139"/>
      <c r="FM244" s="139"/>
      <c r="FN244" s="139"/>
      <c r="FO244" s="139"/>
      <c r="FP244" s="139"/>
      <c r="FQ244" s="139"/>
      <c r="FR244" s="139"/>
      <c r="FS244" s="139"/>
      <c r="FT244" s="139"/>
      <c r="FU244" s="139"/>
      <c r="FV244" s="139"/>
      <c r="FW244" s="139"/>
      <c r="FX244" s="139"/>
      <c r="FY244" s="139"/>
      <c r="FZ244" s="139"/>
      <c r="GA244" s="139"/>
      <c r="GB244" s="139"/>
      <c r="GC244" s="139"/>
      <c r="GD244" s="139"/>
      <c r="GE244" s="139"/>
      <c r="GF244" s="139"/>
      <c r="GG244" s="139"/>
      <c r="GH244" s="139"/>
      <c r="GI244" s="139"/>
      <c r="GJ244" s="139"/>
      <c r="GK244" s="139"/>
      <c r="GL244" s="139"/>
      <c r="GM244" s="139"/>
      <c r="GN244" s="139"/>
      <c r="GO244" s="139"/>
      <c r="GP244" s="139"/>
      <c r="GQ244" s="139"/>
      <c r="GR244" s="139"/>
      <c r="GS244" s="139"/>
      <c r="GT244" s="139"/>
      <c r="GU244" s="139"/>
      <c r="GV244" s="139"/>
      <c r="GW244" s="139"/>
      <c r="GX244" s="139"/>
      <c r="GY244" s="139"/>
      <c r="GZ244" s="139"/>
      <c r="HA244" s="139"/>
      <c r="HB244" s="139"/>
      <c r="HC244" s="139"/>
      <c r="HD244" s="139"/>
      <c r="HE244" s="139"/>
      <c r="HF244" s="139"/>
      <c r="HG244" s="139"/>
      <c r="HH244" s="139"/>
      <c r="HI244" s="139"/>
      <c r="HJ244" s="139"/>
      <c r="HK244" s="139"/>
      <c r="HL244" s="139"/>
      <c r="HM244" s="139"/>
      <c r="HN244" s="139"/>
      <c r="HO244" s="139"/>
      <c r="HP244" s="139"/>
      <c r="HQ244" s="139"/>
      <c r="HR244" s="139"/>
      <c r="HS244" s="139"/>
      <c r="HT244" s="139"/>
      <c r="HU244" s="139"/>
      <c r="HV244" s="139"/>
      <c r="HW244" s="139"/>
      <c r="HX244" s="139"/>
      <c r="HY244" s="139"/>
      <c r="HZ244" s="139"/>
      <c r="IA244" s="139"/>
      <c r="IB244" s="139"/>
      <c r="IC244" s="139"/>
      <c r="ID244" s="139"/>
      <c r="IE244" s="139"/>
      <c r="IF244" s="139"/>
      <c r="IG244" s="139"/>
      <c r="IH244" s="139"/>
      <c r="II244" s="139"/>
      <c r="IJ244" s="139"/>
      <c r="IK244" s="139"/>
      <c r="IL244" s="139"/>
      <c r="IM244" s="139"/>
      <c r="IN244" s="139"/>
      <c r="IO244" s="139"/>
      <c r="IP244" s="139"/>
      <c r="IQ244" s="139"/>
      <c r="IR244" s="139"/>
      <c r="IS244" s="139"/>
      <c r="IT244" s="139"/>
      <c r="IU244" s="139"/>
      <c r="IV244" s="139"/>
      <c r="IW244" s="139"/>
    </row>
    <row r="245" spans="2:257" x14ac:dyDescent="0.3">
      <c r="B245" s="5" t="s">
        <v>121</v>
      </c>
      <c r="C245" s="916" t="s">
        <v>224</v>
      </c>
      <c r="D245" s="968">
        <v>2742.9</v>
      </c>
      <c r="E245" s="968">
        <v>2563.4</v>
      </c>
      <c r="F245" s="968">
        <v>31092.1</v>
      </c>
      <c r="G245" s="968">
        <v>5444.3</v>
      </c>
      <c r="H245" s="968">
        <v>20973.3</v>
      </c>
      <c r="I245" s="968">
        <v>24018.7</v>
      </c>
      <c r="J245" s="10">
        <v>8172.9</v>
      </c>
      <c r="K245" s="993">
        <v>1807.9</v>
      </c>
      <c r="L245" s="270">
        <f t="shared" si="28"/>
        <v>96815.499999999985</v>
      </c>
      <c r="M245" s="995">
        <f>(P285*EF_CH4_DieselAvBio_Trans_kg_l+'II. Transport '!Q285*EF_CH4_PetrolAvBio_Trans_kg_l)*0.001</f>
        <v>93.179963791999995</v>
      </c>
      <c r="N245" s="996">
        <f>(P285*EF_N2O_DieselAvBio_Trans_kg_l+'II. Transport '!Q285*EF_N2O_PetrolAvBio_Trans_kg_l)*0.001</f>
        <v>943.33028046799996</v>
      </c>
      <c r="O245" s="268">
        <f t="shared" si="25"/>
        <v>97852.010244259989</v>
      </c>
      <c r="P245" s="283">
        <v>9.3660093720594428</v>
      </c>
      <c r="Q245" s="16">
        <v>316.10281630700621</v>
      </c>
      <c r="R245" s="16">
        <v>483.36413367636771</v>
      </c>
      <c r="S245" s="16">
        <v>592.55619293896086</v>
      </c>
      <c r="T245" s="968">
        <v>163.35881346433681</v>
      </c>
      <c r="U245" s="993">
        <v>617.53221793111936</v>
      </c>
      <c r="V245" s="968">
        <v>167.26131736936156</v>
      </c>
      <c r="W245" s="16">
        <v>2.1073521087133749</v>
      </c>
      <c r="X245" s="283">
        <f t="shared" si="26"/>
        <v>2351.6488531679252</v>
      </c>
      <c r="Y245" s="968">
        <f t="shared" si="23"/>
        <v>11.926801615197263</v>
      </c>
      <c r="Z245" s="968">
        <f t="shared" si="24"/>
        <v>16.186373620624853</v>
      </c>
      <c r="AA245" s="268">
        <f t="shared" si="27"/>
        <v>2379.7620284037471</v>
      </c>
      <c r="AB245" s="139"/>
      <c r="AC245" s="139"/>
      <c r="AD245" s="139"/>
      <c r="AE245" s="139"/>
      <c r="AF245" s="139"/>
      <c r="AG245" s="139"/>
      <c r="AH245" s="139"/>
      <c r="AI245" s="139"/>
      <c r="AJ245" s="139"/>
      <c r="AK245" s="139"/>
      <c r="AL245" s="139"/>
      <c r="AM245" s="139"/>
      <c r="AN245" s="139"/>
      <c r="AO245" s="139"/>
      <c r="AP245" s="139"/>
      <c r="AQ245" s="139"/>
      <c r="AR245" s="139"/>
      <c r="AS245" s="139"/>
      <c r="AT245" s="139"/>
      <c r="AU245" s="139"/>
      <c r="AV245" s="139"/>
      <c r="AW245" s="139"/>
      <c r="AX245" s="139"/>
      <c r="AY245" s="139"/>
      <c r="AZ245" s="139"/>
      <c r="BA245" s="139"/>
      <c r="BB245" s="139"/>
      <c r="BC245" s="139"/>
      <c r="BD245" s="139"/>
      <c r="BE245" s="139"/>
      <c r="BF245" s="139"/>
      <c r="BG245" s="139"/>
      <c r="BH245" s="139"/>
      <c r="BI245" s="139"/>
      <c r="BJ245" s="139"/>
      <c r="BK245" s="139"/>
      <c r="BL245" s="139"/>
      <c r="BM245" s="139"/>
      <c r="BN245" s="139"/>
      <c r="BO245" s="139"/>
      <c r="BP245" s="139"/>
      <c r="BQ245" s="139"/>
      <c r="BR245" s="139"/>
      <c r="BS245" s="139"/>
      <c r="BT245" s="139"/>
      <c r="BU245" s="139"/>
      <c r="BV245" s="139"/>
      <c r="BW245" s="139"/>
      <c r="BX245" s="139"/>
      <c r="BY245" s="139"/>
      <c r="BZ245" s="139"/>
      <c r="CA245" s="139"/>
      <c r="CB245" s="139"/>
      <c r="CC245" s="139"/>
      <c r="CD245" s="139"/>
      <c r="CE245" s="139"/>
      <c r="CF245" s="139"/>
      <c r="CG245" s="139"/>
      <c r="CH245" s="139"/>
      <c r="CI245" s="139"/>
      <c r="CJ245" s="139"/>
      <c r="CK245" s="139"/>
      <c r="CL245" s="139"/>
      <c r="CM245" s="139"/>
      <c r="CN245" s="139"/>
      <c r="CO245" s="139"/>
      <c r="CP245" s="139"/>
      <c r="CQ245" s="139"/>
      <c r="CR245" s="139"/>
      <c r="CS245" s="139"/>
      <c r="CT245" s="139"/>
      <c r="CU245" s="139"/>
      <c r="CV245" s="139"/>
      <c r="CW245" s="139"/>
      <c r="CX245" s="139"/>
      <c r="CY245" s="139"/>
      <c r="CZ245" s="139"/>
      <c r="DA245" s="139"/>
      <c r="DB245" s="139"/>
      <c r="DC245" s="139"/>
      <c r="DD245" s="139"/>
      <c r="DE245" s="139"/>
      <c r="DF245" s="139"/>
      <c r="DG245" s="139"/>
      <c r="DH245" s="139"/>
      <c r="DI245" s="139"/>
      <c r="DJ245" s="139"/>
      <c r="DK245" s="139"/>
      <c r="DL245" s="139"/>
      <c r="DM245" s="139"/>
      <c r="DN245" s="139"/>
      <c r="DO245" s="139"/>
      <c r="DP245" s="139"/>
      <c r="DQ245" s="139"/>
      <c r="DR245" s="139"/>
      <c r="DS245" s="139"/>
      <c r="DT245" s="139"/>
      <c r="DU245" s="139"/>
      <c r="DV245" s="139"/>
      <c r="DW245" s="139"/>
      <c r="DX245" s="139"/>
      <c r="DY245" s="139"/>
      <c r="DZ245" s="139"/>
      <c r="EA245" s="139"/>
      <c r="EB245" s="139"/>
      <c r="EC245" s="139"/>
      <c r="ED245" s="139"/>
      <c r="EE245" s="139"/>
      <c r="EF245" s="139"/>
      <c r="EG245" s="139"/>
      <c r="EH245" s="139"/>
      <c r="EI245" s="139"/>
      <c r="EJ245" s="139"/>
      <c r="EK245" s="139"/>
      <c r="EL245" s="139"/>
      <c r="EM245" s="139"/>
      <c r="EN245" s="139"/>
      <c r="EO245" s="139"/>
      <c r="EP245" s="139"/>
      <c r="EQ245" s="139"/>
      <c r="ER245" s="139"/>
      <c r="ES245" s="139"/>
      <c r="ET245" s="139"/>
      <c r="EU245" s="139"/>
      <c r="EV245" s="139"/>
      <c r="EW245" s="139"/>
      <c r="EX245" s="139"/>
      <c r="EY245" s="139"/>
      <c r="EZ245" s="139"/>
      <c r="FA245" s="139"/>
      <c r="FB245" s="139"/>
      <c r="FC245" s="139"/>
      <c r="FD245" s="139"/>
      <c r="FE245" s="139"/>
      <c r="FF245" s="139"/>
      <c r="FG245" s="139"/>
      <c r="FH245" s="139"/>
      <c r="FI245" s="139"/>
      <c r="FJ245" s="139"/>
      <c r="FK245" s="139"/>
      <c r="FL245" s="139"/>
      <c r="FM245" s="139"/>
      <c r="FN245" s="139"/>
      <c r="FO245" s="139"/>
      <c r="FP245" s="139"/>
      <c r="FQ245" s="139"/>
      <c r="FR245" s="139"/>
      <c r="FS245" s="139"/>
      <c r="FT245" s="139"/>
      <c r="FU245" s="139"/>
      <c r="FV245" s="139"/>
      <c r="FW245" s="139"/>
      <c r="FX245" s="139"/>
      <c r="FY245" s="139"/>
      <c r="FZ245" s="139"/>
      <c r="GA245" s="139"/>
      <c r="GB245" s="139"/>
      <c r="GC245" s="139"/>
      <c r="GD245" s="139"/>
      <c r="GE245" s="139"/>
      <c r="GF245" s="139"/>
      <c r="GG245" s="139"/>
      <c r="GH245" s="139"/>
      <c r="GI245" s="139"/>
      <c r="GJ245" s="139"/>
      <c r="GK245" s="139"/>
      <c r="GL245" s="139"/>
      <c r="GM245" s="139"/>
      <c r="GN245" s="139"/>
      <c r="GO245" s="139"/>
      <c r="GP245" s="139"/>
      <c r="GQ245" s="139"/>
      <c r="GR245" s="139"/>
      <c r="GS245" s="139"/>
      <c r="GT245" s="139"/>
      <c r="GU245" s="139"/>
      <c r="GV245" s="139"/>
      <c r="GW245" s="139"/>
      <c r="GX245" s="139"/>
      <c r="GY245" s="139"/>
      <c r="GZ245" s="139"/>
      <c r="HA245" s="139"/>
      <c r="HB245" s="139"/>
      <c r="HC245" s="139"/>
      <c r="HD245" s="139"/>
      <c r="HE245" s="139"/>
      <c r="HF245" s="139"/>
      <c r="HG245" s="139"/>
      <c r="HH245" s="139"/>
      <c r="HI245" s="139"/>
      <c r="HJ245" s="139"/>
      <c r="HK245" s="139"/>
      <c r="HL245" s="139"/>
      <c r="HM245" s="139"/>
      <c r="HN245" s="139"/>
      <c r="HO245" s="139"/>
      <c r="HP245" s="139"/>
      <c r="HQ245" s="139"/>
      <c r="HR245" s="139"/>
      <c r="HS245" s="139"/>
      <c r="HT245" s="139"/>
      <c r="HU245" s="139"/>
      <c r="HV245" s="139"/>
      <c r="HW245" s="139"/>
      <c r="HX245" s="139"/>
      <c r="HY245" s="139"/>
      <c r="HZ245" s="139"/>
      <c r="IA245" s="139"/>
      <c r="IB245" s="139"/>
      <c r="IC245" s="139"/>
      <c r="ID245" s="139"/>
      <c r="IE245" s="139"/>
      <c r="IF245" s="139"/>
      <c r="IG245" s="139"/>
      <c r="IH245" s="139"/>
      <c r="II245" s="139"/>
      <c r="IJ245" s="139"/>
      <c r="IK245" s="139"/>
      <c r="IL245" s="139"/>
      <c r="IM245" s="139"/>
      <c r="IN245" s="139"/>
      <c r="IO245" s="139"/>
      <c r="IP245" s="139"/>
      <c r="IQ245" s="139"/>
      <c r="IR245" s="139"/>
      <c r="IS245" s="139"/>
      <c r="IT245" s="139"/>
      <c r="IU245" s="139"/>
      <c r="IV245" s="139"/>
      <c r="IW245" s="139"/>
    </row>
    <row r="246" spans="2:257" x14ac:dyDescent="0.3">
      <c r="B246" s="5" t="s">
        <v>122</v>
      </c>
      <c r="C246" s="916" t="s">
        <v>225</v>
      </c>
      <c r="D246" s="968">
        <v>2839.2</v>
      </c>
      <c r="E246" s="968">
        <v>4748.2</v>
      </c>
      <c r="F246" s="968">
        <v>48331.6</v>
      </c>
      <c r="G246" s="968">
        <v>6373.7</v>
      </c>
      <c r="H246" s="968">
        <v>24631.4</v>
      </c>
      <c r="I246" s="968">
        <v>25342.5</v>
      </c>
      <c r="J246" s="10">
        <v>10943.3</v>
      </c>
      <c r="K246" s="993">
        <v>2612</v>
      </c>
      <c r="L246" s="270">
        <f t="shared" si="28"/>
        <v>125821.90000000001</v>
      </c>
      <c r="M246" s="995">
        <f>(P286*EF_CH4_DieselAvBio_Trans_kg_l+'II. Transport '!Q286*EF_CH4_PetrolAvBio_Trans_kg_l)*0.001</f>
        <v>138.09325635499999</v>
      </c>
      <c r="N246" s="996">
        <f>(P286*EF_N2O_DieselAvBio_Trans_kg_l+'II. Transport '!Q286*EF_N2O_PetrolAvBio_Trans_kg_l)*0.001</f>
        <v>1176.6554366780001</v>
      </c>
      <c r="O246" s="268">
        <f t="shared" si="25"/>
        <v>127136.64869303301</v>
      </c>
      <c r="P246" s="283">
        <v>9.1318591377579583</v>
      </c>
      <c r="Q246" s="16">
        <v>573.7461241167415</v>
      </c>
      <c r="R246" s="16">
        <v>662.72321315130614</v>
      </c>
      <c r="S246" s="16">
        <v>631.81538222351003</v>
      </c>
      <c r="T246" s="968">
        <v>176.23707635091856</v>
      </c>
      <c r="U246" s="993">
        <v>596.14649653158358</v>
      </c>
      <c r="V246" s="968">
        <v>238.98933914371682</v>
      </c>
      <c r="W246" s="16">
        <v>2.4976024992158519</v>
      </c>
      <c r="X246" s="283">
        <f t="shared" si="26"/>
        <v>2891.28709315475</v>
      </c>
      <c r="Y246" s="968">
        <f t="shared" si="23"/>
        <v>14.66367205553825</v>
      </c>
      <c r="Z246" s="968">
        <f t="shared" si="24"/>
        <v>19.900697789659052</v>
      </c>
      <c r="AA246" s="268">
        <f t="shared" si="27"/>
        <v>2925.8514629999477</v>
      </c>
      <c r="AB246" s="139"/>
      <c r="AC246" s="139"/>
      <c r="AD246" s="139"/>
      <c r="AE246" s="139"/>
      <c r="AF246" s="139"/>
      <c r="AG246" s="139"/>
      <c r="AH246" s="139"/>
      <c r="AI246" s="139"/>
      <c r="AJ246" s="139"/>
      <c r="AK246" s="139"/>
      <c r="AL246" s="139"/>
      <c r="AM246" s="139"/>
      <c r="AN246" s="139"/>
      <c r="AO246" s="139"/>
      <c r="AP246" s="139"/>
      <c r="AQ246" s="139"/>
      <c r="AR246" s="139"/>
      <c r="AS246" s="139"/>
      <c r="AT246" s="139"/>
      <c r="AU246" s="139"/>
      <c r="AV246" s="139"/>
      <c r="AW246" s="139"/>
      <c r="AX246" s="139"/>
      <c r="AY246" s="139"/>
      <c r="AZ246" s="139"/>
      <c r="BA246" s="139"/>
      <c r="BB246" s="139"/>
      <c r="BC246" s="139"/>
      <c r="BD246" s="139"/>
      <c r="BE246" s="139"/>
      <c r="BF246" s="139"/>
      <c r="BG246" s="139"/>
      <c r="BH246" s="139"/>
      <c r="BI246" s="139"/>
      <c r="BJ246" s="139"/>
      <c r="BK246" s="139"/>
      <c r="BL246" s="139"/>
      <c r="BM246" s="139"/>
      <c r="BN246" s="139"/>
      <c r="BO246" s="139"/>
      <c r="BP246" s="139"/>
      <c r="BQ246" s="139"/>
      <c r="BR246" s="139"/>
      <c r="BS246" s="139"/>
      <c r="BT246" s="139"/>
      <c r="BU246" s="139"/>
      <c r="BV246" s="139"/>
      <c r="BW246" s="139"/>
      <c r="BX246" s="139"/>
      <c r="BY246" s="139"/>
      <c r="BZ246" s="139"/>
      <c r="CA246" s="139"/>
      <c r="CB246" s="139"/>
      <c r="CC246" s="139"/>
      <c r="CD246" s="139"/>
      <c r="CE246" s="139"/>
      <c r="CF246" s="139"/>
      <c r="CG246" s="139"/>
      <c r="CH246" s="139"/>
      <c r="CI246" s="139"/>
      <c r="CJ246" s="139"/>
      <c r="CK246" s="139"/>
      <c r="CL246" s="139"/>
      <c r="CM246" s="139"/>
      <c r="CN246" s="139"/>
      <c r="CO246" s="139"/>
      <c r="CP246" s="139"/>
      <c r="CQ246" s="139"/>
      <c r="CR246" s="139"/>
      <c r="CS246" s="139"/>
      <c r="CT246" s="139"/>
      <c r="CU246" s="139"/>
      <c r="CV246" s="139"/>
      <c r="CW246" s="139"/>
      <c r="CX246" s="139"/>
      <c r="CY246" s="139"/>
      <c r="CZ246" s="139"/>
      <c r="DA246" s="139"/>
      <c r="DB246" s="139"/>
      <c r="DC246" s="139"/>
      <c r="DD246" s="139"/>
      <c r="DE246" s="139"/>
      <c r="DF246" s="139"/>
      <c r="DG246" s="139"/>
      <c r="DH246" s="139"/>
      <c r="DI246" s="139"/>
      <c r="DJ246" s="139"/>
      <c r="DK246" s="139"/>
      <c r="DL246" s="139"/>
      <c r="DM246" s="139"/>
      <c r="DN246" s="139"/>
      <c r="DO246" s="139"/>
      <c r="DP246" s="139"/>
      <c r="DQ246" s="139"/>
      <c r="DR246" s="139"/>
      <c r="DS246" s="139"/>
      <c r="DT246" s="139"/>
      <c r="DU246" s="139"/>
      <c r="DV246" s="139"/>
      <c r="DW246" s="139"/>
      <c r="DX246" s="139"/>
      <c r="DY246" s="139"/>
      <c r="DZ246" s="139"/>
      <c r="EA246" s="139"/>
      <c r="EB246" s="139"/>
      <c r="EC246" s="139"/>
      <c r="ED246" s="139"/>
      <c r="EE246" s="139"/>
      <c r="EF246" s="139"/>
      <c r="EG246" s="139"/>
      <c r="EH246" s="139"/>
      <c r="EI246" s="139"/>
      <c r="EJ246" s="139"/>
      <c r="EK246" s="139"/>
      <c r="EL246" s="139"/>
      <c r="EM246" s="139"/>
      <c r="EN246" s="139"/>
      <c r="EO246" s="139"/>
      <c r="EP246" s="139"/>
      <c r="EQ246" s="139"/>
      <c r="ER246" s="139"/>
      <c r="ES246" s="139"/>
      <c r="ET246" s="139"/>
      <c r="EU246" s="139"/>
      <c r="EV246" s="139"/>
      <c r="EW246" s="139"/>
      <c r="EX246" s="139"/>
      <c r="EY246" s="139"/>
      <c r="EZ246" s="139"/>
      <c r="FA246" s="139"/>
      <c r="FB246" s="139"/>
      <c r="FC246" s="139"/>
      <c r="FD246" s="139"/>
      <c r="FE246" s="139"/>
      <c r="FF246" s="139"/>
      <c r="FG246" s="139"/>
      <c r="FH246" s="139"/>
      <c r="FI246" s="139"/>
      <c r="FJ246" s="139"/>
      <c r="FK246" s="139"/>
      <c r="FL246" s="139"/>
      <c r="FM246" s="139"/>
      <c r="FN246" s="139"/>
      <c r="FO246" s="139"/>
      <c r="FP246" s="139"/>
      <c r="FQ246" s="139"/>
      <c r="FR246" s="139"/>
      <c r="FS246" s="139"/>
      <c r="FT246" s="139"/>
      <c r="FU246" s="139"/>
      <c r="FV246" s="139"/>
      <c r="FW246" s="139"/>
      <c r="FX246" s="139"/>
      <c r="FY246" s="139"/>
      <c r="FZ246" s="139"/>
      <c r="GA246" s="139"/>
      <c r="GB246" s="139"/>
      <c r="GC246" s="139"/>
      <c r="GD246" s="139"/>
      <c r="GE246" s="139"/>
      <c r="GF246" s="139"/>
      <c r="GG246" s="139"/>
      <c r="GH246" s="139"/>
      <c r="GI246" s="139"/>
      <c r="GJ246" s="139"/>
      <c r="GK246" s="139"/>
      <c r="GL246" s="139"/>
      <c r="GM246" s="139"/>
      <c r="GN246" s="139"/>
      <c r="GO246" s="139"/>
      <c r="GP246" s="139"/>
      <c r="GQ246" s="139"/>
      <c r="GR246" s="139"/>
      <c r="GS246" s="139"/>
      <c r="GT246" s="139"/>
      <c r="GU246" s="139"/>
      <c r="GV246" s="139"/>
      <c r="GW246" s="139"/>
      <c r="GX246" s="139"/>
      <c r="GY246" s="139"/>
      <c r="GZ246" s="139"/>
      <c r="HA246" s="139"/>
      <c r="HB246" s="139"/>
      <c r="HC246" s="139"/>
      <c r="HD246" s="139"/>
      <c r="HE246" s="139"/>
      <c r="HF246" s="139"/>
      <c r="HG246" s="139"/>
      <c r="HH246" s="139"/>
      <c r="HI246" s="139"/>
      <c r="HJ246" s="139"/>
      <c r="HK246" s="139"/>
      <c r="HL246" s="139"/>
      <c r="HM246" s="139"/>
      <c r="HN246" s="139"/>
      <c r="HO246" s="139"/>
      <c r="HP246" s="139"/>
      <c r="HQ246" s="139"/>
      <c r="HR246" s="139"/>
      <c r="HS246" s="139"/>
      <c r="HT246" s="139"/>
      <c r="HU246" s="139"/>
      <c r="HV246" s="139"/>
      <c r="HW246" s="139"/>
      <c r="HX246" s="139"/>
      <c r="HY246" s="139"/>
      <c r="HZ246" s="139"/>
      <c r="IA246" s="139"/>
      <c r="IB246" s="139"/>
      <c r="IC246" s="139"/>
      <c r="ID246" s="139"/>
      <c r="IE246" s="139"/>
      <c r="IF246" s="139"/>
      <c r="IG246" s="139"/>
      <c r="IH246" s="139"/>
      <c r="II246" s="139"/>
      <c r="IJ246" s="139"/>
      <c r="IK246" s="139"/>
      <c r="IL246" s="139"/>
      <c r="IM246" s="139"/>
      <c r="IN246" s="139"/>
      <c r="IO246" s="139"/>
      <c r="IP246" s="139"/>
      <c r="IQ246" s="139"/>
      <c r="IR246" s="139"/>
      <c r="IS246" s="139"/>
      <c r="IT246" s="139"/>
      <c r="IU246" s="139"/>
      <c r="IV246" s="139"/>
      <c r="IW246" s="139"/>
    </row>
    <row r="247" spans="2:257" x14ac:dyDescent="0.3">
      <c r="B247" s="5" t="s">
        <v>226</v>
      </c>
      <c r="C247" s="916" t="s">
        <v>227</v>
      </c>
      <c r="D247" s="968">
        <v>1673.6</v>
      </c>
      <c r="E247" s="968">
        <v>955.7</v>
      </c>
      <c r="F247" s="968">
        <v>94248.7</v>
      </c>
      <c r="G247" s="968">
        <v>3183.4</v>
      </c>
      <c r="H247" s="968">
        <v>34153.199999999997</v>
      </c>
      <c r="I247" s="968">
        <v>15337.2</v>
      </c>
      <c r="J247" s="10">
        <v>10450.6</v>
      </c>
      <c r="K247" s="993">
        <v>5819.8</v>
      </c>
      <c r="L247" s="270">
        <f t="shared" si="28"/>
        <v>165822.19999999998</v>
      </c>
      <c r="M247" s="995">
        <f>(P287*EF_CH4_DieselAvBio_Trans_kg_l+'II. Transport '!Q287*EF_CH4_PetrolAvBio_Trans_kg_l)*0.001</f>
        <v>224.37941021899999</v>
      </c>
      <c r="N247" s="996">
        <f>(P287*EF_N2O_DieselAvBio_Trans_kg_l+'II. Transport '!Q287*EF_N2O_PetrolAvBio_Trans_kg_l)*0.001</f>
        <v>1419.005628914</v>
      </c>
      <c r="O247" s="268">
        <f t="shared" si="25"/>
        <v>167465.58503913297</v>
      </c>
      <c r="P247" s="283">
        <v>6.55620656044161</v>
      </c>
      <c r="Q247" s="16">
        <v>145.48534557932336</v>
      </c>
      <c r="R247" s="16">
        <v>1306.7924576365938</v>
      </c>
      <c r="S247" s="16">
        <v>333.97628419201965</v>
      </c>
      <c r="T247" s="968">
        <v>191.37879150241463</v>
      </c>
      <c r="U247" s="993">
        <v>528.08682842795167</v>
      </c>
      <c r="V247" s="968">
        <v>308.21975841885614</v>
      </c>
      <c r="W247" s="16">
        <v>3.0439530459193191</v>
      </c>
      <c r="X247" s="283">
        <f t="shared" si="26"/>
        <v>2823.5396253635204</v>
      </c>
      <c r="Y247" s="968">
        <f t="shared" si="23"/>
        <v>14.320078832770532</v>
      </c>
      <c r="Z247" s="968">
        <f t="shared" si="24"/>
        <v>19.434392701617149</v>
      </c>
      <c r="AA247" s="268">
        <f t="shared" si="27"/>
        <v>2857.2940968979078</v>
      </c>
      <c r="AB247" s="139"/>
      <c r="AC247" s="139"/>
      <c r="AD247" s="139"/>
      <c r="AE247" s="139"/>
      <c r="AF247" s="139"/>
      <c r="AG247" s="139"/>
      <c r="AH247" s="139"/>
      <c r="AI247" s="139"/>
      <c r="AJ247" s="139"/>
      <c r="AK247" s="139"/>
      <c r="AL247" s="139"/>
      <c r="AM247" s="139"/>
      <c r="AN247" s="139"/>
      <c r="AO247" s="139"/>
      <c r="AP247" s="139"/>
      <c r="AQ247" s="139"/>
      <c r="AR247" s="139"/>
      <c r="AS247" s="139"/>
      <c r="AT247" s="139"/>
      <c r="AU247" s="139"/>
      <c r="AV247" s="139"/>
      <c r="AW247" s="139"/>
      <c r="AX247" s="139"/>
      <c r="AY247" s="139"/>
      <c r="AZ247" s="139"/>
      <c r="BA247" s="139"/>
      <c r="BB247" s="139"/>
      <c r="BC247" s="139"/>
      <c r="BD247" s="139"/>
      <c r="BE247" s="139"/>
      <c r="BF247" s="139"/>
      <c r="BG247" s="139"/>
      <c r="BH247" s="139"/>
      <c r="BI247" s="139"/>
      <c r="BJ247" s="139"/>
      <c r="BK247" s="139"/>
      <c r="BL247" s="139"/>
      <c r="BM247" s="139"/>
      <c r="BN247" s="139"/>
      <c r="BO247" s="139"/>
      <c r="BP247" s="139"/>
      <c r="BQ247" s="139"/>
      <c r="BR247" s="139"/>
      <c r="BS247" s="139"/>
      <c r="BT247" s="139"/>
      <c r="BU247" s="139"/>
      <c r="BV247" s="139"/>
      <c r="BW247" s="139"/>
      <c r="BX247" s="139"/>
      <c r="BY247" s="139"/>
      <c r="BZ247" s="139"/>
      <c r="CA247" s="139"/>
      <c r="CB247" s="139"/>
      <c r="CC247" s="139"/>
      <c r="CD247" s="139"/>
      <c r="CE247" s="139"/>
      <c r="CF247" s="139"/>
      <c r="CG247" s="139"/>
      <c r="CH247" s="139"/>
      <c r="CI247" s="139"/>
      <c r="CJ247" s="139"/>
      <c r="CK247" s="139"/>
      <c r="CL247" s="139"/>
      <c r="CM247" s="139"/>
      <c r="CN247" s="139"/>
      <c r="CO247" s="139"/>
      <c r="CP247" s="139"/>
      <c r="CQ247" s="139"/>
      <c r="CR247" s="139"/>
      <c r="CS247" s="139"/>
      <c r="CT247" s="139"/>
      <c r="CU247" s="139"/>
      <c r="CV247" s="139"/>
      <c r="CW247" s="139"/>
      <c r="CX247" s="139"/>
      <c r="CY247" s="139"/>
      <c r="CZ247" s="139"/>
      <c r="DA247" s="139"/>
      <c r="DB247" s="139"/>
      <c r="DC247" s="139"/>
      <c r="DD247" s="139"/>
      <c r="DE247" s="139"/>
      <c r="DF247" s="139"/>
      <c r="DG247" s="139"/>
      <c r="DH247" s="139"/>
      <c r="DI247" s="139"/>
      <c r="DJ247" s="139"/>
      <c r="DK247" s="139"/>
      <c r="DL247" s="139"/>
      <c r="DM247" s="139"/>
      <c r="DN247" s="139"/>
      <c r="DO247" s="139"/>
      <c r="DP247" s="139"/>
      <c r="DQ247" s="139"/>
      <c r="DR247" s="139"/>
      <c r="DS247" s="139"/>
      <c r="DT247" s="139"/>
      <c r="DU247" s="139"/>
      <c r="DV247" s="139"/>
      <c r="DW247" s="139"/>
      <c r="DX247" s="139"/>
      <c r="DY247" s="139"/>
      <c r="DZ247" s="139"/>
      <c r="EA247" s="139"/>
      <c r="EB247" s="139"/>
      <c r="EC247" s="139"/>
      <c r="ED247" s="139"/>
      <c r="EE247" s="139"/>
      <c r="EF247" s="139"/>
      <c r="EG247" s="139"/>
      <c r="EH247" s="139"/>
      <c r="EI247" s="139"/>
      <c r="EJ247" s="139"/>
      <c r="EK247" s="139"/>
      <c r="EL247" s="139"/>
      <c r="EM247" s="139"/>
      <c r="EN247" s="139"/>
      <c r="EO247" s="139"/>
      <c r="EP247" s="139"/>
      <c r="EQ247" s="139"/>
      <c r="ER247" s="139"/>
      <c r="ES247" s="139"/>
      <c r="ET247" s="139"/>
      <c r="EU247" s="139"/>
      <c r="EV247" s="139"/>
      <c r="EW247" s="139"/>
      <c r="EX247" s="139"/>
      <c r="EY247" s="139"/>
      <c r="EZ247" s="139"/>
      <c r="FA247" s="139"/>
      <c r="FB247" s="139"/>
      <c r="FC247" s="139"/>
      <c r="FD247" s="139"/>
      <c r="FE247" s="139"/>
      <c r="FF247" s="139"/>
      <c r="FG247" s="139"/>
      <c r="FH247" s="139"/>
      <c r="FI247" s="139"/>
      <c r="FJ247" s="139"/>
      <c r="FK247" s="139"/>
      <c r="FL247" s="139"/>
      <c r="FM247" s="139"/>
      <c r="FN247" s="139"/>
      <c r="FO247" s="139"/>
      <c r="FP247" s="139"/>
      <c r="FQ247" s="139"/>
      <c r="FR247" s="139"/>
      <c r="FS247" s="139"/>
      <c r="FT247" s="139"/>
      <c r="FU247" s="139"/>
      <c r="FV247" s="139"/>
      <c r="FW247" s="139"/>
      <c r="FX247" s="139"/>
      <c r="FY247" s="139"/>
      <c r="FZ247" s="139"/>
      <c r="GA247" s="139"/>
      <c r="GB247" s="139"/>
      <c r="GC247" s="139"/>
      <c r="GD247" s="139"/>
      <c r="GE247" s="139"/>
      <c r="GF247" s="139"/>
      <c r="GG247" s="139"/>
      <c r="GH247" s="139"/>
      <c r="GI247" s="139"/>
      <c r="GJ247" s="139"/>
      <c r="GK247" s="139"/>
      <c r="GL247" s="139"/>
      <c r="GM247" s="139"/>
      <c r="GN247" s="139"/>
      <c r="GO247" s="139"/>
      <c r="GP247" s="139"/>
      <c r="GQ247" s="139"/>
      <c r="GR247" s="139"/>
      <c r="GS247" s="139"/>
      <c r="GT247" s="139"/>
      <c r="GU247" s="139"/>
      <c r="GV247" s="139"/>
      <c r="GW247" s="139"/>
      <c r="GX247" s="139"/>
      <c r="GY247" s="139"/>
      <c r="GZ247" s="139"/>
      <c r="HA247" s="139"/>
      <c r="HB247" s="139"/>
      <c r="HC247" s="139"/>
      <c r="HD247" s="139"/>
      <c r="HE247" s="139"/>
      <c r="HF247" s="139"/>
      <c r="HG247" s="139"/>
      <c r="HH247" s="139"/>
      <c r="HI247" s="139"/>
      <c r="HJ247" s="139"/>
      <c r="HK247" s="139"/>
      <c r="HL247" s="139"/>
      <c r="HM247" s="139"/>
      <c r="HN247" s="139"/>
      <c r="HO247" s="139"/>
      <c r="HP247" s="139"/>
      <c r="HQ247" s="139"/>
      <c r="HR247" s="139"/>
      <c r="HS247" s="139"/>
      <c r="HT247" s="139"/>
      <c r="HU247" s="139"/>
      <c r="HV247" s="139"/>
      <c r="HW247" s="139"/>
      <c r="HX247" s="139"/>
      <c r="HY247" s="139"/>
      <c r="HZ247" s="139"/>
      <c r="IA247" s="139"/>
      <c r="IB247" s="139"/>
      <c r="IC247" s="139"/>
      <c r="ID247" s="139"/>
      <c r="IE247" s="139"/>
      <c r="IF247" s="139"/>
      <c r="IG247" s="139"/>
      <c r="IH247" s="139"/>
      <c r="II247" s="139"/>
      <c r="IJ247" s="139"/>
      <c r="IK247" s="139"/>
      <c r="IL247" s="139"/>
      <c r="IM247" s="139"/>
      <c r="IN247" s="139"/>
      <c r="IO247" s="139"/>
      <c r="IP247" s="139"/>
      <c r="IQ247" s="139"/>
      <c r="IR247" s="139"/>
      <c r="IS247" s="139"/>
      <c r="IT247" s="139"/>
      <c r="IU247" s="139"/>
      <c r="IV247" s="139"/>
      <c r="IW247" s="139"/>
    </row>
    <row r="248" spans="2:257" x14ac:dyDescent="0.3">
      <c r="B248" s="5" t="s">
        <v>124</v>
      </c>
      <c r="C248" s="916" t="s">
        <v>228</v>
      </c>
      <c r="D248" s="968">
        <v>3416.7</v>
      </c>
      <c r="E248" s="968">
        <v>2640</v>
      </c>
      <c r="F248" s="968">
        <v>68633.899999999994</v>
      </c>
      <c r="G248" s="968">
        <v>6999.2</v>
      </c>
      <c r="H248" s="968">
        <v>41298.699999999997</v>
      </c>
      <c r="I248" s="968">
        <v>41416.5</v>
      </c>
      <c r="J248" s="10">
        <v>16062.9</v>
      </c>
      <c r="K248" s="993">
        <v>5055.5</v>
      </c>
      <c r="L248" s="270">
        <f t="shared" si="28"/>
        <v>185523.4</v>
      </c>
      <c r="M248" s="995">
        <f>(P288*EF_CH4_DieselAvBio_Trans_kg_l+'II. Transport '!Q288*EF_CH4_PetrolAvBio_Trans_kg_l)*0.001</f>
        <v>187.30323285199998</v>
      </c>
      <c r="N248" s="996">
        <f>(P288*EF_N2O_DieselAvBio_Trans_kg_l+'II. Transport '!Q288*EF_N2O_PetrolAvBio_Trans_kg_l)*0.001</f>
        <v>1777.5281869100002</v>
      </c>
      <c r="O248" s="268">
        <f t="shared" si="25"/>
        <v>187488.23141976199</v>
      </c>
      <c r="P248" s="283">
        <v>12.019712027476286</v>
      </c>
      <c r="Q248" s="16">
        <v>329.44937966219095</v>
      </c>
      <c r="R248" s="16">
        <v>1017.4608181180575</v>
      </c>
      <c r="S248" s="16">
        <v>794.47174498494235</v>
      </c>
      <c r="T248" s="968">
        <v>283.79008397340118</v>
      </c>
      <c r="U248" s="993">
        <v>1209.0737598547737</v>
      </c>
      <c r="V248" s="968">
        <v>350.52290074932472</v>
      </c>
      <c r="W248" s="16">
        <v>4.2927542955272449</v>
      </c>
      <c r="X248" s="283">
        <f t="shared" si="26"/>
        <v>4001.0811536656938</v>
      </c>
      <c r="Y248" s="968">
        <f t="shared" si="23"/>
        <v>20.292188224356359</v>
      </c>
      <c r="Z248" s="968">
        <f t="shared" si="24"/>
        <v>27.539398304483633</v>
      </c>
      <c r="AA248" s="268">
        <f t="shared" si="27"/>
        <v>4048.9127401945339</v>
      </c>
      <c r="AB248" s="139"/>
      <c r="AC248" s="139"/>
      <c r="AD248" s="139"/>
      <c r="AE248" s="139"/>
      <c r="AF248" s="139"/>
      <c r="AG248" s="139"/>
      <c r="AH248" s="139"/>
      <c r="AI248" s="139"/>
      <c r="AJ248" s="139"/>
      <c r="AK248" s="139"/>
      <c r="AL248" s="139"/>
      <c r="AM248" s="139"/>
      <c r="AN248" s="139"/>
      <c r="AO248" s="139"/>
      <c r="AP248" s="139"/>
      <c r="AQ248" s="139"/>
      <c r="AR248" s="139"/>
      <c r="AS248" s="139"/>
      <c r="AT248" s="139"/>
      <c r="AU248" s="139"/>
      <c r="AV248" s="139"/>
      <c r="AW248" s="139"/>
      <c r="AX248" s="139"/>
      <c r="AY248" s="139"/>
      <c r="AZ248" s="139"/>
      <c r="BA248" s="139"/>
      <c r="BB248" s="139"/>
      <c r="BC248" s="139"/>
      <c r="BD248" s="139"/>
      <c r="BE248" s="139"/>
      <c r="BF248" s="139"/>
      <c r="BG248" s="139"/>
      <c r="BH248" s="139"/>
      <c r="BI248" s="139"/>
      <c r="BJ248" s="139"/>
      <c r="BK248" s="139"/>
      <c r="BL248" s="139"/>
      <c r="BM248" s="139"/>
      <c r="BN248" s="139"/>
      <c r="BO248" s="139"/>
      <c r="BP248" s="139"/>
      <c r="BQ248" s="139"/>
      <c r="BR248" s="139"/>
      <c r="BS248" s="139"/>
      <c r="BT248" s="139"/>
      <c r="BU248" s="139"/>
      <c r="BV248" s="139"/>
      <c r="BW248" s="139"/>
      <c r="BX248" s="139"/>
      <c r="BY248" s="139"/>
      <c r="BZ248" s="139"/>
      <c r="CA248" s="139"/>
      <c r="CB248" s="139"/>
      <c r="CC248" s="139"/>
      <c r="CD248" s="139"/>
      <c r="CE248" s="139"/>
      <c r="CF248" s="139"/>
      <c r="CG248" s="139"/>
      <c r="CH248" s="139"/>
      <c r="CI248" s="139"/>
      <c r="CJ248" s="139"/>
      <c r="CK248" s="139"/>
      <c r="CL248" s="139"/>
      <c r="CM248" s="139"/>
      <c r="CN248" s="139"/>
      <c r="CO248" s="139"/>
      <c r="CP248" s="139"/>
      <c r="CQ248" s="139"/>
      <c r="CR248" s="139"/>
      <c r="CS248" s="139"/>
      <c r="CT248" s="139"/>
      <c r="CU248" s="139"/>
      <c r="CV248" s="139"/>
      <c r="CW248" s="139"/>
      <c r="CX248" s="139"/>
      <c r="CY248" s="139"/>
      <c r="CZ248" s="139"/>
      <c r="DA248" s="139"/>
      <c r="DB248" s="139"/>
      <c r="DC248" s="139"/>
      <c r="DD248" s="139"/>
      <c r="DE248" s="139"/>
      <c r="DF248" s="139"/>
      <c r="DG248" s="139"/>
      <c r="DH248" s="139"/>
      <c r="DI248" s="139"/>
      <c r="DJ248" s="139"/>
      <c r="DK248" s="139"/>
      <c r="DL248" s="139"/>
      <c r="DM248" s="139"/>
      <c r="DN248" s="139"/>
      <c r="DO248" s="139"/>
      <c r="DP248" s="139"/>
      <c r="DQ248" s="139"/>
      <c r="DR248" s="139"/>
      <c r="DS248" s="139"/>
      <c r="DT248" s="139"/>
      <c r="DU248" s="139"/>
      <c r="DV248" s="139"/>
      <c r="DW248" s="139"/>
      <c r="DX248" s="139"/>
      <c r="DY248" s="139"/>
      <c r="DZ248" s="139"/>
      <c r="EA248" s="139"/>
      <c r="EB248" s="139"/>
      <c r="EC248" s="139"/>
      <c r="ED248" s="139"/>
      <c r="EE248" s="139"/>
      <c r="EF248" s="139"/>
      <c r="EG248" s="139"/>
      <c r="EH248" s="139"/>
      <c r="EI248" s="139"/>
      <c r="EJ248" s="139"/>
      <c r="EK248" s="139"/>
      <c r="EL248" s="139"/>
      <c r="EM248" s="139"/>
      <c r="EN248" s="139"/>
      <c r="EO248" s="139"/>
      <c r="EP248" s="139"/>
      <c r="EQ248" s="139"/>
      <c r="ER248" s="139"/>
      <c r="ES248" s="139"/>
      <c r="ET248" s="139"/>
      <c r="EU248" s="139"/>
      <c r="EV248" s="139"/>
      <c r="EW248" s="139"/>
      <c r="EX248" s="139"/>
      <c r="EY248" s="139"/>
      <c r="EZ248" s="139"/>
      <c r="FA248" s="139"/>
      <c r="FB248" s="139"/>
      <c r="FC248" s="139"/>
      <c r="FD248" s="139"/>
      <c r="FE248" s="139"/>
      <c r="FF248" s="139"/>
      <c r="FG248" s="139"/>
      <c r="FH248" s="139"/>
      <c r="FI248" s="139"/>
      <c r="FJ248" s="139"/>
      <c r="FK248" s="139"/>
      <c r="FL248" s="139"/>
      <c r="FM248" s="139"/>
      <c r="FN248" s="139"/>
      <c r="FO248" s="139"/>
      <c r="FP248" s="139"/>
      <c r="FQ248" s="139"/>
      <c r="FR248" s="139"/>
      <c r="FS248" s="139"/>
      <c r="FT248" s="139"/>
      <c r="FU248" s="139"/>
      <c r="FV248" s="139"/>
      <c r="FW248" s="139"/>
      <c r="FX248" s="139"/>
      <c r="FY248" s="139"/>
      <c r="FZ248" s="139"/>
      <c r="GA248" s="139"/>
      <c r="GB248" s="139"/>
      <c r="GC248" s="139"/>
      <c r="GD248" s="139"/>
      <c r="GE248" s="139"/>
      <c r="GF248" s="139"/>
      <c r="GG248" s="139"/>
      <c r="GH248" s="139"/>
      <c r="GI248" s="139"/>
      <c r="GJ248" s="139"/>
      <c r="GK248" s="139"/>
      <c r="GL248" s="139"/>
      <c r="GM248" s="139"/>
      <c r="GN248" s="139"/>
      <c r="GO248" s="139"/>
      <c r="GP248" s="139"/>
      <c r="GQ248" s="139"/>
      <c r="GR248" s="139"/>
      <c r="GS248" s="139"/>
      <c r="GT248" s="139"/>
      <c r="GU248" s="139"/>
      <c r="GV248" s="139"/>
      <c r="GW248" s="139"/>
      <c r="GX248" s="139"/>
      <c r="GY248" s="139"/>
      <c r="GZ248" s="139"/>
      <c r="HA248" s="139"/>
      <c r="HB248" s="139"/>
      <c r="HC248" s="139"/>
      <c r="HD248" s="139"/>
      <c r="HE248" s="139"/>
      <c r="HF248" s="139"/>
      <c r="HG248" s="139"/>
      <c r="HH248" s="139"/>
      <c r="HI248" s="139"/>
      <c r="HJ248" s="139"/>
      <c r="HK248" s="139"/>
      <c r="HL248" s="139"/>
      <c r="HM248" s="139"/>
      <c r="HN248" s="139"/>
      <c r="HO248" s="139"/>
      <c r="HP248" s="139"/>
      <c r="HQ248" s="139"/>
      <c r="HR248" s="139"/>
      <c r="HS248" s="139"/>
      <c r="HT248" s="139"/>
      <c r="HU248" s="139"/>
      <c r="HV248" s="139"/>
      <c r="HW248" s="139"/>
      <c r="HX248" s="139"/>
      <c r="HY248" s="139"/>
      <c r="HZ248" s="139"/>
      <c r="IA248" s="139"/>
      <c r="IB248" s="139"/>
      <c r="IC248" s="139"/>
      <c r="ID248" s="139"/>
      <c r="IE248" s="139"/>
      <c r="IF248" s="139"/>
      <c r="IG248" s="139"/>
      <c r="IH248" s="139"/>
      <c r="II248" s="139"/>
      <c r="IJ248" s="139"/>
      <c r="IK248" s="139"/>
      <c r="IL248" s="139"/>
      <c r="IM248" s="139"/>
      <c r="IN248" s="139"/>
      <c r="IO248" s="139"/>
      <c r="IP248" s="139"/>
      <c r="IQ248" s="139"/>
      <c r="IR248" s="139"/>
      <c r="IS248" s="139"/>
      <c r="IT248" s="139"/>
      <c r="IU248" s="139"/>
      <c r="IV248" s="139"/>
      <c r="IW248" s="139"/>
    </row>
    <row r="249" spans="2:257" x14ac:dyDescent="0.3">
      <c r="B249" s="5" t="s">
        <v>125</v>
      </c>
      <c r="C249" s="916" t="s">
        <v>229</v>
      </c>
      <c r="D249" s="968">
        <v>2649</v>
      </c>
      <c r="E249" s="968">
        <v>1067.3</v>
      </c>
      <c r="F249" s="968">
        <v>74940.5</v>
      </c>
      <c r="G249" s="968">
        <v>2629.3</v>
      </c>
      <c r="H249" s="968">
        <v>37147.300000000003</v>
      </c>
      <c r="I249" s="968">
        <v>33612.6</v>
      </c>
      <c r="J249" s="10">
        <v>16911</v>
      </c>
      <c r="K249" s="993">
        <v>5330.7</v>
      </c>
      <c r="L249" s="270">
        <f t="shared" si="28"/>
        <v>174287.7</v>
      </c>
      <c r="M249" s="995">
        <f>(P289*EF_CH4_DieselAvBio_Trans_kg_l+'II. Transport '!Q289*EF_CH4_PetrolAvBio_Trans_kg_l)*0.001</f>
        <v>196.70858606300001</v>
      </c>
      <c r="N249" s="996">
        <f>(P289*EF_N2O_DieselAvBio_Trans_kg_l+'II. Transport '!Q289*EF_N2O_PetrolAvBio_Trans_kg_l)*0.001</f>
        <v>1604.88223724</v>
      </c>
      <c r="O249" s="268">
        <f t="shared" si="25"/>
        <v>176089.29082330302</v>
      </c>
      <c r="P249" s="283">
        <v>8.9757589815569663</v>
      </c>
      <c r="Q249" s="16">
        <v>146.42194651652929</v>
      </c>
      <c r="R249" s="16">
        <v>1055.2370559186973</v>
      </c>
      <c r="S249" s="16">
        <v>292.21949240825461</v>
      </c>
      <c r="T249" s="968">
        <v>235.78928594159652</v>
      </c>
      <c r="U249" s="993">
        <v>967.50876813374055</v>
      </c>
      <c r="V249" s="968">
        <v>384.39663464493964</v>
      </c>
      <c r="W249" s="16">
        <v>3.4342034364217962</v>
      </c>
      <c r="X249" s="283">
        <f t="shared" si="26"/>
        <v>3093.9831459817365</v>
      </c>
      <c r="Y249" s="968">
        <f t="shared" si="23"/>
        <v>15.691680810754551</v>
      </c>
      <c r="Z249" s="968">
        <f t="shared" si="24"/>
        <v>21.295852528881177</v>
      </c>
      <c r="AA249" s="268">
        <f t="shared" si="27"/>
        <v>3130.9706793213722</v>
      </c>
      <c r="AB249" s="139"/>
      <c r="AC249" s="139"/>
      <c r="AD249" s="139"/>
      <c r="AE249" s="139"/>
      <c r="AF249" s="139"/>
      <c r="AG249" s="139"/>
      <c r="AH249" s="139"/>
      <c r="AI249" s="139"/>
      <c r="AJ249" s="139"/>
      <c r="AK249" s="139"/>
      <c r="AL249" s="139"/>
      <c r="AM249" s="139"/>
      <c r="AN249" s="139"/>
      <c r="AO249" s="139"/>
      <c r="AP249" s="139"/>
      <c r="AQ249" s="139"/>
      <c r="AR249" s="139"/>
      <c r="AS249" s="139"/>
      <c r="AT249" s="139"/>
      <c r="AU249" s="139"/>
      <c r="AV249" s="139"/>
      <c r="AW249" s="139"/>
      <c r="AX249" s="139"/>
      <c r="AY249" s="139"/>
      <c r="AZ249" s="139"/>
      <c r="BA249" s="139"/>
      <c r="BB249" s="139"/>
      <c r="BC249" s="139"/>
      <c r="BD249" s="139"/>
      <c r="BE249" s="139"/>
      <c r="BF249" s="139"/>
      <c r="BG249" s="139"/>
      <c r="BH249" s="139"/>
      <c r="BI249" s="139"/>
      <c r="BJ249" s="139"/>
      <c r="BK249" s="139"/>
      <c r="BL249" s="139"/>
      <c r="BM249" s="139"/>
      <c r="BN249" s="139"/>
      <c r="BO249" s="139"/>
      <c r="BP249" s="139"/>
      <c r="BQ249" s="139"/>
      <c r="BR249" s="139"/>
      <c r="BS249" s="139"/>
      <c r="BT249" s="139"/>
      <c r="BU249" s="139"/>
      <c r="BV249" s="139"/>
      <c r="BW249" s="139"/>
      <c r="BX249" s="139"/>
      <c r="BY249" s="139"/>
      <c r="BZ249" s="139"/>
      <c r="CA249" s="139"/>
      <c r="CB249" s="139"/>
      <c r="CC249" s="139"/>
      <c r="CD249" s="139"/>
      <c r="CE249" s="139"/>
      <c r="CF249" s="139"/>
      <c r="CG249" s="139"/>
      <c r="CH249" s="139"/>
      <c r="CI249" s="139"/>
      <c r="CJ249" s="139"/>
      <c r="CK249" s="139"/>
      <c r="CL249" s="139"/>
      <c r="CM249" s="139"/>
      <c r="CN249" s="139"/>
      <c r="CO249" s="139"/>
      <c r="CP249" s="139"/>
      <c r="CQ249" s="139"/>
      <c r="CR249" s="139"/>
      <c r="CS249" s="139"/>
      <c r="CT249" s="139"/>
      <c r="CU249" s="139"/>
      <c r="CV249" s="139"/>
      <c r="CW249" s="139"/>
      <c r="CX249" s="139"/>
      <c r="CY249" s="139"/>
      <c r="CZ249" s="139"/>
      <c r="DA249" s="139"/>
      <c r="DB249" s="139"/>
      <c r="DC249" s="139"/>
      <c r="DD249" s="139"/>
      <c r="DE249" s="139"/>
      <c r="DF249" s="139"/>
      <c r="DG249" s="139"/>
      <c r="DH249" s="139"/>
      <c r="DI249" s="139"/>
      <c r="DJ249" s="139"/>
      <c r="DK249" s="139"/>
      <c r="DL249" s="139"/>
      <c r="DM249" s="139"/>
      <c r="DN249" s="139"/>
      <c r="DO249" s="139"/>
      <c r="DP249" s="139"/>
      <c r="DQ249" s="139"/>
      <c r="DR249" s="139"/>
      <c r="DS249" s="139"/>
      <c r="DT249" s="139"/>
      <c r="DU249" s="139"/>
      <c r="DV249" s="139"/>
      <c r="DW249" s="139"/>
      <c r="DX249" s="139"/>
      <c r="DY249" s="139"/>
      <c r="DZ249" s="139"/>
      <c r="EA249" s="139"/>
      <c r="EB249" s="139"/>
      <c r="EC249" s="139"/>
      <c r="ED249" s="139"/>
      <c r="EE249" s="139"/>
      <c r="EF249" s="139"/>
      <c r="EG249" s="139"/>
      <c r="EH249" s="139"/>
      <c r="EI249" s="139"/>
      <c r="EJ249" s="139"/>
      <c r="EK249" s="139"/>
      <c r="EL249" s="139"/>
      <c r="EM249" s="139"/>
      <c r="EN249" s="139"/>
      <c r="EO249" s="139"/>
      <c r="EP249" s="139"/>
      <c r="EQ249" s="139"/>
      <c r="ER249" s="139"/>
      <c r="ES249" s="139"/>
      <c r="ET249" s="139"/>
      <c r="EU249" s="139"/>
      <c r="EV249" s="139"/>
      <c r="EW249" s="139"/>
      <c r="EX249" s="139"/>
      <c r="EY249" s="139"/>
      <c r="EZ249" s="139"/>
      <c r="FA249" s="139"/>
      <c r="FB249" s="139"/>
      <c r="FC249" s="139"/>
      <c r="FD249" s="139"/>
      <c r="FE249" s="139"/>
      <c r="FF249" s="139"/>
      <c r="FG249" s="139"/>
      <c r="FH249" s="139"/>
      <c r="FI249" s="139"/>
      <c r="FJ249" s="139"/>
      <c r="FK249" s="139"/>
      <c r="FL249" s="139"/>
      <c r="FM249" s="139"/>
      <c r="FN249" s="139"/>
      <c r="FO249" s="139"/>
      <c r="FP249" s="139"/>
      <c r="FQ249" s="139"/>
      <c r="FR249" s="139"/>
      <c r="FS249" s="139"/>
      <c r="FT249" s="139"/>
      <c r="FU249" s="139"/>
      <c r="FV249" s="139"/>
      <c r="FW249" s="139"/>
      <c r="FX249" s="139"/>
      <c r="FY249" s="139"/>
      <c r="FZ249" s="139"/>
      <c r="GA249" s="139"/>
      <c r="GB249" s="139"/>
      <c r="GC249" s="139"/>
      <c r="GD249" s="139"/>
      <c r="GE249" s="139"/>
      <c r="GF249" s="139"/>
      <c r="GG249" s="139"/>
      <c r="GH249" s="139"/>
      <c r="GI249" s="139"/>
      <c r="GJ249" s="139"/>
      <c r="GK249" s="139"/>
      <c r="GL249" s="139"/>
      <c r="GM249" s="139"/>
      <c r="GN249" s="139"/>
      <c r="GO249" s="139"/>
      <c r="GP249" s="139"/>
      <c r="GQ249" s="139"/>
      <c r="GR249" s="139"/>
      <c r="GS249" s="139"/>
      <c r="GT249" s="139"/>
      <c r="GU249" s="139"/>
      <c r="GV249" s="139"/>
      <c r="GW249" s="139"/>
      <c r="GX249" s="139"/>
      <c r="GY249" s="139"/>
      <c r="GZ249" s="139"/>
      <c r="HA249" s="139"/>
      <c r="HB249" s="139"/>
      <c r="HC249" s="139"/>
      <c r="HD249" s="139"/>
      <c r="HE249" s="139"/>
      <c r="HF249" s="139"/>
      <c r="HG249" s="139"/>
      <c r="HH249" s="139"/>
      <c r="HI249" s="139"/>
      <c r="HJ249" s="139"/>
      <c r="HK249" s="139"/>
      <c r="HL249" s="139"/>
      <c r="HM249" s="139"/>
      <c r="HN249" s="139"/>
      <c r="HO249" s="139"/>
      <c r="HP249" s="139"/>
      <c r="HQ249" s="139"/>
      <c r="HR249" s="139"/>
      <c r="HS249" s="139"/>
      <c r="HT249" s="139"/>
      <c r="HU249" s="139"/>
      <c r="HV249" s="139"/>
      <c r="HW249" s="139"/>
      <c r="HX249" s="139"/>
      <c r="HY249" s="139"/>
      <c r="HZ249" s="139"/>
      <c r="IA249" s="139"/>
      <c r="IB249" s="139"/>
      <c r="IC249" s="139"/>
      <c r="ID249" s="139"/>
      <c r="IE249" s="139"/>
      <c r="IF249" s="139"/>
      <c r="IG249" s="139"/>
      <c r="IH249" s="139"/>
      <c r="II249" s="139"/>
      <c r="IJ249" s="139"/>
      <c r="IK249" s="139"/>
      <c r="IL249" s="139"/>
      <c r="IM249" s="139"/>
      <c r="IN249" s="139"/>
      <c r="IO249" s="139"/>
      <c r="IP249" s="139"/>
      <c r="IQ249" s="139"/>
      <c r="IR249" s="139"/>
      <c r="IS249" s="139"/>
      <c r="IT249" s="139"/>
      <c r="IU249" s="139"/>
      <c r="IV249" s="139"/>
      <c r="IW249" s="139"/>
    </row>
    <row r="250" spans="2:257" x14ac:dyDescent="0.3">
      <c r="B250" s="5" t="s">
        <v>126</v>
      </c>
      <c r="C250" s="916" t="s">
        <v>230</v>
      </c>
      <c r="D250" s="968">
        <v>1314.6</v>
      </c>
      <c r="E250" s="968">
        <v>762.7</v>
      </c>
      <c r="F250" s="968">
        <v>68545.899999999994</v>
      </c>
      <c r="G250" s="968">
        <v>2037.5</v>
      </c>
      <c r="H250" s="968">
        <v>33735.4</v>
      </c>
      <c r="I250" s="968">
        <v>18598.7</v>
      </c>
      <c r="J250" s="10">
        <v>11680</v>
      </c>
      <c r="K250" s="993">
        <v>5869.1</v>
      </c>
      <c r="L250" s="270">
        <f t="shared" si="28"/>
        <v>142543.9</v>
      </c>
      <c r="M250" s="995">
        <f>(P290*EF_CH4_DieselAvBio_Trans_kg_l+'II. Transport '!Q290*EF_CH4_PetrolAvBio_Trans_kg_l)*0.001</f>
        <v>167.581165328</v>
      </c>
      <c r="N250" s="996">
        <f>(P290*EF_N2O_DieselAvBio_Trans_kg_l+'II. Transport '!Q290*EF_N2O_PetrolAvBio_Trans_kg_l)*0.001</f>
        <v>1292.4184679299999</v>
      </c>
      <c r="O250" s="268">
        <f t="shared" si="25"/>
        <v>144003.899633258</v>
      </c>
      <c r="P250" s="283">
        <v>4.448854451728236</v>
      </c>
      <c r="Q250" s="16">
        <v>102.32365238974941</v>
      </c>
      <c r="R250" s="16">
        <v>867.21441777460382</v>
      </c>
      <c r="S250" s="16">
        <v>211.74986188664391</v>
      </c>
      <c r="T250" s="968">
        <v>161.79781190232691</v>
      </c>
      <c r="U250" s="993">
        <v>569.92167028981714</v>
      </c>
      <c r="V250" s="968">
        <v>297.21469740668635</v>
      </c>
      <c r="W250" s="16">
        <v>2.4195524211153563</v>
      </c>
      <c r="X250" s="283">
        <f t="shared" si="26"/>
        <v>2217.0905185226711</v>
      </c>
      <c r="Y250" s="968">
        <f t="shared" si="23"/>
        <v>11.244365306382125</v>
      </c>
      <c r="Z250" s="968">
        <f t="shared" si="24"/>
        <v>15.260210058661459</v>
      </c>
      <c r="AA250" s="268">
        <f t="shared" si="27"/>
        <v>2243.5950938877145</v>
      </c>
      <c r="AB250" s="139"/>
      <c r="AC250" s="139"/>
      <c r="AD250" s="139"/>
      <c r="AE250" s="139"/>
      <c r="AF250" s="139"/>
      <c r="AG250" s="139"/>
      <c r="AH250" s="139"/>
      <c r="AI250" s="139"/>
      <c r="AJ250" s="139"/>
      <c r="AK250" s="139"/>
      <c r="AL250" s="139"/>
      <c r="AM250" s="139"/>
      <c r="AN250" s="139"/>
      <c r="AO250" s="139"/>
      <c r="AP250" s="139"/>
      <c r="AQ250" s="139"/>
      <c r="AR250" s="139"/>
      <c r="AS250" s="139"/>
      <c r="AT250" s="139"/>
      <c r="AU250" s="139"/>
      <c r="AV250" s="139"/>
      <c r="AW250" s="139"/>
      <c r="AX250" s="139"/>
      <c r="AY250" s="139"/>
      <c r="AZ250" s="139"/>
      <c r="BA250" s="139"/>
      <c r="BB250" s="139"/>
      <c r="BC250" s="139"/>
      <c r="BD250" s="139"/>
      <c r="BE250" s="139"/>
      <c r="BF250" s="139"/>
      <c r="BG250" s="139"/>
      <c r="BH250" s="139"/>
      <c r="BI250" s="139"/>
      <c r="BJ250" s="139"/>
      <c r="BK250" s="139"/>
      <c r="BL250" s="139"/>
      <c r="BM250" s="139"/>
      <c r="BN250" s="139"/>
      <c r="BO250" s="139"/>
      <c r="BP250" s="139"/>
      <c r="BQ250" s="139"/>
      <c r="BR250" s="139"/>
      <c r="BS250" s="139"/>
      <c r="BT250" s="139"/>
      <c r="BU250" s="139"/>
      <c r="BV250" s="139"/>
      <c r="BW250" s="139"/>
      <c r="BX250" s="139"/>
      <c r="BY250" s="139"/>
      <c r="BZ250" s="139"/>
      <c r="CA250" s="139"/>
      <c r="CB250" s="139"/>
      <c r="CC250" s="139"/>
      <c r="CD250" s="139"/>
      <c r="CE250" s="139"/>
      <c r="CF250" s="139"/>
      <c r="CG250" s="139"/>
      <c r="CH250" s="139"/>
      <c r="CI250" s="139"/>
      <c r="CJ250" s="139"/>
      <c r="CK250" s="139"/>
      <c r="CL250" s="139"/>
      <c r="CM250" s="139"/>
      <c r="CN250" s="139"/>
      <c r="CO250" s="139"/>
      <c r="CP250" s="139"/>
      <c r="CQ250" s="139"/>
      <c r="CR250" s="139"/>
      <c r="CS250" s="139"/>
      <c r="CT250" s="139"/>
      <c r="CU250" s="139"/>
      <c r="CV250" s="139"/>
      <c r="CW250" s="139"/>
      <c r="CX250" s="139"/>
      <c r="CY250" s="139"/>
      <c r="CZ250" s="139"/>
      <c r="DA250" s="139"/>
      <c r="DB250" s="139"/>
      <c r="DC250" s="139"/>
      <c r="DD250" s="139"/>
      <c r="DE250" s="139"/>
      <c r="DF250" s="139"/>
      <c r="DG250" s="139"/>
      <c r="DH250" s="139"/>
      <c r="DI250" s="139"/>
      <c r="DJ250" s="139"/>
      <c r="DK250" s="139"/>
      <c r="DL250" s="139"/>
      <c r="DM250" s="139"/>
      <c r="DN250" s="139"/>
      <c r="DO250" s="139"/>
      <c r="DP250" s="139"/>
      <c r="DQ250" s="139"/>
      <c r="DR250" s="139"/>
      <c r="DS250" s="139"/>
      <c r="DT250" s="139"/>
      <c r="DU250" s="139"/>
      <c r="DV250" s="139"/>
      <c r="DW250" s="139"/>
      <c r="DX250" s="139"/>
      <c r="DY250" s="139"/>
      <c r="DZ250" s="139"/>
      <c r="EA250" s="139"/>
      <c r="EB250" s="139"/>
      <c r="EC250" s="139"/>
      <c r="ED250" s="139"/>
      <c r="EE250" s="139"/>
      <c r="EF250" s="139"/>
      <c r="EG250" s="139"/>
      <c r="EH250" s="139"/>
      <c r="EI250" s="139"/>
      <c r="EJ250" s="139"/>
      <c r="EK250" s="139"/>
      <c r="EL250" s="139"/>
      <c r="EM250" s="139"/>
      <c r="EN250" s="139"/>
      <c r="EO250" s="139"/>
      <c r="EP250" s="139"/>
      <c r="EQ250" s="139"/>
      <c r="ER250" s="139"/>
      <c r="ES250" s="139"/>
      <c r="ET250" s="139"/>
      <c r="EU250" s="139"/>
      <c r="EV250" s="139"/>
      <c r="EW250" s="139"/>
      <c r="EX250" s="139"/>
      <c r="EY250" s="139"/>
      <c r="EZ250" s="139"/>
      <c r="FA250" s="139"/>
      <c r="FB250" s="139"/>
      <c r="FC250" s="139"/>
      <c r="FD250" s="139"/>
      <c r="FE250" s="139"/>
      <c r="FF250" s="139"/>
      <c r="FG250" s="139"/>
      <c r="FH250" s="139"/>
      <c r="FI250" s="139"/>
      <c r="FJ250" s="139"/>
      <c r="FK250" s="139"/>
      <c r="FL250" s="139"/>
      <c r="FM250" s="139"/>
      <c r="FN250" s="139"/>
      <c r="FO250" s="139"/>
      <c r="FP250" s="139"/>
      <c r="FQ250" s="139"/>
      <c r="FR250" s="139"/>
      <c r="FS250" s="139"/>
      <c r="FT250" s="139"/>
      <c r="FU250" s="139"/>
      <c r="FV250" s="139"/>
      <c r="FW250" s="139"/>
      <c r="FX250" s="139"/>
      <c r="FY250" s="139"/>
      <c r="FZ250" s="139"/>
      <c r="GA250" s="139"/>
      <c r="GB250" s="139"/>
      <c r="GC250" s="139"/>
      <c r="GD250" s="139"/>
      <c r="GE250" s="139"/>
      <c r="GF250" s="139"/>
      <c r="GG250" s="139"/>
      <c r="GH250" s="139"/>
      <c r="GI250" s="139"/>
      <c r="GJ250" s="139"/>
      <c r="GK250" s="139"/>
      <c r="GL250" s="139"/>
      <c r="GM250" s="139"/>
      <c r="GN250" s="139"/>
      <c r="GO250" s="139"/>
      <c r="GP250" s="139"/>
      <c r="GQ250" s="139"/>
      <c r="GR250" s="139"/>
      <c r="GS250" s="139"/>
      <c r="GT250" s="139"/>
      <c r="GU250" s="139"/>
      <c r="GV250" s="139"/>
      <c r="GW250" s="139"/>
      <c r="GX250" s="139"/>
      <c r="GY250" s="139"/>
      <c r="GZ250" s="139"/>
      <c r="HA250" s="139"/>
      <c r="HB250" s="139"/>
      <c r="HC250" s="139"/>
      <c r="HD250" s="139"/>
      <c r="HE250" s="139"/>
      <c r="HF250" s="139"/>
      <c r="HG250" s="139"/>
      <c r="HH250" s="139"/>
      <c r="HI250" s="139"/>
      <c r="HJ250" s="139"/>
      <c r="HK250" s="139"/>
      <c r="HL250" s="139"/>
      <c r="HM250" s="139"/>
      <c r="HN250" s="139"/>
      <c r="HO250" s="139"/>
      <c r="HP250" s="139"/>
      <c r="HQ250" s="139"/>
      <c r="HR250" s="139"/>
      <c r="HS250" s="139"/>
      <c r="HT250" s="139"/>
      <c r="HU250" s="139"/>
      <c r="HV250" s="139"/>
      <c r="HW250" s="139"/>
      <c r="HX250" s="139"/>
      <c r="HY250" s="139"/>
      <c r="HZ250" s="139"/>
      <c r="IA250" s="139"/>
      <c r="IB250" s="139"/>
      <c r="IC250" s="139"/>
      <c r="ID250" s="139"/>
      <c r="IE250" s="139"/>
      <c r="IF250" s="139"/>
      <c r="IG250" s="139"/>
      <c r="IH250" s="139"/>
      <c r="II250" s="139"/>
      <c r="IJ250" s="139"/>
      <c r="IK250" s="139"/>
      <c r="IL250" s="139"/>
      <c r="IM250" s="139"/>
      <c r="IN250" s="139"/>
      <c r="IO250" s="139"/>
      <c r="IP250" s="139"/>
      <c r="IQ250" s="139"/>
      <c r="IR250" s="139"/>
      <c r="IS250" s="139"/>
      <c r="IT250" s="139"/>
      <c r="IU250" s="139"/>
      <c r="IV250" s="139"/>
      <c r="IW250" s="139"/>
    </row>
    <row r="251" spans="2:257" x14ac:dyDescent="0.3">
      <c r="B251" s="5" t="s">
        <v>127</v>
      </c>
      <c r="C251" s="916" t="s">
        <v>231</v>
      </c>
      <c r="D251" s="968">
        <v>3493.7</v>
      </c>
      <c r="E251" s="968">
        <v>1485.8</v>
      </c>
      <c r="F251" s="968">
        <v>81571.8</v>
      </c>
      <c r="G251" s="968">
        <v>3954</v>
      </c>
      <c r="H251" s="968">
        <v>34791.699999999997</v>
      </c>
      <c r="I251" s="968">
        <v>24125.4</v>
      </c>
      <c r="J251" s="10">
        <v>27258.3</v>
      </c>
      <c r="K251" s="993">
        <v>9898.7000000000007</v>
      </c>
      <c r="L251" s="270">
        <f t="shared" si="28"/>
        <v>186579.4</v>
      </c>
      <c r="M251" s="995">
        <f>(P291*EF_CH4_DieselAvBio_Trans_kg_l+'II. Transport '!Q291*EF_CH4_PetrolAvBio_Trans_kg_l)*0.001</f>
        <v>218.19072754299998</v>
      </c>
      <c r="N251" s="996">
        <f>(P291*EF_N2O_DieselAvBio_Trans_kg_l+'II. Transport '!Q291*EF_N2O_PetrolAvBio_Trans_kg_l)*0.001</f>
        <v>1698.5992622979998</v>
      </c>
      <c r="O251" s="268">
        <f t="shared" si="25"/>
        <v>188496.18998984099</v>
      </c>
      <c r="P251" s="283">
        <v>13.502663511385697</v>
      </c>
      <c r="Q251" s="16">
        <v>245.46749562605791</v>
      </c>
      <c r="R251" s="16">
        <v>1289.933640766887</v>
      </c>
      <c r="S251" s="16">
        <v>447.30499759393894</v>
      </c>
      <c r="T251" s="968">
        <v>285.03888522300906</v>
      </c>
      <c r="U251" s="993">
        <v>681.92353236402801</v>
      </c>
      <c r="V251" s="968">
        <v>762.15901265133721</v>
      </c>
      <c r="W251" s="16">
        <v>9.0538090596574623</v>
      </c>
      <c r="X251" s="283">
        <f t="shared" si="26"/>
        <v>3734.3840367963012</v>
      </c>
      <c r="Y251" s="968">
        <f t="shared" si="23"/>
        <v>18.939586793253508</v>
      </c>
      <c r="Z251" s="968">
        <f t="shared" si="24"/>
        <v>25.703724933701189</v>
      </c>
      <c r="AA251" s="268">
        <f t="shared" si="27"/>
        <v>3779.027348523256</v>
      </c>
      <c r="AB251" s="139"/>
      <c r="AC251" s="139"/>
      <c r="AD251" s="139"/>
      <c r="AE251" s="139"/>
      <c r="AF251" s="139"/>
      <c r="AG251" s="139"/>
      <c r="AH251" s="139"/>
      <c r="AI251" s="139"/>
      <c r="AJ251" s="139"/>
      <c r="AK251" s="139"/>
      <c r="AL251" s="139"/>
      <c r="AM251" s="139"/>
      <c r="AN251" s="139"/>
      <c r="AO251" s="139"/>
      <c r="AP251" s="139"/>
      <c r="AQ251" s="139"/>
      <c r="AR251" s="139"/>
      <c r="AS251" s="139"/>
      <c r="AT251" s="139"/>
      <c r="AU251" s="139"/>
      <c r="AV251" s="139"/>
      <c r="AW251" s="139"/>
      <c r="AX251" s="139"/>
      <c r="AY251" s="139"/>
      <c r="AZ251" s="139"/>
      <c r="BA251" s="139"/>
      <c r="BB251" s="139"/>
      <c r="BC251" s="139"/>
      <c r="BD251" s="139"/>
      <c r="BE251" s="139"/>
      <c r="BF251" s="139"/>
      <c r="BG251" s="139"/>
      <c r="BH251" s="139"/>
      <c r="BI251" s="139"/>
      <c r="BJ251" s="139"/>
      <c r="BK251" s="139"/>
      <c r="BL251" s="139"/>
      <c r="BM251" s="139"/>
      <c r="BN251" s="139"/>
      <c r="BO251" s="139"/>
      <c r="BP251" s="139"/>
      <c r="BQ251" s="139"/>
      <c r="BR251" s="139"/>
      <c r="BS251" s="139"/>
      <c r="BT251" s="139"/>
      <c r="BU251" s="139"/>
      <c r="BV251" s="139"/>
      <c r="BW251" s="139"/>
      <c r="BX251" s="139"/>
      <c r="BY251" s="139"/>
      <c r="BZ251" s="139"/>
      <c r="CA251" s="139"/>
      <c r="CB251" s="139"/>
      <c r="CC251" s="139"/>
      <c r="CD251" s="139"/>
      <c r="CE251" s="139"/>
      <c r="CF251" s="139"/>
      <c r="CG251" s="139"/>
      <c r="CH251" s="139"/>
      <c r="CI251" s="139"/>
      <c r="CJ251" s="139"/>
      <c r="CK251" s="139"/>
      <c r="CL251" s="139"/>
      <c r="CM251" s="139"/>
      <c r="CN251" s="139"/>
      <c r="CO251" s="139"/>
      <c r="CP251" s="139"/>
      <c r="CQ251" s="139"/>
      <c r="CR251" s="139"/>
      <c r="CS251" s="139"/>
      <c r="CT251" s="139"/>
      <c r="CU251" s="139"/>
      <c r="CV251" s="139"/>
      <c r="CW251" s="139"/>
      <c r="CX251" s="139"/>
      <c r="CY251" s="139"/>
      <c r="CZ251" s="139"/>
      <c r="DA251" s="139"/>
      <c r="DB251" s="139"/>
      <c r="DC251" s="139"/>
      <c r="DD251" s="139"/>
      <c r="DE251" s="139"/>
      <c r="DF251" s="139"/>
      <c r="DG251" s="139"/>
      <c r="DH251" s="139"/>
      <c r="DI251" s="139"/>
      <c r="DJ251" s="139"/>
      <c r="DK251" s="139"/>
      <c r="DL251" s="139"/>
      <c r="DM251" s="139"/>
      <c r="DN251" s="139"/>
      <c r="DO251" s="139"/>
      <c r="DP251" s="139"/>
      <c r="DQ251" s="139"/>
      <c r="DR251" s="139"/>
      <c r="DS251" s="139"/>
      <c r="DT251" s="139"/>
      <c r="DU251" s="139"/>
      <c r="DV251" s="139"/>
      <c r="DW251" s="139"/>
      <c r="DX251" s="139"/>
      <c r="DY251" s="139"/>
      <c r="DZ251" s="139"/>
      <c r="EA251" s="139"/>
      <c r="EB251" s="139"/>
      <c r="EC251" s="139"/>
      <c r="ED251" s="139"/>
      <c r="EE251" s="139"/>
      <c r="EF251" s="139"/>
      <c r="EG251" s="139"/>
      <c r="EH251" s="139"/>
      <c r="EI251" s="139"/>
      <c r="EJ251" s="139"/>
      <c r="EK251" s="139"/>
      <c r="EL251" s="139"/>
      <c r="EM251" s="139"/>
      <c r="EN251" s="139"/>
      <c r="EO251" s="139"/>
      <c r="EP251" s="139"/>
      <c r="EQ251" s="139"/>
      <c r="ER251" s="139"/>
      <c r="ES251" s="139"/>
      <c r="ET251" s="139"/>
      <c r="EU251" s="139"/>
      <c r="EV251" s="139"/>
      <c r="EW251" s="139"/>
      <c r="EX251" s="139"/>
      <c r="EY251" s="139"/>
      <c r="EZ251" s="139"/>
      <c r="FA251" s="139"/>
      <c r="FB251" s="139"/>
      <c r="FC251" s="139"/>
      <c r="FD251" s="139"/>
      <c r="FE251" s="139"/>
      <c r="FF251" s="139"/>
      <c r="FG251" s="139"/>
      <c r="FH251" s="139"/>
      <c r="FI251" s="139"/>
      <c r="FJ251" s="139"/>
      <c r="FK251" s="139"/>
      <c r="FL251" s="139"/>
      <c r="FM251" s="139"/>
      <c r="FN251" s="139"/>
      <c r="FO251" s="139"/>
      <c r="FP251" s="139"/>
      <c r="FQ251" s="139"/>
      <c r="FR251" s="139"/>
      <c r="FS251" s="139"/>
      <c r="FT251" s="139"/>
      <c r="FU251" s="139"/>
      <c r="FV251" s="139"/>
      <c r="FW251" s="139"/>
      <c r="FX251" s="139"/>
      <c r="FY251" s="139"/>
      <c r="FZ251" s="139"/>
      <c r="GA251" s="139"/>
      <c r="GB251" s="139"/>
      <c r="GC251" s="139"/>
      <c r="GD251" s="139"/>
      <c r="GE251" s="139"/>
      <c r="GF251" s="139"/>
      <c r="GG251" s="139"/>
      <c r="GH251" s="139"/>
      <c r="GI251" s="139"/>
      <c r="GJ251" s="139"/>
      <c r="GK251" s="139"/>
      <c r="GL251" s="139"/>
      <c r="GM251" s="139"/>
      <c r="GN251" s="139"/>
      <c r="GO251" s="139"/>
      <c r="GP251" s="139"/>
      <c r="GQ251" s="139"/>
      <c r="GR251" s="139"/>
      <c r="GS251" s="139"/>
      <c r="GT251" s="139"/>
      <c r="GU251" s="139"/>
      <c r="GV251" s="139"/>
      <c r="GW251" s="139"/>
      <c r="GX251" s="139"/>
      <c r="GY251" s="139"/>
      <c r="GZ251" s="139"/>
      <c r="HA251" s="139"/>
      <c r="HB251" s="139"/>
      <c r="HC251" s="139"/>
      <c r="HD251" s="139"/>
      <c r="HE251" s="139"/>
      <c r="HF251" s="139"/>
      <c r="HG251" s="139"/>
      <c r="HH251" s="139"/>
      <c r="HI251" s="139"/>
      <c r="HJ251" s="139"/>
      <c r="HK251" s="139"/>
      <c r="HL251" s="139"/>
      <c r="HM251" s="139"/>
      <c r="HN251" s="139"/>
      <c r="HO251" s="139"/>
      <c r="HP251" s="139"/>
      <c r="HQ251" s="139"/>
      <c r="HR251" s="139"/>
      <c r="HS251" s="139"/>
      <c r="HT251" s="139"/>
      <c r="HU251" s="139"/>
      <c r="HV251" s="139"/>
      <c r="HW251" s="139"/>
      <c r="HX251" s="139"/>
      <c r="HY251" s="139"/>
      <c r="HZ251" s="139"/>
      <c r="IA251" s="139"/>
      <c r="IB251" s="139"/>
      <c r="IC251" s="139"/>
      <c r="ID251" s="139"/>
      <c r="IE251" s="139"/>
      <c r="IF251" s="139"/>
      <c r="IG251" s="139"/>
      <c r="IH251" s="139"/>
      <c r="II251" s="139"/>
      <c r="IJ251" s="139"/>
      <c r="IK251" s="139"/>
      <c r="IL251" s="139"/>
      <c r="IM251" s="139"/>
      <c r="IN251" s="139"/>
      <c r="IO251" s="139"/>
      <c r="IP251" s="139"/>
      <c r="IQ251" s="139"/>
      <c r="IR251" s="139"/>
      <c r="IS251" s="139"/>
      <c r="IT251" s="139"/>
      <c r="IU251" s="139"/>
      <c r="IV251" s="139"/>
      <c r="IW251" s="139"/>
    </row>
    <row r="252" spans="2:257" x14ac:dyDescent="0.3">
      <c r="B252" s="5" t="s">
        <v>128</v>
      </c>
      <c r="C252" s="916" t="s">
        <v>232</v>
      </c>
      <c r="D252" s="968">
        <v>2329.8000000000002</v>
      </c>
      <c r="E252" s="968">
        <v>1490</v>
      </c>
      <c r="F252" s="968">
        <v>109909.7</v>
      </c>
      <c r="G252" s="968">
        <v>3842.8</v>
      </c>
      <c r="H252" s="968">
        <v>43166</v>
      </c>
      <c r="I252" s="968">
        <v>18556.099999999999</v>
      </c>
      <c r="J252" s="10">
        <v>18879.099999999999</v>
      </c>
      <c r="K252" s="993">
        <v>10802.8</v>
      </c>
      <c r="L252" s="270">
        <f t="shared" si="28"/>
        <v>208976.3</v>
      </c>
      <c r="M252" s="995">
        <f>(P292*EF_CH4_DieselAvBio_Trans_kg_l+'II. Transport '!Q292*EF_CH4_PetrolAvBio_Trans_kg_l)*0.001</f>
        <v>268.02181768299994</v>
      </c>
      <c r="N252" s="996">
        <f>(P292*EF_N2O_DieselAvBio_Trans_kg_l+'II. Transport '!Q292*EF_N2O_PetrolAvBio_Trans_kg_l)*0.001</f>
        <v>1831.8352213570001</v>
      </c>
      <c r="O252" s="268">
        <f t="shared" si="25"/>
        <v>211076.15703904</v>
      </c>
      <c r="P252" s="283">
        <v>9.1318591377579583</v>
      </c>
      <c r="Q252" s="16">
        <v>230.63798078696379</v>
      </c>
      <c r="R252" s="16">
        <v>1532.7474337375279</v>
      </c>
      <c r="S252" s="16">
        <v>392.6699429235922</v>
      </c>
      <c r="T252" s="968">
        <v>256.55060671632828</v>
      </c>
      <c r="U252" s="993">
        <v>603.40515379492967</v>
      </c>
      <c r="V252" s="968">
        <v>627.52262792798274</v>
      </c>
      <c r="W252" s="16">
        <v>6.7903567947430954</v>
      </c>
      <c r="X252" s="283">
        <f t="shared" si="26"/>
        <v>3659.4559618198259</v>
      </c>
      <c r="Y252" s="968">
        <f t="shared" si="23"/>
        <v>18.559575855630229</v>
      </c>
      <c r="Z252" s="968">
        <f t="shared" si="24"/>
        <v>25.187995804069597</v>
      </c>
      <c r="AA252" s="268">
        <f t="shared" si="27"/>
        <v>3703.2035334795255</v>
      </c>
      <c r="AB252" s="139"/>
      <c r="AC252" s="139"/>
      <c r="AD252" s="139"/>
      <c r="AE252" s="139"/>
      <c r="AF252" s="139"/>
      <c r="AG252" s="139"/>
      <c r="AH252" s="139"/>
      <c r="AI252" s="139"/>
      <c r="AJ252" s="139"/>
      <c r="AK252" s="139"/>
      <c r="AL252" s="139"/>
      <c r="AM252" s="139"/>
      <c r="AN252" s="139"/>
      <c r="AO252" s="139"/>
      <c r="AP252" s="139"/>
      <c r="AQ252" s="139"/>
      <c r="AR252" s="139"/>
      <c r="AS252" s="139"/>
      <c r="AT252" s="139"/>
      <c r="AU252" s="139"/>
      <c r="AV252" s="139"/>
      <c r="AW252" s="139"/>
      <c r="AX252" s="139"/>
      <c r="AY252" s="139"/>
      <c r="AZ252" s="139"/>
      <c r="BA252" s="139"/>
      <c r="BB252" s="139"/>
      <c r="BC252" s="139"/>
      <c r="BD252" s="139"/>
      <c r="BE252" s="139"/>
      <c r="BF252" s="139"/>
      <c r="BG252" s="139"/>
      <c r="BH252" s="139"/>
      <c r="BI252" s="139"/>
      <c r="BJ252" s="139"/>
      <c r="BK252" s="139"/>
      <c r="BL252" s="139"/>
      <c r="BM252" s="139"/>
      <c r="BN252" s="139"/>
      <c r="BO252" s="139"/>
      <c r="BP252" s="139"/>
      <c r="BQ252" s="139"/>
      <c r="BR252" s="139"/>
      <c r="BS252" s="139"/>
      <c r="BT252" s="139"/>
      <c r="BU252" s="139"/>
      <c r="BV252" s="139"/>
      <c r="BW252" s="139"/>
      <c r="BX252" s="139"/>
      <c r="BY252" s="139"/>
      <c r="BZ252" s="139"/>
      <c r="CA252" s="139"/>
      <c r="CB252" s="139"/>
      <c r="CC252" s="139"/>
      <c r="CD252" s="139"/>
      <c r="CE252" s="139"/>
      <c r="CF252" s="139"/>
      <c r="CG252" s="139"/>
      <c r="CH252" s="139"/>
      <c r="CI252" s="139"/>
      <c r="CJ252" s="139"/>
      <c r="CK252" s="139"/>
      <c r="CL252" s="139"/>
      <c r="CM252" s="139"/>
      <c r="CN252" s="139"/>
      <c r="CO252" s="139"/>
      <c r="CP252" s="139"/>
      <c r="CQ252" s="139"/>
      <c r="CR252" s="139"/>
      <c r="CS252" s="139"/>
      <c r="CT252" s="139"/>
      <c r="CU252" s="139"/>
      <c r="CV252" s="139"/>
      <c r="CW252" s="139"/>
      <c r="CX252" s="139"/>
      <c r="CY252" s="139"/>
      <c r="CZ252" s="139"/>
      <c r="DA252" s="139"/>
      <c r="DB252" s="139"/>
      <c r="DC252" s="139"/>
      <c r="DD252" s="139"/>
      <c r="DE252" s="139"/>
      <c r="DF252" s="139"/>
      <c r="DG252" s="139"/>
      <c r="DH252" s="139"/>
      <c r="DI252" s="139"/>
      <c r="DJ252" s="139"/>
      <c r="DK252" s="139"/>
      <c r="DL252" s="139"/>
      <c r="DM252" s="139"/>
      <c r="DN252" s="139"/>
      <c r="DO252" s="139"/>
      <c r="DP252" s="139"/>
      <c r="DQ252" s="139"/>
      <c r="DR252" s="139"/>
      <c r="DS252" s="139"/>
      <c r="DT252" s="139"/>
      <c r="DU252" s="139"/>
      <c r="DV252" s="139"/>
      <c r="DW252" s="139"/>
      <c r="DX252" s="139"/>
      <c r="DY252" s="139"/>
      <c r="DZ252" s="139"/>
      <c r="EA252" s="139"/>
      <c r="EB252" s="139"/>
      <c r="EC252" s="139"/>
      <c r="ED252" s="139"/>
      <c r="EE252" s="139"/>
      <c r="EF252" s="139"/>
      <c r="EG252" s="139"/>
      <c r="EH252" s="139"/>
      <c r="EI252" s="139"/>
      <c r="EJ252" s="139"/>
      <c r="EK252" s="139"/>
      <c r="EL252" s="139"/>
      <c r="EM252" s="139"/>
      <c r="EN252" s="139"/>
      <c r="EO252" s="139"/>
      <c r="EP252" s="139"/>
      <c r="EQ252" s="139"/>
      <c r="ER252" s="139"/>
      <c r="ES252" s="139"/>
      <c r="ET252" s="139"/>
      <c r="EU252" s="139"/>
      <c r="EV252" s="139"/>
      <c r="EW252" s="139"/>
      <c r="EX252" s="139"/>
      <c r="EY252" s="139"/>
      <c r="EZ252" s="139"/>
      <c r="FA252" s="139"/>
      <c r="FB252" s="139"/>
      <c r="FC252" s="139"/>
      <c r="FD252" s="139"/>
      <c r="FE252" s="139"/>
      <c r="FF252" s="139"/>
      <c r="FG252" s="139"/>
      <c r="FH252" s="139"/>
      <c r="FI252" s="139"/>
      <c r="FJ252" s="139"/>
      <c r="FK252" s="139"/>
      <c r="FL252" s="139"/>
      <c r="FM252" s="139"/>
      <c r="FN252" s="139"/>
      <c r="FO252" s="139"/>
      <c r="FP252" s="139"/>
      <c r="FQ252" s="139"/>
      <c r="FR252" s="139"/>
      <c r="FS252" s="139"/>
      <c r="FT252" s="139"/>
      <c r="FU252" s="139"/>
      <c r="FV252" s="139"/>
      <c r="FW252" s="139"/>
      <c r="FX252" s="139"/>
      <c r="FY252" s="139"/>
      <c r="FZ252" s="139"/>
      <c r="GA252" s="139"/>
      <c r="GB252" s="139"/>
      <c r="GC252" s="139"/>
      <c r="GD252" s="139"/>
      <c r="GE252" s="139"/>
      <c r="GF252" s="139"/>
      <c r="GG252" s="139"/>
      <c r="GH252" s="139"/>
      <c r="GI252" s="139"/>
      <c r="GJ252" s="139"/>
      <c r="GK252" s="139"/>
      <c r="GL252" s="139"/>
      <c r="GM252" s="139"/>
      <c r="GN252" s="139"/>
      <c r="GO252" s="139"/>
      <c r="GP252" s="139"/>
      <c r="GQ252" s="139"/>
      <c r="GR252" s="139"/>
      <c r="GS252" s="139"/>
      <c r="GT252" s="139"/>
      <c r="GU252" s="139"/>
      <c r="GV252" s="139"/>
      <c r="GW252" s="139"/>
      <c r="GX252" s="139"/>
      <c r="GY252" s="139"/>
      <c r="GZ252" s="139"/>
      <c r="HA252" s="139"/>
      <c r="HB252" s="139"/>
      <c r="HC252" s="139"/>
      <c r="HD252" s="139"/>
      <c r="HE252" s="139"/>
      <c r="HF252" s="139"/>
      <c r="HG252" s="139"/>
      <c r="HH252" s="139"/>
      <c r="HI252" s="139"/>
      <c r="HJ252" s="139"/>
      <c r="HK252" s="139"/>
      <c r="HL252" s="139"/>
      <c r="HM252" s="139"/>
      <c r="HN252" s="139"/>
      <c r="HO252" s="139"/>
      <c r="HP252" s="139"/>
      <c r="HQ252" s="139"/>
      <c r="HR252" s="139"/>
      <c r="HS252" s="139"/>
      <c r="HT252" s="139"/>
      <c r="HU252" s="139"/>
      <c r="HV252" s="139"/>
      <c r="HW252" s="139"/>
      <c r="HX252" s="139"/>
      <c r="HY252" s="139"/>
      <c r="HZ252" s="139"/>
      <c r="IA252" s="139"/>
      <c r="IB252" s="139"/>
      <c r="IC252" s="139"/>
      <c r="ID252" s="139"/>
      <c r="IE252" s="139"/>
      <c r="IF252" s="139"/>
      <c r="IG252" s="139"/>
      <c r="IH252" s="139"/>
      <c r="II252" s="139"/>
      <c r="IJ252" s="139"/>
      <c r="IK252" s="139"/>
      <c r="IL252" s="139"/>
      <c r="IM252" s="139"/>
      <c r="IN252" s="139"/>
      <c r="IO252" s="139"/>
      <c r="IP252" s="139"/>
      <c r="IQ252" s="139"/>
      <c r="IR252" s="139"/>
      <c r="IS252" s="139"/>
      <c r="IT252" s="139"/>
      <c r="IU252" s="139"/>
      <c r="IV252" s="139"/>
      <c r="IW252" s="139"/>
    </row>
    <row r="253" spans="2:257" x14ac:dyDescent="0.3">
      <c r="B253" s="5" t="s">
        <v>129</v>
      </c>
      <c r="C253" s="916" t="s">
        <v>234</v>
      </c>
      <c r="D253" s="968">
        <v>1760.9</v>
      </c>
      <c r="E253" s="968">
        <v>792.2</v>
      </c>
      <c r="F253" s="968">
        <v>85344.5</v>
      </c>
      <c r="G253" s="968">
        <v>2240.1</v>
      </c>
      <c r="H253" s="968">
        <v>31680.7</v>
      </c>
      <c r="I253" s="968">
        <v>21918</v>
      </c>
      <c r="J253" s="10">
        <v>10597</v>
      </c>
      <c r="K253" s="993">
        <v>5375.9</v>
      </c>
      <c r="L253" s="270">
        <f t="shared" si="28"/>
        <v>159709.30000000002</v>
      </c>
      <c r="M253" s="995">
        <f>(P293*EF_CH4_DieselAvBio_Trans_kg_l+'II. Transport '!Q293*EF_CH4_PetrolAvBio_Trans_kg_l)*0.001</f>
        <v>207.10282046599997</v>
      </c>
      <c r="N253" s="996">
        <f>(P293*EF_N2O_DieselAvBio_Trans_kg_l+'II. Transport '!Q293*EF_N2O_PetrolAvBio_Trans_kg_l)*0.001</f>
        <v>1391.2123615339999</v>
      </c>
      <c r="O253" s="268">
        <f t="shared" si="25"/>
        <v>161307.61518200004</v>
      </c>
      <c r="P253" s="283">
        <v>6.4781564823411149</v>
      </c>
      <c r="Q253" s="16">
        <v>116.45071652593909</v>
      </c>
      <c r="R253" s="16">
        <v>1234.3619851593342</v>
      </c>
      <c r="S253" s="16">
        <v>273.79967397653775</v>
      </c>
      <c r="T253" s="968">
        <v>176.31512642901905</v>
      </c>
      <c r="U253" s="993">
        <v>709.47520993350281</v>
      </c>
      <c r="V253" s="968">
        <v>279.49732967787395</v>
      </c>
      <c r="W253" s="16">
        <v>2.6537026554168421</v>
      </c>
      <c r="X253" s="283">
        <f t="shared" si="26"/>
        <v>2799.0319008399647</v>
      </c>
      <c r="Y253" s="968">
        <f t="shared" si="23"/>
        <v>14.195783588589586</v>
      </c>
      <c r="Z253" s="968">
        <f t="shared" si="24"/>
        <v>19.265706298800154</v>
      </c>
      <c r="AA253" s="268">
        <f t="shared" si="27"/>
        <v>2832.4933907273544</v>
      </c>
      <c r="AB253" s="139"/>
      <c r="AC253" s="139"/>
      <c r="AD253" s="139"/>
      <c r="AE253" s="139"/>
      <c r="AF253" s="139"/>
      <c r="AG253" s="139"/>
      <c r="AH253" s="139"/>
      <c r="AI253" s="139"/>
      <c r="AJ253" s="139"/>
      <c r="AK253" s="139"/>
      <c r="AL253" s="139"/>
      <c r="AM253" s="139"/>
      <c r="AN253" s="139"/>
      <c r="AO253" s="139"/>
      <c r="AP253" s="139"/>
      <c r="AQ253" s="139"/>
      <c r="AR253" s="139"/>
      <c r="AS253" s="139"/>
      <c r="AT253" s="139"/>
      <c r="AU253" s="139"/>
      <c r="AV253" s="139"/>
      <c r="AW253" s="139"/>
      <c r="AX253" s="139"/>
      <c r="AY253" s="139"/>
      <c r="AZ253" s="139"/>
      <c r="BA253" s="139"/>
      <c r="BB253" s="139"/>
      <c r="BC253" s="139"/>
      <c r="BD253" s="139"/>
      <c r="BE253" s="139"/>
      <c r="BF253" s="139"/>
      <c r="BG253" s="139"/>
      <c r="BH253" s="139"/>
      <c r="BI253" s="139"/>
      <c r="BJ253" s="139"/>
      <c r="BK253" s="139"/>
      <c r="BL253" s="139"/>
      <c r="BM253" s="139"/>
      <c r="BN253" s="139"/>
      <c r="BO253" s="139"/>
      <c r="BP253" s="139"/>
      <c r="BQ253" s="139"/>
      <c r="BR253" s="139"/>
      <c r="BS253" s="139"/>
      <c r="BT253" s="139"/>
      <c r="BU253" s="139"/>
      <c r="BV253" s="139"/>
      <c r="BW253" s="139"/>
      <c r="BX253" s="139"/>
      <c r="BY253" s="139"/>
      <c r="BZ253" s="139"/>
      <c r="CA253" s="139"/>
      <c r="CB253" s="139"/>
      <c r="CC253" s="139"/>
      <c r="CD253" s="139"/>
      <c r="CE253" s="139"/>
      <c r="CF253" s="139"/>
      <c r="CG253" s="139"/>
      <c r="CH253" s="139"/>
      <c r="CI253" s="139"/>
      <c r="CJ253" s="139"/>
      <c r="CK253" s="139"/>
      <c r="CL253" s="139"/>
      <c r="CM253" s="139"/>
      <c r="CN253" s="139"/>
      <c r="CO253" s="139"/>
      <c r="CP253" s="139"/>
      <c r="CQ253" s="139"/>
      <c r="CR253" s="139"/>
      <c r="CS253" s="139"/>
      <c r="CT253" s="139"/>
      <c r="CU253" s="139"/>
      <c r="CV253" s="139"/>
      <c r="CW253" s="139"/>
      <c r="CX253" s="139"/>
      <c r="CY253" s="139"/>
      <c r="CZ253" s="139"/>
      <c r="DA253" s="139"/>
      <c r="DB253" s="139"/>
      <c r="DC253" s="139"/>
      <c r="DD253" s="139"/>
      <c r="DE253" s="139"/>
      <c r="DF253" s="139"/>
      <c r="DG253" s="139"/>
      <c r="DH253" s="139"/>
      <c r="DI253" s="139"/>
      <c r="DJ253" s="139"/>
      <c r="DK253" s="139"/>
      <c r="DL253" s="139"/>
      <c r="DM253" s="139"/>
      <c r="DN253" s="139"/>
      <c r="DO253" s="139"/>
      <c r="DP253" s="139"/>
      <c r="DQ253" s="139"/>
      <c r="DR253" s="139"/>
      <c r="DS253" s="139"/>
      <c r="DT253" s="139"/>
      <c r="DU253" s="139"/>
      <c r="DV253" s="139"/>
      <c r="DW253" s="139"/>
      <c r="DX253" s="139"/>
      <c r="DY253" s="139"/>
      <c r="DZ253" s="139"/>
      <c r="EA253" s="139"/>
      <c r="EB253" s="139"/>
      <c r="EC253" s="139"/>
      <c r="ED253" s="139"/>
      <c r="EE253" s="139"/>
      <c r="EF253" s="139"/>
      <c r="EG253" s="139"/>
      <c r="EH253" s="139"/>
      <c r="EI253" s="139"/>
      <c r="EJ253" s="139"/>
      <c r="EK253" s="139"/>
      <c r="EL253" s="139"/>
      <c r="EM253" s="139"/>
      <c r="EN253" s="139"/>
      <c r="EO253" s="139"/>
      <c r="EP253" s="139"/>
      <c r="EQ253" s="139"/>
      <c r="ER253" s="139"/>
      <c r="ES253" s="139"/>
      <c r="ET253" s="139"/>
      <c r="EU253" s="139"/>
      <c r="EV253" s="139"/>
      <c r="EW253" s="139"/>
      <c r="EX253" s="139"/>
      <c r="EY253" s="139"/>
      <c r="EZ253" s="139"/>
      <c r="FA253" s="139"/>
      <c r="FB253" s="139"/>
      <c r="FC253" s="139"/>
      <c r="FD253" s="139"/>
      <c r="FE253" s="139"/>
      <c r="FF253" s="139"/>
      <c r="FG253" s="139"/>
      <c r="FH253" s="139"/>
      <c r="FI253" s="139"/>
      <c r="FJ253" s="139"/>
      <c r="FK253" s="139"/>
      <c r="FL253" s="139"/>
      <c r="FM253" s="139"/>
      <c r="FN253" s="139"/>
      <c r="FO253" s="139"/>
      <c r="FP253" s="139"/>
      <c r="FQ253" s="139"/>
      <c r="FR253" s="139"/>
      <c r="FS253" s="139"/>
      <c r="FT253" s="139"/>
      <c r="FU253" s="139"/>
      <c r="FV253" s="139"/>
      <c r="FW253" s="139"/>
      <c r="FX253" s="139"/>
      <c r="FY253" s="139"/>
      <c r="FZ253" s="139"/>
      <c r="GA253" s="139"/>
      <c r="GB253" s="139"/>
      <c r="GC253" s="139"/>
      <c r="GD253" s="139"/>
      <c r="GE253" s="139"/>
      <c r="GF253" s="139"/>
      <c r="GG253" s="139"/>
      <c r="GH253" s="139"/>
      <c r="GI253" s="139"/>
      <c r="GJ253" s="139"/>
      <c r="GK253" s="139"/>
      <c r="GL253" s="139"/>
      <c r="GM253" s="139"/>
      <c r="GN253" s="139"/>
      <c r="GO253" s="139"/>
      <c r="GP253" s="139"/>
      <c r="GQ253" s="139"/>
      <c r="GR253" s="139"/>
      <c r="GS253" s="139"/>
      <c r="GT253" s="139"/>
      <c r="GU253" s="139"/>
      <c r="GV253" s="139"/>
      <c r="GW253" s="139"/>
      <c r="GX253" s="139"/>
      <c r="GY253" s="139"/>
      <c r="GZ253" s="139"/>
      <c r="HA253" s="139"/>
      <c r="HB253" s="139"/>
      <c r="HC253" s="139"/>
      <c r="HD253" s="139"/>
      <c r="HE253" s="139"/>
      <c r="HF253" s="139"/>
      <c r="HG253" s="139"/>
      <c r="HH253" s="139"/>
      <c r="HI253" s="139"/>
      <c r="HJ253" s="139"/>
      <c r="HK253" s="139"/>
      <c r="HL253" s="139"/>
      <c r="HM253" s="139"/>
      <c r="HN253" s="139"/>
      <c r="HO253" s="139"/>
      <c r="HP253" s="139"/>
      <c r="HQ253" s="139"/>
      <c r="HR253" s="139"/>
      <c r="HS253" s="139"/>
      <c r="HT253" s="139"/>
      <c r="HU253" s="139"/>
      <c r="HV253" s="139"/>
      <c r="HW253" s="139"/>
      <c r="HX253" s="139"/>
      <c r="HY253" s="139"/>
      <c r="HZ253" s="139"/>
      <c r="IA253" s="139"/>
      <c r="IB253" s="139"/>
      <c r="IC253" s="139"/>
      <c r="ID253" s="139"/>
      <c r="IE253" s="139"/>
      <c r="IF253" s="139"/>
      <c r="IG253" s="139"/>
      <c r="IH253" s="139"/>
      <c r="II253" s="139"/>
      <c r="IJ253" s="139"/>
      <c r="IK253" s="139"/>
      <c r="IL253" s="139"/>
      <c r="IM253" s="139"/>
      <c r="IN253" s="139"/>
      <c r="IO253" s="139"/>
      <c r="IP253" s="139"/>
      <c r="IQ253" s="139"/>
      <c r="IR253" s="139"/>
      <c r="IS253" s="139"/>
      <c r="IT253" s="139"/>
      <c r="IU253" s="139"/>
      <c r="IV253" s="139"/>
      <c r="IW253" s="139"/>
    </row>
    <row r="254" spans="2:257" x14ac:dyDescent="0.3">
      <c r="B254" s="5" t="s">
        <v>130</v>
      </c>
      <c r="C254" s="916" t="s">
        <v>235</v>
      </c>
      <c r="D254" s="968">
        <v>4273.1000000000004</v>
      </c>
      <c r="E254" s="968">
        <v>3091.1</v>
      </c>
      <c r="F254" s="968">
        <v>63355.7</v>
      </c>
      <c r="G254" s="968">
        <v>7305.9</v>
      </c>
      <c r="H254" s="968">
        <v>39245.300000000003</v>
      </c>
      <c r="I254" s="968">
        <v>42825.5</v>
      </c>
      <c r="J254" s="10">
        <v>15115.4</v>
      </c>
      <c r="K254" s="993">
        <v>3447.4</v>
      </c>
      <c r="L254" s="270">
        <f t="shared" si="28"/>
        <v>178659.39999999997</v>
      </c>
      <c r="M254" s="995">
        <f>(P294*EF_CH4_DieselAvBio_Trans_kg_l+'II. Transport '!Q294*EF_CH4_PetrolAvBio_Trans_kg_l)*0.001</f>
        <v>181.44856060999999</v>
      </c>
      <c r="N254" s="996">
        <f>(P294*EF_N2O_DieselAvBio_Trans_kg_l+'II. Transport '!Q294*EF_N2O_PetrolAvBio_Trans_kg_l)*0.001</f>
        <v>1709.7344283979999</v>
      </c>
      <c r="O254" s="268">
        <f t="shared" si="25"/>
        <v>180550.58298900796</v>
      </c>
      <c r="P254" s="283">
        <v>14.751464760993624</v>
      </c>
      <c r="Q254" s="16">
        <v>394.69924495420503</v>
      </c>
      <c r="R254" s="16">
        <v>995.21654585941621</v>
      </c>
      <c r="S254" s="16">
        <v>829.12597966156216</v>
      </c>
      <c r="T254" s="968">
        <v>312.12226232388093</v>
      </c>
      <c r="U254" s="993">
        <v>1168.9560197111191</v>
      </c>
      <c r="V254" s="968">
        <v>315.55646576030279</v>
      </c>
      <c r="W254" s="16">
        <v>3.9025039050247678</v>
      </c>
      <c r="X254" s="283">
        <f t="shared" si="26"/>
        <v>4034.3304869365047</v>
      </c>
      <c r="Y254" s="968">
        <f t="shared" si="23"/>
        <v>20.460818077926689</v>
      </c>
      <c r="Z254" s="968">
        <f t="shared" si="24"/>
        <v>27.768253105757651</v>
      </c>
      <c r="AA254" s="268">
        <f t="shared" si="27"/>
        <v>4082.5595581201892</v>
      </c>
      <c r="AB254" s="139"/>
      <c r="AC254" s="139"/>
      <c r="AD254" s="139"/>
      <c r="AE254" s="139"/>
      <c r="AF254" s="139"/>
      <c r="AG254" s="139"/>
      <c r="AH254" s="139"/>
      <c r="AI254" s="139"/>
      <c r="AJ254" s="139"/>
      <c r="AK254" s="139"/>
      <c r="AL254" s="139"/>
      <c r="AM254" s="139"/>
      <c r="AN254" s="139"/>
      <c r="AO254" s="139"/>
      <c r="AP254" s="139"/>
      <c r="AQ254" s="139"/>
      <c r="AR254" s="139"/>
      <c r="AS254" s="139"/>
      <c r="AT254" s="139"/>
      <c r="AU254" s="139"/>
      <c r="AV254" s="139"/>
      <c r="AW254" s="139"/>
      <c r="AX254" s="139"/>
      <c r="AY254" s="139"/>
      <c r="AZ254" s="139"/>
      <c r="BA254" s="139"/>
      <c r="BB254" s="139"/>
      <c r="BC254" s="139"/>
      <c r="BD254" s="139"/>
      <c r="BE254" s="139"/>
      <c r="BF254" s="139"/>
      <c r="BG254" s="139"/>
      <c r="BH254" s="139"/>
      <c r="BI254" s="139"/>
      <c r="BJ254" s="139"/>
      <c r="BK254" s="139"/>
      <c r="BL254" s="139"/>
      <c r="BM254" s="139"/>
      <c r="BN254" s="139"/>
      <c r="BO254" s="139"/>
      <c r="BP254" s="139"/>
      <c r="BQ254" s="139"/>
      <c r="BR254" s="139"/>
      <c r="BS254" s="139"/>
      <c r="BT254" s="139"/>
      <c r="BU254" s="139"/>
      <c r="BV254" s="139"/>
      <c r="BW254" s="139"/>
      <c r="BX254" s="139"/>
      <c r="BY254" s="139"/>
      <c r="BZ254" s="139"/>
      <c r="CA254" s="139"/>
      <c r="CB254" s="139"/>
      <c r="CC254" s="139"/>
      <c r="CD254" s="139"/>
      <c r="CE254" s="139"/>
      <c r="CF254" s="139"/>
      <c r="CG254" s="139"/>
      <c r="CH254" s="139"/>
      <c r="CI254" s="139"/>
      <c r="CJ254" s="139"/>
      <c r="CK254" s="139"/>
      <c r="CL254" s="139"/>
      <c r="CM254" s="139"/>
      <c r="CN254" s="139"/>
      <c r="CO254" s="139"/>
      <c r="CP254" s="139"/>
      <c r="CQ254" s="139"/>
      <c r="CR254" s="139"/>
      <c r="CS254" s="139"/>
      <c r="CT254" s="139"/>
      <c r="CU254" s="139"/>
      <c r="CV254" s="139"/>
      <c r="CW254" s="139"/>
      <c r="CX254" s="139"/>
      <c r="CY254" s="139"/>
      <c r="CZ254" s="139"/>
      <c r="DA254" s="139"/>
      <c r="DB254" s="139"/>
      <c r="DC254" s="139"/>
      <c r="DD254" s="139"/>
      <c r="DE254" s="139"/>
      <c r="DF254" s="139"/>
      <c r="DG254" s="139"/>
      <c r="DH254" s="139"/>
      <c r="DI254" s="139"/>
      <c r="DJ254" s="139"/>
      <c r="DK254" s="139"/>
      <c r="DL254" s="139"/>
      <c r="DM254" s="139"/>
      <c r="DN254" s="139"/>
      <c r="DO254" s="139"/>
      <c r="DP254" s="139"/>
      <c r="DQ254" s="139"/>
      <c r="DR254" s="139"/>
      <c r="DS254" s="139"/>
      <c r="DT254" s="139"/>
      <c r="DU254" s="139"/>
      <c r="DV254" s="139"/>
      <c r="DW254" s="139"/>
      <c r="DX254" s="139"/>
      <c r="DY254" s="139"/>
      <c r="DZ254" s="139"/>
      <c r="EA254" s="139"/>
      <c r="EB254" s="139"/>
      <c r="EC254" s="139"/>
      <c r="ED254" s="139"/>
      <c r="EE254" s="139"/>
      <c r="EF254" s="139"/>
      <c r="EG254" s="139"/>
      <c r="EH254" s="139"/>
      <c r="EI254" s="139"/>
      <c r="EJ254" s="139"/>
      <c r="EK254" s="139"/>
      <c r="EL254" s="139"/>
      <c r="EM254" s="139"/>
      <c r="EN254" s="139"/>
      <c r="EO254" s="139"/>
      <c r="EP254" s="139"/>
      <c r="EQ254" s="139"/>
      <c r="ER254" s="139"/>
      <c r="ES254" s="139"/>
      <c r="ET254" s="139"/>
      <c r="EU254" s="139"/>
      <c r="EV254" s="139"/>
      <c r="EW254" s="139"/>
      <c r="EX254" s="139"/>
      <c r="EY254" s="139"/>
      <c r="EZ254" s="139"/>
      <c r="FA254" s="139"/>
      <c r="FB254" s="139"/>
      <c r="FC254" s="139"/>
      <c r="FD254" s="139"/>
      <c r="FE254" s="139"/>
      <c r="FF254" s="139"/>
      <c r="FG254" s="139"/>
      <c r="FH254" s="139"/>
      <c r="FI254" s="139"/>
      <c r="FJ254" s="139"/>
      <c r="FK254" s="139"/>
      <c r="FL254" s="139"/>
      <c r="FM254" s="139"/>
      <c r="FN254" s="139"/>
      <c r="FO254" s="139"/>
      <c r="FP254" s="139"/>
      <c r="FQ254" s="139"/>
      <c r="FR254" s="139"/>
      <c r="FS254" s="139"/>
      <c r="FT254" s="139"/>
      <c r="FU254" s="139"/>
      <c r="FV254" s="139"/>
      <c r="FW254" s="139"/>
      <c r="FX254" s="139"/>
      <c r="FY254" s="139"/>
      <c r="FZ254" s="139"/>
      <c r="GA254" s="139"/>
      <c r="GB254" s="139"/>
      <c r="GC254" s="139"/>
      <c r="GD254" s="139"/>
      <c r="GE254" s="139"/>
      <c r="GF254" s="139"/>
      <c r="GG254" s="139"/>
      <c r="GH254" s="139"/>
      <c r="GI254" s="139"/>
      <c r="GJ254" s="139"/>
      <c r="GK254" s="139"/>
      <c r="GL254" s="139"/>
      <c r="GM254" s="139"/>
      <c r="GN254" s="139"/>
      <c r="GO254" s="139"/>
      <c r="GP254" s="139"/>
      <c r="GQ254" s="139"/>
      <c r="GR254" s="139"/>
      <c r="GS254" s="139"/>
      <c r="GT254" s="139"/>
      <c r="GU254" s="139"/>
      <c r="GV254" s="139"/>
      <c r="GW254" s="139"/>
      <c r="GX254" s="139"/>
      <c r="GY254" s="139"/>
      <c r="GZ254" s="139"/>
      <c r="HA254" s="139"/>
      <c r="HB254" s="139"/>
      <c r="HC254" s="139"/>
      <c r="HD254" s="139"/>
      <c r="HE254" s="139"/>
      <c r="HF254" s="139"/>
      <c r="HG254" s="139"/>
      <c r="HH254" s="139"/>
      <c r="HI254" s="139"/>
      <c r="HJ254" s="139"/>
      <c r="HK254" s="139"/>
      <c r="HL254" s="139"/>
      <c r="HM254" s="139"/>
      <c r="HN254" s="139"/>
      <c r="HO254" s="139"/>
      <c r="HP254" s="139"/>
      <c r="HQ254" s="139"/>
      <c r="HR254" s="139"/>
      <c r="HS254" s="139"/>
      <c r="HT254" s="139"/>
      <c r="HU254" s="139"/>
      <c r="HV254" s="139"/>
      <c r="HW254" s="139"/>
      <c r="HX254" s="139"/>
      <c r="HY254" s="139"/>
      <c r="HZ254" s="139"/>
      <c r="IA254" s="139"/>
      <c r="IB254" s="139"/>
      <c r="IC254" s="139"/>
      <c r="ID254" s="139"/>
      <c r="IE254" s="139"/>
      <c r="IF254" s="139"/>
      <c r="IG254" s="139"/>
      <c r="IH254" s="139"/>
      <c r="II254" s="139"/>
      <c r="IJ254" s="139"/>
      <c r="IK254" s="139"/>
      <c r="IL254" s="139"/>
      <c r="IM254" s="139"/>
      <c r="IN254" s="139"/>
      <c r="IO254" s="139"/>
      <c r="IP254" s="139"/>
      <c r="IQ254" s="139"/>
      <c r="IR254" s="139"/>
      <c r="IS254" s="139"/>
      <c r="IT254" s="139"/>
      <c r="IU254" s="139"/>
      <c r="IV254" s="139"/>
      <c r="IW254" s="139"/>
    </row>
    <row r="255" spans="2:257" x14ac:dyDescent="0.3">
      <c r="B255" s="5" t="s">
        <v>131</v>
      </c>
      <c r="C255" s="916" t="s">
        <v>236</v>
      </c>
      <c r="D255" s="968">
        <v>1542.3</v>
      </c>
      <c r="E255" s="968">
        <v>689.5</v>
      </c>
      <c r="F255" s="968">
        <v>77343.899999999994</v>
      </c>
      <c r="G255" s="968">
        <v>1331.5</v>
      </c>
      <c r="H255" s="968">
        <v>31721.1</v>
      </c>
      <c r="I255" s="968">
        <v>18959.5</v>
      </c>
      <c r="J255" s="10">
        <v>8278.2000000000007</v>
      </c>
      <c r="K255" s="993">
        <v>3123.6</v>
      </c>
      <c r="L255" s="270">
        <f t="shared" si="28"/>
        <v>142989.6</v>
      </c>
      <c r="M255" s="995">
        <f>(P295*EF_CH4_DieselAvBio_Trans_kg_l+'II. Transport '!Q295*EF_CH4_PetrolAvBio_Trans_kg_l)*0.001</f>
        <v>186.14923904000003</v>
      </c>
      <c r="N255" s="996">
        <f>(P295*EF_N2O_DieselAvBio_Trans_kg_l+'II. Transport '!Q295*EF_N2O_PetrolAvBio_Trans_kg_l)*0.001</f>
        <v>1242.606434714</v>
      </c>
      <c r="O255" s="268">
        <f t="shared" si="25"/>
        <v>144418.35567375401</v>
      </c>
      <c r="P255" s="283">
        <v>5.6196056232356657</v>
      </c>
      <c r="Q255" s="16">
        <v>102.94805301455338</v>
      </c>
      <c r="R255" s="16">
        <v>1083.8033845034786</v>
      </c>
      <c r="S255" s="16">
        <v>162.11001221472887</v>
      </c>
      <c r="T255" s="968">
        <v>167.49546760366306</v>
      </c>
      <c r="U255" s="993">
        <v>621.04447144564165</v>
      </c>
      <c r="V255" s="968">
        <v>219.86707000909541</v>
      </c>
      <c r="W255" s="16">
        <v>1.4049014058089166</v>
      </c>
      <c r="X255" s="283">
        <f t="shared" si="26"/>
        <v>2364.2929658202056</v>
      </c>
      <c r="Y255" s="968">
        <f t="shared" si="23"/>
        <v>11.990928460921191</v>
      </c>
      <c r="Z255" s="968">
        <f t="shared" si="24"/>
        <v>16.273402911250187</v>
      </c>
      <c r="AA255" s="268">
        <f t="shared" si="27"/>
        <v>2392.5572971923771</v>
      </c>
      <c r="AB255" s="139"/>
      <c r="AC255" s="139"/>
      <c r="AD255" s="139"/>
      <c r="AE255" s="139"/>
      <c r="AF255" s="139"/>
      <c r="AG255" s="139"/>
      <c r="AH255" s="139"/>
      <c r="AI255" s="139"/>
      <c r="AJ255" s="139"/>
      <c r="AK255" s="139"/>
      <c r="AL255" s="139"/>
      <c r="AM255" s="139"/>
      <c r="AN255" s="139"/>
      <c r="AO255" s="139"/>
      <c r="AP255" s="139"/>
      <c r="AQ255" s="139"/>
      <c r="AR255" s="139"/>
      <c r="AS255" s="139"/>
      <c r="AT255" s="139"/>
      <c r="AU255" s="139"/>
      <c r="AV255" s="139"/>
      <c r="AW255" s="139"/>
      <c r="AX255" s="139"/>
      <c r="AY255" s="139"/>
      <c r="AZ255" s="139"/>
      <c r="BA255" s="139"/>
      <c r="BB255" s="139"/>
      <c r="BC255" s="139"/>
      <c r="BD255" s="139"/>
      <c r="BE255" s="139"/>
      <c r="BF255" s="139"/>
      <c r="BG255" s="139"/>
      <c r="BH255" s="139"/>
      <c r="BI255" s="139"/>
      <c r="BJ255" s="139"/>
      <c r="BK255" s="139"/>
      <c r="BL255" s="139"/>
      <c r="BM255" s="139"/>
      <c r="BN255" s="139"/>
      <c r="BO255" s="139"/>
      <c r="BP255" s="139"/>
      <c r="BQ255" s="139"/>
      <c r="BR255" s="139"/>
      <c r="BS255" s="139"/>
      <c r="BT255" s="139"/>
      <c r="BU255" s="139"/>
      <c r="BV255" s="139"/>
      <c r="BW255" s="139"/>
      <c r="BX255" s="139"/>
      <c r="BY255" s="139"/>
      <c r="BZ255" s="139"/>
      <c r="CA255" s="139"/>
      <c r="CB255" s="139"/>
      <c r="CC255" s="139"/>
      <c r="CD255" s="139"/>
      <c r="CE255" s="139"/>
      <c r="CF255" s="139"/>
      <c r="CG255" s="139"/>
      <c r="CH255" s="139"/>
      <c r="CI255" s="139"/>
      <c r="CJ255" s="139"/>
      <c r="CK255" s="139"/>
      <c r="CL255" s="139"/>
      <c r="CM255" s="139"/>
      <c r="CN255" s="139"/>
      <c r="CO255" s="139"/>
      <c r="CP255" s="139"/>
      <c r="CQ255" s="139"/>
      <c r="CR255" s="139"/>
      <c r="CS255" s="139"/>
      <c r="CT255" s="139"/>
      <c r="CU255" s="139"/>
      <c r="CV255" s="139"/>
      <c r="CW255" s="139"/>
      <c r="CX255" s="139"/>
      <c r="CY255" s="139"/>
      <c r="CZ255" s="139"/>
      <c r="DA255" s="139"/>
      <c r="DB255" s="139"/>
      <c r="DC255" s="139"/>
      <c r="DD255" s="139"/>
      <c r="DE255" s="139"/>
      <c r="DF255" s="139"/>
      <c r="DG255" s="139"/>
      <c r="DH255" s="139"/>
      <c r="DI255" s="139"/>
      <c r="DJ255" s="139"/>
      <c r="DK255" s="139"/>
      <c r="DL255" s="139"/>
      <c r="DM255" s="139"/>
      <c r="DN255" s="139"/>
      <c r="DO255" s="139"/>
      <c r="DP255" s="139"/>
      <c r="DQ255" s="139"/>
      <c r="DR255" s="139"/>
      <c r="DS255" s="139"/>
      <c r="DT255" s="139"/>
      <c r="DU255" s="139"/>
      <c r="DV255" s="139"/>
      <c r="DW255" s="139"/>
      <c r="DX255" s="139"/>
      <c r="DY255" s="139"/>
      <c r="DZ255" s="139"/>
      <c r="EA255" s="139"/>
      <c r="EB255" s="139"/>
      <c r="EC255" s="139"/>
      <c r="ED255" s="139"/>
      <c r="EE255" s="139"/>
      <c r="EF255" s="139"/>
      <c r="EG255" s="139"/>
      <c r="EH255" s="139"/>
      <c r="EI255" s="139"/>
      <c r="EJ255" s="139"/>
      <c r="EK255" s="139"/>
      <c r="EL255" s="139"/>
      <c r="EM255" s="139"/>
      <c r="EN255" s="139"/>
      <c r="EO255" s="139"/>
      <c r="EP255" s="139"/>
      <c r="EQ255" s="139"/>
      <c r="ER255" s="139"/>
      <c r="ES255" s="139"/>
      <c r="ET255" s="139"/>
      <c r="EU255" s="139"/>
      <c r="EV255" s="139"/>
      <c r="EW255" s="139"/>
      <c r="EX255" s="139"/>
      <c r="EY255" s="139"/>
      <c r="EZ255" s="139"/>
      <c r="FA255" s="139"/>
      <c r="FB255" s="139"/>
      <c r="FC255" s="139"/>
      <c r="FD255" s="139"/>
      <c r="FE255" s="139"/>
      <c r="FF255" s="139"/>
      <c r="FG255" s="139"/>
      <c r="FH255" s="139"/>
      <c r="FI255" s="139"/>
      <c r="FJ255" s="139"/>
      <c r="FK255" s="139"/>
      <c r="FL255" s="139"/>
      <c r="FM255" s="139"/>
      <c r="FN255" s="139"/>
      <c r="FO255" s="139"/>
      <c r="FP255" s="139"/>
      <c r="FQ255" s="139"/>
      <c r="FR255" s="139"/>
      <c r="FS255" s="139"/>
      <c r="FT255" s="139"/>
      <c r="FU255" s="139"/>
      <c r="FV255" s="139"/>
      <c r="FW255" s="139"/>
      <c r="FX255" s="139"/>
      <c r="FY255" s="139"/>
      <c r="FZ255" s="139"/>
      <c r="GA255" s="139"/>
      <c r="GB255" s="139"/>
      <c r="GC255" s="139"/>
      <c r="GD255" s="139"/>
      <c r="GE255" s="139"/>
      <c r="GF255" s="139"/>
      <c r="GG255" s="139"/>
      <c r="GH255" s="139"/>
      <c r="GI255" s="139"/>
      <c r="GJ255" s="139"/>
      <c r="GK255" s="139"/>
      <c r="GL255" s="139"/>
      <c r="GM255" s="139"/>
      <c r="GN255" s="139"/>
      <c r="GO255" s="139"/>
      <c r="GP255" s="139"/>
      <c r="GQ255" s="139"/>
      <c r="GR255" s="139"/>
      <c r="GS255" s="139"/>
      <c r="GT255" s="139"/>
      <c r="GU255" s="139"/>
      <c r="GV255" s="139"/>
      <c r="GW255" s="139"/>
      <c r="GX255" s="139"/>
      <c r="GY255" s="139"/>
      <c r="GZ255" s="139"/>
      <c r="HA255" s="139"/>
      <c r="HB255" s="139"/>
      <c r="HC255" s="139"/>
      <c r="HD255" s="139"/>
      <c r="HE255" s="139"/>
      <c r="HF255" s="139"/>
      <c r="HG255" s="139"/>
      <c r="HH255" s="139"/>
      <c r="HI255" s="139"/>
      <c r="HJ255" s="139"/>
      <c r="HK255" s="139"/>
      <c r="HL255" s="139"/>
      <c r="HM255" s="139"/>
      <c r="HN255" s="139"/>
      <c r="HO255" s="139"/>
      <c r="HP255" s="139"/>
      <c r="HQ255" s="139"/>
      <c r="HR255" s="139"/>
      <c r="HS255" s="139"/>
      <c r="HT255" s="139"/>
      <c r="HU255" s="139"/>
      <c r="HV255" s="139"/>
      <c r="HW255" s="139"/>
      <c r="HX255" s="139"/>
      <c r="HY255" s="139"/>
      <c r="HZ255" s="139"/>
      <c r="IA255" s="139"/>
      <c r="IB255" s="139"/>
      <c r="IC255" s="139"/>
      <c r="ID255" s="139"/>
      <c r="IE255" s="139"/>
      <c r="IF255" s="139"/>
      <c r="IG255" s="139"/>
      <c r="IH255" s="139"/>
      <c r="II255" s="139"/>
      <c r="IJ255" s="139"/>
      <c r="IK255" s="139"/>
      <c r="IL255" s="139"/>
      <c r="IM255" s="139"/>
      <c r="IN255" s="139"/>
      <c r="IO255" s="139"/>
      <c r="IP255" s="139"/>
      <c r="IQ255" s="139"/>
      <c r="IR255" s="139"/>
      <c r="IS255" s="139"/>
      <c r="IT255" s="139"/>
      <c r="IU255" s="139"/>
      <c r="IV255" s="139"/>
      <c r="IW255" s="139"/>
    </row>
    <row r="256" spans="2:257" x14ac:dyDescent="0.3">
      <c r="B256" s="5" t="s">
        <v>132</v>
      </c>
      <c r="C256" s="916" t="s">
        <v>237</v>
      </c>
      <c r="D256" s="968">
        <v>3958.4</v>
      </c>
      <c r="E256" s="968">
        <v>3509.5</v>
      </c>
      <c r="F256" s="968">
        <v>71117.2</v>
      </c>
      <c r="G256" s="968">
        <v>6717.7</v>
      </c>
      <c r="H256" s="968">
        <v>42459.1</v>
      </c>
      <c r="I256" s="968">
        <v>26152.799999999999</v>
      </c>
      <c r="J256" s="10">
        <v>30122.5</v>
      </c>
      <c r="K256" s="993">
        <v>7676</v>
      </c>
      <c r="L256" s="270">
        <f t="shared" si="28"/>
        <v>191713.19999999998</v>
      </c>
      <c r="M256" s="995">
        <f>(P296*EF_CH4_DieselAvBio_Trans_kg_l+'II. Transport '!Q296*EF_CH4_PetrolAvBio_Trans_kg_l)*0.001</f>
        <v>201.94366890199998</v>
      </c>
      <c r="N256" s="996">
        <f>(P296*EF_N2O_DieselAvBio_Trans_kg_l+'II. Transport '!Q296*EF_N2O_PetrolAvBio_Trans_kg_l)*0.001</f>
        <v>1813.1405650940001</v>
      </c>
      <c r="O256" s="268">
        <f t="shared" si="25"/>
        <v>193728.284233996</v>
      </c>
      <c r="P256" s="283">
        <v>14.361214370491147</v>
      </c>
      <c r="Q256" s="16">
        <v>507.16940749701888</v>
      </c>
      <c r="R256" s="16">
        <v>1141.9506926883475</v>
      </c>
      <c r="S256" s="16">
        <v>784.16913467567701</v>
      </c>
      <c r="T256" s="968">
        <v>353.17660340474151</v>
      </c>
      <c r="U256" s="993">
        <v>669.82577025845126</v>
      </c>
      <c r="V256" s="968">
        <v>723.52422399159207</v>
      </c>
      <c r="W256" s="16">
        <v>8.4294084348534994</v>
      </c>
      <c r="X256" s="283">
        <f t="shared" si="26"/>
        <v>4202.6064553211736</v>
      </c>
      <c r="Y256" s="968">
        <f t="shared" si="23"/>
        <v>21.314259308672305</v>
      </c>
      <c r="Z256" s="968">
        <f t="shared" si="24"/>
        <v>28.926494776055275</v>
      </c>
      <c r="AA256" s="268">
        <f t="shared" si="27"/>
        <v>4252.8472094059007</v>
      </c>
      <c r="AB256" s="139"/>
      <c r="AC256" s="139"/>
      <c r="AD256" s="139"/>
      <c r="AE256" s="139"/>
      <c r="AF256" s="139"/>
      <c r="AG256" s="139"/>
      <c r="AH256" s="139"/>
      <c r="AI256" s="139"/>
      <c r="AJ256" s="139"/>
      <c r="AK256" s="139"/>
      <c r="AL256" s="139"/>
      <c r="AM256" s="139"/>
      <c r="AN256" s="139"/>
      <c r="AO256" s="139"/>
      <c r="AP256" s="139"/>
      <c r="AQ256" s="139"/>
      <c r="AR256" s="139"/>
      <c r="AS256" s="139"/>
      <c r="AT256" s="139"/>
      <c r="AU256" s="139"/>
      <c r="AV256" s="139"/>
      <c r="AW256" s="139"/>
      <c r="AX256" s="139"/>
      <c r="AY256" s="139"/>
      <c r="AZ256" s="139"/>
      <c r="BA256" s="139"/>
      <c r="BB256" s="139"/>
      <c r="BC256" s="139"/>
      <c r="BD256" s="139"/>
      <c r="BE256" s="139"/>
      <c r="BF256" s="139"/>
      <c r="BG256" s="139"/>
      <c r="BH256" s="139"/>
      <c r="BI256" s="139"/>
      <c r="BJ256" s="139"/>
      <c r="BK256" s="139"/>
      <c r="BL256" s="139"/>
      <c r="BM256" s="139"/>
      <c r="BN256" s="139"/>
      <c r="BO256" s="139"/>
      <c r="BP256" s="139"/>
      <c r="BQ256" s="139"/>
      <c r="BR256" s="139"/>
      <c r="BS256" s="139"/>
      <c r="BT256" s="139"/>
      <c r="BU256" s="139"/>
      <c r="BV256" s="139"/>
      <c r="BW256" s="139"/>
      <c r="BX256" s="139"/>
      <c r="BY256" s="139"/>
      <c r="BZ256" s="139"/>
      <c r="CA256" s="139"/>
      <c r="CB256" s="139"/>
      <c r="CC256" s="139"/>
      <c r="CD256" s="139"/>
      <c r="CE256" s="139"/>
      <c r="CF256" s="139"/>
      <c r="CG256" s="139"/>
      <c r="CH256" s="139"/>
      <c r="CI256" s="139"/>
      <c r="CJ256" s="139"/>
      <c r="CK256" s="139"/>
      <c r="CL256" s="139"/>
      <c r="CM256" s="139"/>
      <c r="CN256" s="139"/>
      <c r="CO256" s="139"/>
      <c r="CP256" s="139"/>
      <c r="CQ256" s="139"/>
      <c r="CR256" s="139"/>
      <c r="CS256" s="139"/>
      <c r="CT256" s="139"/>
      <c r="CU256" s="139"/>
      <c r="CV256" s="139"/>
      <c r="CW256" s="139"/>
      <c r="CX256" s="139"/>
      <c r="CY256" s="139"/>
      <c r="CZ256" s="139"/>
      <c r="DA256" s="139"/>
      <c r="DB256" s="139"/>
      <c r="DC256" s="139"/>
      <c r="DD256" s="139"/>
      <c r="DE256" s="139"/>
      <c r="DF256" s="139"/>
      <c r="DG256" s="139"/>
      <c r="DH256" s="139"/>
      <c r="DI256" s="139"/>
      <c r="DJ256" s="139"/>
      <c r="DK256" s="139"/>
      <c r="DL256" s="139"/>
      <c r="DM256" s="139"/>
      <c r="DN256" s="139"/>
      <c r="DO256" s="139"/>
      <c r="DP256" s="139"/>
      <c r="DQ256" s="139"/>
      <c r="DR256" s="139"/>
      <c r="DS256" s="139"/>
      <c r="DT256" s="139"/>
      <c r="DU256" s="139"/>
      <c r="DV256" s="139"/>
      <c r="DW256" s="139"/>
      <c r="DX256" s="139"/>
      <c r="DY256" s="139"/>
      <c r="DZ256" s="139"/>
      <c r="EA256" s="139"/>
      <c r="EB256" s="139"/>
      <c r="EC256" s="139"/>
      <c r="ED256" s="139"/>
      <c r="EE256" s="139"/>
      <c r="EF256" s="139"/>
      <c r="EG256" s="139"/>
      <c r="EH256" s="139"/>
      <c r="EI256" s="139"/>
      <c r="EJ256" s="139"/>
      <c r="EK256" s="139"/>
      <c r="EL256" s="139"/>
      <c r="EM256" s="139"/>
      <c r="EN256" s="139"/>
      <c r="EO256" s="139"/>
      <c r="EP256" s="139"/>
      <c r="EQ256" s="139"/>
      <c r="ER256" s="139"/>
      <c r="ES256" s="139"/>
      <c r="ET256" s="139"/>
      <c r="EU256" s="139"/>
      <c r="EV256" s="139"/>
      <c r="EW256" s="139"/>
      <c r="EX256" s="139"/>
      <c r="EY256" s="139"/>
      <c r="EZ256" s="139"/>
      <c r="FA256" s="139"/>
      <c r="FB256" s="139"/>
      <c r="FC256" s="139"/>
      <c r="FD256" s="139"/>
      <c r="FE256" s="139"/>
      <c r="FF256" s="139"/>
      <c r="FG256" s="139"/>
      <c r="FH256" s="139"/>
      <c r="FI256" s="139"/>
      <c r="FJ256" s="139"/>
      <c r="FK256" s="139"/>
      <c r="FL256" s="139"/>
      <c r="FM256" s="139"/>
      <c r="FN256" s="139"/>
      <c r="FO256" s="139"/>
      <c r="FP256" s="139"/>
      <c r="FQ256" s="139"/>
      <c r="FR256" s="139"/>
      <c r="FS256" s="139"/>
      <c r="FT256" s="139"/>
      <c r="FU256" s="139"/>
      <c r="FV256" s="139"/>
      <c r="FW256" s="139"/>
      <c r="FX256" s="139"/>
      <c r="FY256" s="139"/>
      <c r="FZ256" s="139"/>
      <c r="GA256" s="139"/>
      <c r="GB256" s="139"/>
      <c r="GC256" s="139"/>
      <c r="GD256" s="139"/>
      <c r="GE256" s="139"/>
      <c r="GF256" s="139"/>
      <c r="GG256" s="139"/>
      <c r="GH256" s="139"/>
      <c r="GI256" s="139"/>
      <c r="GJ256" s="139"/>
      <c r="GK256" s="139"/>
      <c r="GL256" s="139"/>
      <c r="GM256" s="139"/>
      <c r="GN256" s="139"/>
      <c r="GO256" s="139"/>
      <c r="GP256" s="139"/>
      <c r="GQ256" s="139"/>
      <c r="GR256" s="139"/>
      <c r="GS256" s="139"/>
      <c r="GT256" s="139"/>
      <c r="GU256" s="139"/>
      <c r="GV256" s="139"/>
      <c r="GW256" s="139"/>
      <c r="GX256" s="139"/>
      <c r="GY256" s="139"/>
      <c r="GZ256" s="139"/>
      <c r="HA256" s="139"/>
      <c r="HB256" s="139"/>
      <c r="HC256" s="139"/>
      <c r="HD256" s="139"/>
      <c r="HE256" s="139"/>
      <c r="HF256" s="139"/>
      <c r="HG256" s="139"/>
      <c r="HH256" s="139"/>
      <c r="HI256" s="139"/>
      <c r="HJ256" s="139"/>
      <c r="HK256" s="139"/>
      <c r="HL256" s="139"/>
      <c r="HM256" s="139"/>
      <c r="HN256" s="139"/>
      <c r="HO256" s="139"/>
      <c r="HP256" s="139"/>
      <c r="HQ256" s="139"/>
      <c r="HR256" s="139"/>
      <c r="HS256" s="139"/>
      <c r="HT256" s="139"/>
      <c r="HU256" s="139"/>
      <c r="HV256" s="139"/>
      <c r="HW256" s="139"/>
      <c r="HX256" s="139"/>
      <c r="HY256" s="139"/>
      <c r="HZ256" s="139"/>
      <c r="IA256" s="139"/>
      <c r="IB256" s="139"/>
      <c r="IC256" s="139"/>
      <c r="ID256" s="139"/>
      <c r="IE256" s="139"/>
      <c r="IF256" s="139"/>
      <c r="IG256" s="139"/>
      <c r="IH256" s="139"/>
      <c r="II256" s="139"/>
      <c r="IJ256" s="139"/>
      <c r="IK256" s="139"/>
      <c r="IL256" s="139"/>
      <c r="IM256" s="139"/>
      <c r="IN256" s="139"/>
      <c r="IO256" s="139"/>
      <c r="IP256" s="139"/>
      <c r="IQ256" s="139"/>
      <c r="IR256" s="139"/>
      <c r="IS256" s="139"/>
      <c r="IT256" s="139"/>
      <c r="IU256" s="139"/>
      <c r="IV256" s="139"/>
      <c r="IW256" s="139"/>
    </row>
    <row r="257" spans="1:258" x14ac:dyDescent="0.3">
      <c r="B257" s="5" t="s">
        <v>133</v>
      </c>
      <c r="C257" s="916" t="s">
        <v>238</v>
      </c>
      <c r="D257" s="968">
        <v>2682.6</v>
      </c>
      <c r="E257" s="968">
        <v>1165</v>
      </c>
      <c r="F257" s="968">
        <v>75784.899999999994</v>
      </c>
      <c r="G257" s="968">
        <v>2684.8</v>
      </c>
      <c r="H257" s="968">
        <v>34241.300000000003</v>
      </c>
      <c r="I257" s="968">
        <v>21619.8</v>
      </c>
      <c r="J257" s="10">
        <v>15766.8</v>
      </c>
      <c r="K257" s="993">
        <v>6234.4</v>
      </c>
      <c r="L257" s="270">
        <f t="shared" si="28"/>
        <v>160179.59999999998</v>
      </c>
      <c r="M257" s="995">
        <f>(P297*EF_CH4_DieselAvBio_Trans_kg_l+'II. Transport '!Q297*EF_CH4_PetrolAvBio_Trans_kg_l)*0.001</f>
        <v>196.06630944099996</v>
      </c>
      <c r="N257" s="996">
        <f>(P297*EF_N2O_DieselAvBio_Trans_kg_l+'II. Transport '!Q297*EF_N2O_PetrolAvBio_Trans_kg_l)*0.001</f>
        <v>1431.87510277</v>
      </c>
      <c r="O257" s="268">
        <f t="shared" si="25"/>
        <v>161807.54141221097</v>
      </c>
      <c r="P257" s="283">
        <v>9.9123599187629114</v>
      </c>
      <c r="Q257" s="16">
        <v>177.09562721002399</v>
      </c>
      <c r="R257" s="16">
        <v>1097.4621481710653</v>
      </c>
      <c r="S257" s="16">
        <v>272.86307303933182</v>
      </c>
      <c r="T257" s="968">
        <v>246.95044710996729</v>
      </c>
      <c r="U257" s="993">
        <v>647.97174839031254</v>
      </c>
      <c r="V257" s="968">
        <v>454.64170493538546</v>
      </c>
      <c r="W257" s="16">
        <v>4.8391048422307126</v>
      </c>
      <c r="X257" s="283">
        <f t="shared" si="26"/>
        <v>2911.73621361708</v>
      </c>
      <c r="Y257" s="968">
        <f t="shared" si="23"/>
        <v>14.767383373931269</v>
      </c>
      <c r="Z257" s="968">
        <f t="shared" si="24"/>
        <v>20.041448864621007</v>
      </c>
      <c r="AA257" s="268">
        <f t="shared" si="27"/>
        <v>2946.5450458556325</v>
      </c>
      <c r="AB257" s="139"/>
      <c r="AC257" s="139"/>
      <c r="AD257" s="139"/>
      <c r="AE257" s="139"/>
      <c r="AF257" s="139"/>
      <c r="AG257" s="139"/>
      <c r="AH257" s="139"/>
      <c r="AI257" s="139"/>
      <c r="AJ257" s="139"/>
      <c r="AK257" s="139"/>
      <c r="AL257" s="139"/>
      <c r="AM257" s="139"/>
      <c r="AN257" s="139"/>
      <c r="AO257" s="139"/>
      <c r="AP257" s="139"/>
      <c r="AQ257" s="139"/>
      <c r="AR257" s="139"/>
      <c r="AS257" s="139"/>
      <c r="AT257" s="139"/>
      <c r="AU257" s="139"/>
      <c r="AV257" s="139"/>
      <c r="AW257" s="139"/>
      <c r="AX257" s="139"/>
      <c r="AY257" s="139"/>
      <c r="AZ257" s="139"/>
      <c r="BA257" s="139"/>
      <c r="BB257" s="139"/>
      <c r="BC257" s="139"/>
      <c r="BD257" s="139"/>
      <c r="BE257" s="139"/>
      <c r="BF257" s="139"/>
      <c r="BG257" s="139"/>
      <c r="BH257" s="139"/>
      <c r="BI257" s="139"/>
      <c r="BJ257" s="139"/>
      <c r="BK257" s="139"/>
      <c r="BL257" s="139"/>
      <c r="BM257" s="139"/>
      <c r="BN257" s="139"/>
      <c r="BO257" s="139"/>
      <c r="BP257" s="139"/>
      <c r="BQ257" s="139"/>
      <c r="BR257" s="139"/>
      <c r="BS257" s="139"/>
      <c r="BT257" s="139"/>
      <c r="BU257" s="139"/>
      <c r="BV257" s="139"/>
      <c r="BW257" s="139"/>
      <c r="BX257" s="139"/>
      <c r="BY257" s="139"/>
      <c r="BZ257" s="139"/>
      <c r="CA257" s="139"/>
      <c r="CB257" s="139"/>
      <c r="CC257" s="139"/>
      <c r="CD257" s="139"/>
      <c r="CE257" s="139"/>
      <c r="CF257" s="139"/>
      <c r="CG257" s="139"/>
      <c r="CH257" s="139"/>
      <c r="CI257" s="139"/>
      <c r="CJ257" s="139"/>
      <c r="CK257" s="139"/>
      <c r="CL257" s="139"/>
      <c r="CM257" s="139"/>
      <c r="CN257" s="139"/>
      <c r="CO257" s="139"/>
      <c r="CP257" s="139"/>
      <c r="CQ257" s="139"/>
      <c r="CR257" s="139"/>
      <c r="CS257" s="139"/>
      <c r="CT257" s="139"/>
      <c r="CU257" s="139"/>
      <c r="CV257" s="139"/>
      <c r="CW257" s="139"/>
      <c r="CX257" s="139"/>
      <c r="CY257" s="139"/>
      <c r="CZ257" s="139"/>
      <c r="DA257" s="139"/>
      <c r="DB257" s="139"/>
      <c r="DC257" s="139"/>
      <c r="DD257" s="139"/>
      <c r="DE257" s="139"/>
      <c r="DF257" s="139"/>
      <c r="DG257" s="139"/>
      <c r="DH257" s="139"/>
      <c r="DI257" s="139"/>
      <c r="DJ257" s="139"/>
      <c r="DK257" s="139"/>
      <c r="DL257" s="139"/>
      <c r="DM257" s="139"/>
      <c r="DN257" s="139"/>
      <c r="DO257" s="139"/>
      <c r="DP257" s="139"/>
      <c r="DQ257" s="139"/>
      <c r="DR257" s="139"/>
      <c r="DS257" s="139"/>
      <c r="DT257" s="139"/>
      <c r="DU257" s="139"/>
      <c r="DV257" s="139"/>
      <c r="DW257" s="139"/>
      <c r="DX257" s="139"/>
      <c r="DY257" s="139"/>
      <c r="DZ257" s="139"/>
      <c r="EA257" s="139"/>
      <c r="EB257" s="139"/>
      <c r="EC257" s="139"/>
      <c r="ED257" s="139"/>
      <c r="EE257" s="139"/>
      <c r="EF257" s="139"/>
      <c r="EG257" s="139"/>
      <c r="EH257" s="139"/>
      <c r="EI257" s="139"/>
      <c r="EJ257" s="139"/>
      <c r="EK257" s="139"/>
      <c r="EL257" s="139"/>
      <c r="EM257" s="139"/>
      <c r="EN257" s="139"/>
      <c r="EO257" s="139"/>
      <c r="EP257" s="139"/>
      <c r="EQ257" s="139"/>
      <c r="ER257" s="139"/>
      <c r="ES257" s="139"/>
      <c r="ET257" s="139"/>
      <c r="EU257" s="139"/>
      <c r="EV257" s="139"/>
      <c r="EW257" s="139"/>
      <c r="EX257" s="139"/>
      <c r="EY257" s="139"/>
      <c r="EZ257" s="139"/>
      <c r="FA257" s="139"/>
      <c r="FB257" s="139"/>
      <c r="FC257" s="139"/>
      <c r="FD257" s="139"/>
      <c r="FE257" s="139"/>
      <c r="FF257" s="139"/>
      <c r="FG257" s="139"/>
      <c r="FH257" s="139"/>
      <c r="FI257" s="139"/>
      <c r="FJ257" s="139"/>
      <c r="FK257" s="139"/>
      <c r="FL257" s="139"/>
      <c r="FM257" s="139"/>
      <c r="FN257" s="139"/>
      <c r="FO257" s="139"/>
      <c r="FP257" s="139"/>
      <c r="FQ257" s="139"/>
      <c r="FR257" s="139"/>
      <c r="FS257" s="139"/>
      <c r="FT257" s="139"/>
      <c r="FU257" s="139"/>
      <c r="FV257" s="139"/>
      <c r="FW257" s="139"/>
      <c r="FX257" s="139"/>
      <c r="FY257" s="139"/>
      <c r="FZ257" s="139"/>
      <c r="GA257" s="139"/>
      <c r="GB257" s="139"/>
      <c r="GC257" s="139"/>
      <c r="GD257" s="139"/>
      <c r="GE257" s="139"/>
      <c r="GF257" s="139"/>
      <c r="GG257" s="139"/>
      <c r="GH257" s="139"/>
      <c r="GI257" s="139"/>
      <c r="GJ257" s="139"/>
      <c r="GK257" s="139"/>
      <c r="GL257" s="139"/>
      <c r="GM257" s="139"/>
      <c r="GN257" s="139"/>
      <c r="GO257" s="139"/>
      <c r="GP257" s="139"/>
      <c r="GQ257" s="139"/>
      <c r="GR257" s="139"/>
      <c r="GS257" s="139"/>
      <c r="GT257" s="139"/>
      <c r="GU257" s="139"/>
      <c r="GV257" s="139"/>
      <c r="GW257" s="139"/>
      <c r="GX257" s="139"/>
      <c r="GY257" s="139"/>
      <c r="GZ257" s="139"/>
      <c r="HA257" s="139"/>
      <c r="HB257" s="139"/>
      <c r="HC257" s="139"/>
      <c r="HD257" s="139"/>
      <c r="HE257" s="139"/>
      <c r="HF257" s="139"/>
      <c r="HG257" s="139"/>
      <c r="HH257" s="139"/>
      <c r="HI257" s="139"/>
      <c r="HJ257" s="139"/>
      <c r="HK257" s="139"/>
      <c r="HL257" s="139"/>
      <c r="HM257" s="139"/>
      <c r="HN257" s="139"/>
      <c r="HO257" s="139"/>
      <c r="HP257" s="139"/>
      <c r="HQ257" s="139"/>
      <c r="HR257" s="139"/>
      <c r="HS257" s="139"/>
      <c r="HT257" s="139"/>
      <c r="HU257" s="139"/>
      <c r="HV257" s="139"/>
      <c r="HW257" s="139"/>
      <c r="HX257" s="139"/>
      <c r="HY257" s="139"/>
      <c r="HZ257" s="139"/>
      <c r="IA257" s="139"/>
      <c r="IB257" s="139"/>
      <c r="IC257" s="139"/>
      <c r="ID257" s="139"/>
      <c r="IE257" s="139"/>
      <c r="IF257" s="139"/>
      <c r="IG257" s="139"/>
      <c r="IH257" s="139"/>
      <c r="II257" s="139"/>
      <c r="IJ257" s="139"/>
      <c r="IK257" s="139"/>
      <c r="IL257" s="139"/>
      <c r="IM257" s="139"/>
      <c r="IN257" s="139"/>
      <c r="IO257" s="139"/>
      <c r="IP257" s="139"/>
      <c r="IQ257" s="139"/>
      <c r="IR257" s="139"/>
      <c r="IS257" s="139"/>
      <c r="IT257" s="139"/>
      <c r="IU257" s="139"/>
      <c r="IV257" s="139"/>
      <c r="IW257" s="139"/>
    </row>
    <row r="258" spans="1:258" x14ac:dyDescent="0.3">
      <c r="B258" s="5" t="s">
        <v>134</v>
      </c>
      <c r="C258" s="916" t="s">
        <v>239</v>
      </c>
      <c r="D258" s="968">
        <v>2113.6999999999998</v>
      </c>
      <c r="E258" s="968">
        <v>1334</v>
      </c>
      <c r="F258" s="968">
        <v>74735</v>
      </c>
      <c r="G258" s="968">
        <v>4190.3</v>
      </c>
      <c r="H258" s="968">
        <v>38288.400000000001</v>
      </c>
      <c r="I258" s="968">
        <v>25462.3</v>
      </c>
      <c r="J258" s="10">
        <v>13129.3</v>
      </c>
      <c r="K258" s="993">
        <v>5676.3</v>
      </c>
      <c r="L258" s="270">
        <f t="shared" si="28"/>
        <v>164929.29999999996</v>
      </c>
      <c r="M258" s="995">
        <f>(P298*EF_CH4_DieselAvBio_Trans_kg_l+'II. Transport '!Q298*EF_CH4_PetrolAvBio_Trans_kg_l)*0.001</f>
        <v>190.29860635800006</v>
      </c>
      <c r="N258" s="996">
        <f>(P298*EF_N2O_DieselAvBio_Trans_kg_l+'II. Transport '!Q298*EF_N2O_PetrolAvBio_Trans_kg_l)*0.001</f>
        <v>1508.0854670759998</v>
      </c>
      <c r="O258" s="268">
        <f t="shared" si="25"/>
        <v>166627.68407343395</v>
      </c>
      <c r="P258" s="283">
        <v>7.0245070290445835</v>
      </c>
      <c r="Q258" s="16">
        <v>178.18832830343092</v>
      </c>
      <c r="R258" s="16">
        <v>1002.7874034351645</v>
      </c>
      <c r="S258" s="16">
        <v>452.06605235806916</v>
      </c>
      <c r="T258" s="968">
        <v>211.6718118085434</v>
      </c>
      <c r="U258" s="993">
        <v>747.56364804654459</v>
      </c>
      <c r="V258" s="968">
        <v>322.89317310174931</v>
      </c>
      <c r="W258" s="16">
        <v>3.1220031240198143</v>
      </c>
      <c r="X258" s="283">
        <f t="shared" si="26"/>
        <v>2925.3169272065661</v>
      </c>
      <c r="Y258" s="968">
        <f t="shared" si="23"/>
        <v>14.836260356375485</v>
      </c>
      <c r="Z258" s="968">
        <f t="shared" si="24"/>
        <v>20.134924769366727</v>
      </c>
      <c r="AA258" s="268">
        <f t="shared" si="27"/>
        <v>2960.2881123323082</v>
      </c>
      <c r="AB258" s="139"/>
      <c r="AC258" s="139"/>
      <c r="AD258" s="139"/>
      <c r="AE258" s="139"/>
      <c r="AF258" s="139"/>
      <c r="AG258" s="139"/>
      <c r="AH258" s="139"/>
      <c r="AI258" s="139"/>
      <c r="AJ258" s="139"/>
      <c r="AK258" s="139"/>
      <c r="AL258" s="139"/>
      <c r="AM258" s="139"/>
      <c r="AN258" s="139"/>
      <c r="AO258" s="139"/>
      <c r="AP258" s="139"/>
      <c r="AQ258" s="139"/>
      <c r="AR258" s="139"/>
      <c r="AS258" s="139"/>
      <c r="AT258" s="139"/>
      <c r="AU258" s="139"/>
      <c r="AV258" s="139"/>
      <c r="AW258" s="139"/>
      <c r="AX258" s="139"/>
      <c r="AY258" s="139"/>
      <c r="AZ258" s="139"/>
      <c r="BA258" s="139"/>
      <c r="BB258" s="139"/>
      <c r="BC258" s="139"/>
      <c r="BD258" s="139"/>
      <c r="BE258" s="139"/>
      <c r="BF258" s="139"/>
      <c r="BG258" s="139"/>
      <c r="BH258" s="139"/>
      <c r="BI258" s="139"/>
      <c r="BJ258" s="139"/>
      <c r="BK258" s="139"/>
      <c r="BL258" s="139"/>
      <c r="BM258" s="139"/>
      <c r="BN258" s="139"/>
      <c r="BO258" s="139"/>
      <c r="BP258" s="139"/>
      <c r="BQ258" s="139"/>
      <c r="BR258" s="139"/>
      <c r="BS258" s="139"/>
      <c r="BT258" s="139"/>
      <c r="BU258" s="139"/>
      <c r="BV258" s="139"/>
      <c r="BW258" s="139"/>
      <c r="BX258" s="139"/>
      <c r="BY258" s="139"/>
      <c r="BZ258" s="139"/>
      <c r="CA258" s="139"/>
      <c r="CB258" s="139"/>
      <c r="CC258" s="139"/>
      <c r="CD258" s="139"/>
      <c r="CE258" s="139"/>
      <c r="CF258" s="139"/>
      <c r="CG258" s="139"/>
      <c r="CH258" s="139"/>
      <c r="CI258" s="139"/>
      <c r="CJ258" s="139"/>
      <c r="CK258" s="139"/>
      <c r="CL258" s="139"/>
      <c r="CM258" s="139"/>
      <c r="CN258" s="139"/>
      <c r="CO258" s="139"/>
      <c r="CP258" s="139"/>
      <c r="CQ258" s="139"/>
      <c r="CR258" s="139"/>
      <c r="CS258" s="139"/>
      <c r="CT258" s="139"/>
      <c r="CU258" s="139"/>
      <c r="CV258" s="139"/>
      <c r="CW258" s="139"/>
      <c r="CX258" s="139"/>
      <c r="CY258" s="139"/>
      <c r="CZ258" s="139"/>
      <c r="DA258" s="139"/>
      <c r="DB258" s="139"/>
      <c r="DC258" s="139"/>
      <c r="DD258" s="139"/>
      <c r="DE258" s="139"/>
      <c r="DF258" s="139"/>
      <c r="DG258" s="139"/>
      <c r="DH258" s="139"/>
      <c r="DI258" s="139"/>
      <c r="DJ258" s="139"/>
      <c r="DK258" s="139"/>
      <c r="DL258" s="139"/>
      <c r="DM258" s="139"/>
      <c r="DN258" s="139"/>
      <c r="DO258" s="139"/>
      <c r="DP258" s="139"/>
      <c r="DQ258" s="139"/>
      <c r="DR258" s="139"/>
      <c r="DS258" s="139"/>
      <c r="DT258" s="139"/>
      <c r="DU258" s="139"/>
      <c r="DV258" s="139"/>
      <c r="DW258" s="139"/>
      <c r="DX258" s="139"/>
      <c r="DY258" s="139"/>
      <c r="DZ258" s="139"/>
      <c r="EA258" s="139"/>
      <c r="EB258" s="139"/>
      <c r="EC258" s="139"/>
      <c r="ED258" s="139"/>
      <c r="EE258" s="139"/>
      <c r="EF258" s="139"/>
      <c r="EG258" s="139"/>
      <c r="EH258" s="139"/>
      <c r="EI258" s="139"/>
      <c r="EJ258" s="139"/>
      <c r="EK258" s="139"/>
      <c r="EL258" s="139"/>
      <c r="EM258" s="139"/>
      <c r="EN258" s="139"/>
      <c r="EO258" s="139"/>
      <c r="EP258" s="139"/>
      <c r="EQ258" s="139"/>
      <c r="ER258" s="139"/>
      <c r="ES258" s="139"/>
      <c r="ET258" s="139"/>
      <c r="EU258" s="139"/>
      <c r="EV258" s="139"/>
      <c r="EW258" s="139"/>
      <c r="EX258" s="139"/>
      <c r="EY258" s="139"/>
      <c r="EZ258" s="139"/>
      <c r="FA258" s="139"/>
      <c r="FB258" s="139"/>
      <c r="FC258" s="139"/>
      <c r="FD258" s="139"/>
      <c r="FE258" s="139"/>
      <c r="FF258" s="139"/>
      <c r="FG258" s="139"/>
      <c r="FH258" s="139"/>
      <c r="FI258" s="139"/>
      <c r="FJ258" s="139"/>
      <c r="FK258" s="139"/>
      <c r="FL258" s="139"/>
      <c r="FM258" s="139"/>
      <c r="FN258" s="139"/>
      <c r="FO258" s="139"/>
      <c r="FP258" s="139"/>
      <c r="FQ258" s="139"/>
      <c r="FR258" s="139"/>
      <c r="FS258" s="139"/>
      <c r="FT258" s="139"/>
      <c r="FU258" s="139"/>
      <c r="FV258" s="139"/>
      <c r="FW258" s="139"/>
      <c r="FX258" s="139"/>
      <c r="FY258" s="139"/>
      <c r="FZ258" s="139"/>
      <c r="GA258" s="139"/>
      <c r="GB258" s="139"/>
      <c r="GC258" s="139"/>
      <c r="GD258" s="139"/>
      <c r="GE258" s="139"/>
      <c r="GF258" s="139"/>
      <c r="GG258" s="139"/>
      <c r="GH258" s="139"/>
      <c r="GI258" s="139"/>
      <c r="GJ258" s="139"/>
      <c r="GK258" s="139"/>
      <c r="GL258" s="139"/>
      <c r="GM258" s="139"/>
      <c r="GN258" s="139"/>
      <c r="GO258" s="139"/>
      <c r="GP258" s="139"/>
      <c r="GQ258" s="139"/>
      <c r="GR258" s="139"/>
      <c r="GS258" s="139"/>
      <c r="GT258" s="139"/>
      <c r="GU258" s="139"/>
      <c r="GV258" s="139"/>
      <c r="GW258" s="139"/>
      <c r="GX258" s="139"/>
      <c r="GY258" s="139"/>
      <c r="GZ258" s="139"/>
      <c r="HA258" s="139"/>
      <c r="HB258" s="139"/>
      <c r="HC258" s="139"/>
      <c r="HD258" s="139"/>
      <c r="HE258" s="139"/>
      <c r="HF258" s="139"/>
      <c r="HG258" s="139"/>
      <c r="HH258" s="139"/>
      <c r="HI258" s="139"/>
      <c r="HJ258" s="139"/>
      <c r="HK258" s="139"/>
      <c r="HL258" s="139"/>
      <c r="HM258" s="139"/>
      <c r="HN258" s="139"/>
      <c r="HO258" s="139"/>
      <c r="HP258" s="139"/>
      <c r="HQ258" s="139"/>
      <c r="HR258" s="139"/>
      <c r="HS258" s="139"/>
      <c r="HT258" s="139"/>
      <c r="HU258" s="139"/>
      <c r="HV258" s="139"/>
      <c r="HW258" s="139"/>
      <c r="HX258" s="139"/>
      <c r="HY258" s="139"/>
      <c r="HZ258" s="139"/>
      <c r="IA258" s="139"/>
      <c r="IB258" s="139"/>
      <c r="IC258" s="139"/>
      <c r="ID258" s="139"/>
      <c r="IE258" s="139"/>
      <c r="IF258" s="139"/>
      <c r="IG258" s="139"/>
      <c r="IH258" s="139"/>
      <c r="II258" s="139"/>
      <c r="IJ258" s="139"/>
      <c r="IK258" s="139"/>
      <c r="IL258" s="139"/>
      <c r="IM258" s="139"/>
      <c r="IN258" s="139"/>
      <c r="IO258" s="139"/>
      <c r="IP258" s="139"/>
      <c r="IQ258" s="139"/>
      <c r="IR258" s="139"/>
      <c r="IS258" s="139"/>
      <c r="IT258" s="139"/>
      <c r="IU258" s="139"/>
      <c r="IV258" s="139"/>
      <c r="IW258" s="139"/>
    </row>
    <row r="259" spans="1:258" ht="15" thickBot="1" x14ac:dyDescent="0.35">
      <c r="B259" s="5" t="s">
        <v>135</v>
      </c>
      <c r="C259" s="916" t="s">
        <v>240</v>
      </c>
      <c r="D259" s="968">
        <v>7519.9</v>
      </c>
      <c r="E259" s="968">
        <v>19924.400000000001</v>
      </c>
      <c r="F259" s="968">
        <v>51577.3</v>
      </c>
      <c r="G259" s="968">
        <v>13036.8</v>
      </c>
      <c r="H259" s="968">
        <v>37889.300000000003</v>
      </c>
      <c r="I259" s="968">
        <v>44924.3</v>
      </c>
      <c r="J259" s="10">
        <v>13978.2</v>
      </c>
      <c r="K259" s="993">
        <v>2777.5</v>
      </c>
      <c r="L259" s="270">
        <f t="shared" si="28"/>
        <v>191627.7</v>
      </c>
      <c r="M259" s="997">
        <f>(P299*EF_CH4_DieselAvBio_Trans_kg_l+'II. Transport '!Q299*EF_CH4_PetrolAvBio_Trans_kg_l)*0.001</f>
        <v>167.01569809800003</v>
      </c>
      <c r="N259" s="998">
        <f>(P299*EF_N2O_DieselAvBio_Trans_kg_l+'II. Transport '!Q299*EF_N2O_PetrolAvBio_Trans_kg_l)*0.001</f>
        <v>1925.0971377899998</v>
      </c>
      <c r="O259" s="999">
        <f t="shared" si="25"/>
        <v>193719.81283588801</v>
      </c>
      <c r="P259" s="283">
        <v>26.146776163665944</v>
      </c>
      <c r="Q259" s="16">
        <v>2228.7980302377455</v>
      </c>
      <c r="R259" s="16">
        <v>836.77488731541064</v>
      </c>
      <c r="S259" s="16">
        <v>1345.6613965306406</v>
      </c>
      <c r="T259" s="968">
        <v>307.12705732544924</v>
      </c>
      <c r="U259" s="993">
        <v>914.66886525970517</v>
      </c>
      <c r="V259" s="1000">
        <v>288.86333904993336</v>
      </c>
      <c r="W259" s="16">
        <v>3.7464037488237771</v>
      </c>
      <c r="X259" s="283">
        <f t="shared" si="26"/>
        <v>5951.786755631374</v>
      </c>
      <c r="Y259" s="968">
        <f t="shared" si="23"/>
        <v>30.185535478542391</v>
      </c>
      <c r="Z259" s="968">
        <f t="shared" si="24"/>
        <v>40.966083863736102</v>
      </c>
      <c r="AA259" s="268">
        <f t="shared" si="27"/>
        <v>6022.9383749736526</v>
      </c>
      <c r="AB259" s="139"/>
      <c r="AC259" s="139"/>
      <c r="AD259" s="139"/>
      <c r="AE259" s="139"/>
      <c r="AF259" s="139"/>
      <c r="AG259" s="139"/>
      <c r="AH259" s="139"/>
      <c r="AI259" s="139"/>
      <c r="AJ259" s="139"/>
      <c r="AK259" s="139"/>
      <c r="AL259" s="139"/>
      <c r="AM259" s="139"/>
      <c r="AN259" s="139"/>
      <c r="AO259" s="139"/>
      <c r="AP259" s="139"/>
      <c r="AQ259" s="139"/>
      <c r="AR259" s="139"/>
      <c r="AS259" s="139"/>
      <c r="AT259" s="139"/>
      <c r="AU259" s="139"/>
      <c r="AV259" s="139"/>
      <c r="AW259" s="139"/>
      <c r="AX259" s="139"/>
      <c r="AY259" s="139"/>
      <c r="AZ259" s="139"/>
      <c r="BA259" s="139"/>
      <c r="BB259" s="139"/>
      <c r="BC259" s="139"/>
      <c r="BD259" s="139"/>
      <c r="BE259" s="139"/>
      <c r="BF259" s="139"/>
      <c r="BG259" s="139"/>
      <c r="BH259" s="139"/>
      <c r="BI259" s="139"/>
      <c r="BJ259" s="139"/>
      <c r="BK259" s="139"/>
      <c r="BL259" s="139"/>
      <c r="BM259" s="139"/>
      <c r="BN259" s="139"/>
      <c r="BO259" s="139"/>
      <c r="BP259" s="139"/>
      <c r="BQ259" s="139"/>
      <c r="BR259" s="139"/>
      <c r="BS259" s="139"/>
      <c r="BT259" s="139"/>
      <c r="BU259" s="139"/>
      <c r="BV259" s="139"/>
      <c r="BW259" s="139"/>
      <c r="BX259" s="139"/>
      <c r="BY259" s="139"/>
      <c r="BZ259" s="139"/>
      <c r="CA259" s="139"/>
      <c r="CB259" s="139"/>
      <c r="CC259" s="139"/>
      <c r="CD259" s="139"/>
      <c r="CE259" s="139"/>
      <c r="CF259" s="139"/>
      <c r="CG259" s="139"/>
      <c r="CH259" s="139"/>
      <c r="CI259" s="139"/>
      <c r="CJ259" s="139"/>
      <c r="CK259" s="139"/>
      <c r="CL259" s="139"/>
      <c r="CM259" s="139"/>
      <c r="CN259" s="139"/>
      <c r="CO259" s="139"/>
      <c r="CP259" s="139"/>
      <c r="CQ259" s="139"/>
      <c r="CR259" s="139"/>
      <c r="CS259" s="139"/>
      <c r="CT259" s="139"/>
      <c r="CU259" s="139"/>
      <c r="CV259" s="139"/>
      <c r="CW259" s="139"/>
      <c r="CX259" s="139"/>
      <c r="CY259" s="139"/>
      <c r="CZ259" s="139"/>
      <c r="DA259" s="139"/>
      <c r="DB259" s="139"/>
      <c r="DC259" s="139"/>
      <c r="DD259" s="139"/>
      <c r="DE259" s="139"/>
      <c r="DF259" s="139"/>
      <c r="DG259" s="139"/>
      <c r="DH259" s="139"/>
      <c r="DI259" s="139"/>
      <c r="DJ259" s="139"/>
      <c r="DK259" s="139"/>
      <c r="DL259" s="139"/>
      <c r="DM259" s="139"/>
      <c r="DN259" s="139"/>
      <c r="DO259" s="139"/>
      <c r="DP259" s="139"/>
      <c r="DQ259" s="139"/>
      <c r="DR259" s="139"/>
      <c r="DS259" s="139"/>
      <c r="DT259" s="139"/>
      <c r="DU259" s="139"/>
      <c r="DV259" s="139"/>
      <c r="DW259" s="139"/>
      <c r="DX259" s="139"/>
      <c r="DY259" s="139"/>
      <c r="DZ259" s="139"/>
      <c r="EA259" s="139"/>
      <c r="EB259" s="139"/>
      <c r="EC259" s="139"/>
      <c r="ED259" s="139"/>
      <c r="EE259" s="139"/>
      <c r="EF259" s="139"/>
      <c r="EG259" s="139"/>
      <c r="EH259" s="139"/>
      <c r="EI259" s="139"/>
      <c r="EJ259" s="139"/>
      <c r="EK259" s="139"/>
      <c r="EL259" s="139"/>
      <c r="EM259" s="139"/>
      <c r="EN259" s="139"/>
      <c r="EO259" s="139"/>
      <c r="EP259" s="139"/>
      <c r="EQ259" s="139"/>
      <c r="ER259" s="139"/>
      <c r="ES259" s="139"/>
      <c r="ET259" s="139"/>
      <c r="EU259" s="139"/>
      <c r="EV259" s="139"/>
      <c r="EW259" s="139"/>
      <c r="EX259" s="139"/>
      <c r="EY259" s="139"/>
      <c r="EZ259" s="139"/>
      <c r="FA259" s="139"/>
      <c r="FB259" s="139"/>
      <c r="FC259" s="139"/>
      <c r="FD259" s="139"/>
      <c r="FE259" s="139"/>
      <c r="FF259" s="139"/>
      <c r="FG259" s="139"/>
      <c r="FH259" s="139"/>
      <c r="FI259" s="139"/>
      <c r="FJ259" s="139"/>
      <c r="FK259" s="139"/>
      <c r="FL259" s="139"/>
      <c r="FM259" s="139"/>
      <c r="FN259" s="139"/>
      <c r="FO259" s="139"/>
      <c r="FP259" s="139"/>
      <c r="FQ259" s="139"/>
      <c r="FR259" s="139"/>
      <c r="FS259" s="139"/>
      <c r="FT259" s="139"/>
      <c r="FU259" s="139"/>
      <c r="FV259" s="139"/>
      <c r="FW259" s="139"/>
      <c r="FX259" s="139"/>
      <c r="FY259" s="139"/>
      <c r="FZ259" s="139"/>
      <c r="GA259" s="139"/>
      <c r="GB259" s="139"/>
      <c r="GC259" s="139"/>
      <c r="GD259" s="139"/>
      <c r="GE259" s="139"/>
      <c r="GF259" s="139"/>
      <c r="GG259" s="139"/>
      <c r="GH259" s="139"/>
      <c r="GI259" s="139"/>
      <c r="GJ259" s="139"/>
      <c r="GK259" s="139"/>
      <c r="GL259" s="139"/>
      <c r="GM259" s="139"/>
      <c r="GN259" s="139"/>
      <c r="GO259" s="139"/>
      <c r="GP259" s="139"/>
      <c r="GQ259" s="139"/>
      <c r="GR259" s="139"/>
      <c r="GS259" s="139"/>
      <c r="GT259" s="139"/>
      <c r="GU259" s="139"/>
      <c r="GV259" s="139"/>
      <c r="GW259" s="139"/>
      <c r="GX259" s="139"/>
      <c r="GY259" s="139"/>
      <c r="GZ259" s="139"/>
      <c r="HA259" s="139"/>
      <c r="HB259" s="139"/>
      <c r="HC259" s="139"/>
      <c r="HD259" s="139"/>
      <c r="HE259" s="139"/>
      <c r="HF259" s="139"/>
      <c r="HG259" s="139"/>
      <c r="HH259" s="139"/>
      <c r="HI259" s="139"/>
      <c r="HJ259" s="139"/>
      <c r="HK259" s="139"/>
      <c r="HL259" s="139"/>
      <c r="HM259" s="139"/>
      <c r="HN259" s="139"/>
      <c r="HO259" s="139"/>
      <c r="HP259" s="139"/>
      <c r="HQ259" s="139"/>
      <c r="HR259" s="139"/>
      <c r="HS259" s="139"/>
      <c r="HT259" s="139"/>
      <c r="HU259" s="139"/>
      <c r="HV259" s="139"/>
      <c r="HW259" s="139"/>
      <c r="HX259" s="139"/>
      <c r="HY259" s="139"/>
      <c r="HZ259" s="139"/>
      <c r="IA259" s="139"/>
      <c r="IB259" s="139"/>
      <c r="IC259" s="139"/>
      <c r="ID259" s="139"/>
      <c r="IE259" s="139"/>
      <c r="IF259" s="139"/>
      <c r="IG259" s="139"/>
      <c r="IH259" s="139"/>
      <c r="II259" s="139"/>
      <c r="IJ259" s="139"/>
      <c r="IK259" s="139"/>
      <c r="IL259" s="139"/>
      <c r="IM259" s="139"/>
      <c r="IN259" s="139"/>
      <c r="IO259" s="139"/>
      <c r="IP259" s="139"/>
      <c r="IQ259" s="139"/>
      <c r="IR259" s="139"/>
      <c r="IS259" s="139"/>
      <c r="IT259" s="139"/>
      <c r="IU259" s="139"/>
      <c r="IV259" s="139"/>
      <c r="IW259" s="139"/>
    </row>
    <row r="260" spans="1:258" ht="15" thickBot="1" x14ac:dyDescent="0.35">
      <c r="B260" s="7" t="s">
        <v>66</v>
      </c>
      <c r="C260" s="253"/>
      <c r="D260" s="14">
        <f t="shared" ref="D260:K260" si="29">SUM(D227:D259)</f>
        <v>92460.4</v>
      </c>
      <c r="E260" s="14">
        <f t="shared" si="29"/>
        <v>78287.5</v>
      </c>
      <c r="F260" s="14">
        <f t="shared" si="29"/>
        <v>2990646.1</v>
      </c>
      <c r="G260" s="14">
        <f t="shared" si="29"/>
        <v>155332.59999999995</v>
      </c>
      <c r="H260" s="11">
        <f t="shared" si="29"/>
        <v>1383937.8</v>
      </c>
      <c r="I260" s="14">
        <f t="shared" si="29"/>
        <v>881771.4</v>
      </c>
      <c r="J260" s="15">
        <f t="shared" si="29"/>
        <v>603045.5</v>
      </c>
      <c r="K260" s="11">
        <f t="shared" si="29"/>
        <v>392881.00000000006</v>
      </c>
      <c r="L260" s="271">
        <f>SUM(L227:L259)</f>
        <v>6578362.3000000017</v>
      </c>
      <c r="M260" s="14">
        <f t="shared" ref="M260:W260" si="30">SUM(M227:M259)</f>
        <v>7564.3646522020017</v>
      </c>
      <c r="N260" s="981">
        <f t="shared" si="30"/>
        <v>60234.018670647987</v>
      </c>
      <c r="O260" s="389">
        <f t="shared" si="30"/>
        <v>6646160.6833228488</v>
      </c>
      <c r="P260" s="284">
        <f>SUM(P227:P259)</f>
        <v>328.668878881186</v>
      </c>
      <c r="Q260" s="15">
        <f>SUM(Q227:Q259)</f>
        <v>10044.108450596548</v>
      </c>
      <c r="R260" s="15">
        <f t="shared" si="30"/>
        <v>42960.636188387056</v>
      </c>
      <c r="S260" s="279">
        <f>SUM(S227:S259)</f>
        <v>15956.401866709075</v>
      </c>
      <c r="T260" s="11">
        <f t="shared" si="30"/>
        <v>8358.929214328753</v>
      </c>
      <c r="U260" s="11">
        <f t="shared" si="30"/>
        <v>25605.264721804706</v>
      </c>
      <c r="V260" s="14">
        <f t="shared" si="30"/>
        <v>15389.680249621373</v>
      </c>
      <c r="W260" s="506">
        <f t="shared" si="30"/>
        <v>289.72188990903879</v>
      </c>
      <c r="X260" s="694">
        <f>SUM(X227:X259)</f>
        <v>118933.41146023777</v>
      </c>
      <c r="Y260" s="695">
        <f>SUM(Y227:Y259)</f>
        <v>603.19175713415609</v>
      </c>
      <c r="Z260" s="695">
        <f>SUM(Z227:Z259)</f>
        <v>818.61738468206897</v>
      </c>
      <c r="AA260" s="285">
        <f>SUM(AA227:AA259)</f>
        <v>120355.22060205395</v>
      </c>
      <c r="AB260" s="139"/>
      <c r="AC260" s="139"/>
      <c r="AD260" s="139"/>
      <c r="AE260" s="139"/>
      <c r="AF260" s="139"/>
      <c r="AG260" s="139"/>
      <c r="AH260" s="139"/>
      <c r="AI260" s="139"/>
      <c r="AJ260" s="139"/>
      <c r="AK260" s="139"/>
      <c r="AL260" s="139"/>
      <c r="AM260" s="139"/>
      <c r="AN260" s="139"/>
      <c r="AO260" s="139"/>
      <c r="AP260" s="139"/>
      <c r="AQ260" s="139"/>
      <c r="AR260" s="139"/>
      <c r="AS260" s="139"/>
      <c r="AT260" s="139"/>
      <c r="AU260" s="139"/>
      <c r="AV260" s="139"/>
      <c r="AW260" s="139"/>
      <c r="AX260" s="139"/>
      <c r="AY260" s="139"/>
      <c r="AZ260" s="139"/>
      <c r="BA260" s="139"/>
      <c r="BB260" s="139"/>
      <c r="BC260" s="139"/>
      <c r="BD260" s="139"/>
      <c r="BE260" s="139"/>
      <c r="BF260" s="139"/>
      <c r="BG260" s="139"/>
      <c r="BH260" s="139"/>
      <c r="BI260" s="139"/>
      <c r="BJ260" s="139"/>
      <c r="BK260" s="139"/>
      <c r="BL260" s="139"/>
      <c r="BM260" s="139"/>
      <c r="BN260" s="139"/>
      <c r="BO260" s="139"/>
      <c r="BP260" s="139"/>
      <c r="BQ260" s="139"/>
      <c r="BR260" s="139"/>
      <c r="BS260" s="139"/>
      <c r="BT260" s="139"/>
      <c r="BU260" s="139"/>
      <c r="BV260" s="139"/>
      <c r="BW260" s="139"/>
      <c r="BX260" s="139"/>
      <c r="BY260" s="139"/>
      <c r="BZ260" s="139"/>
      <c r="CA260" s="139"/>
      <c r="CB260" s="139"/>
      <c r="CC260" s="139"/>
      <c r="CD260" s="139"/>
      <c r="CE260" s="139"/>
      <c r="CF260" s="139"/>
      <c r="CG260" s="139"/>
      <c r="CH260" s="139"/>
      <c r="CI260" s="139"/>
      <c r="CJ260" s="139"/>
      <c r="CK260" s="139"/>
      <c r="CL260" s="139"/>
      <c r="CM260" s="139"/>
      <c r="CN260" s="139"/>
      <c r="CO260" s="139"/>
      <c r="CP260" s="139"/>
      <c r="CQ260" s="139"/>
      <c r="CR260" s="139"/>
      <c r="CS260" s="139"/>
      <c r="CT260" s="139"/>
      <c r="CU260" s="139"/>
      <c r="CV260" s="139"/>
      <c r="CW260" s="139"/>
      <c r="CX260" s="139"/>
      <c r="CY260" s="139"/>
      <c r="CZ260" s="139"/>
      <c r="DA260" s="139"/>
      <c r="DB260" s="139"/>
      <c r="DC260" s="139"/>
      <c r="DD260" s="139"/>
      <c r="DE260" s="139"/>
      <c r="DF260" s="139"/>
      <c r="DG260" s="139"/>
      <c r="DH260" s="139"/>
      <c r="DI260" s="139"/>
      <c r="DJ260" s="139"/>
      <c r="DK260" s="139"/>
      <c r="DL260" s="139"/>
      <c r="DM260" s="139"/>
      <c r="DN260" s="139"/>
      <c r="DO260" s="139"/>
      <c r="DP260" s="139"/>
      <c r="DQ260" s="139"/>
      <c r="DR260" s="139"/>
      <c r="DS260" s="139"/>
      <c r="DT260" s="139"/>
      <c r="DU260" s="139"/>
      <c r="DV260" s="139"/>
      <c r="DW260" s="139"/>
      <c r="DX260" s="139"/>
      <c r="DY260" s="139"/>
      <c r="DZ260" s="139"/>
      <c r="EA260" s="139"/>
      <c r="EB260" s="139"/>
      <c r="EC260" s="139"/>
      <c r="ED260" s="139"/>
      <c r="EE260" s="139"/>
      <c r="EF260" s="139"/>
      <c r="EG260" s="139"/>
      <c r="EH260" s="139"/>
      <c r="EI260" s="139"/>
      <c r="EJ260" s="139"/>
      <c r="EK260" s="139"/>
      <c r="EL260" s="139"/>
      <c r="EM260" s="139"/>
      <c r="EN260" s="139"/>
      <c r="EO260" s="139"/>
      <c r="EP260" s="139"/>
      <c r="EQ260" s="139"/>
      <c r="ER260" s="139"/>
      <c r="ES260" s="139"/>
      <c r="ET260" s="139"/>
      <c r="EU260" s="139"/>
      <c r="EV260" s="139"/>
      <c r="EW260" s="139"/>
      <c r="EX260" s="139"/>
      <c r="EY260" s="139"/>
      <c r="EZ260" s="139"/>
      <c r="FA260" s="139"/>
      <c r="FB260" s="139"/>
      <c r="FC260" s="139"/>
      <c r="FD260" s="139"/>
      <c r="FE260" s="139"/>
      <c r="FF260" s="139"/>
      <c r="FG260" s="139"/>
      <c r="FH260" s="139"/>
      <c r="FI260" s="139"/>
      <c r="FJ260" s="139"/>
      <c r="FK260" s="139"/>
      <c r="FL260" s="139"/>
      <c r="FM260" s="139"/>
      <c r="FN260" s="139"/>
      <c r="FO260" s="139"/>
      <c r="FP260" s="139"/>
      <c r="FQ260" s="139"/>
      <c r="FR260" s="139"/>
      <c r="FS260" s="139"/>
      <c r="FT260" s="139"/>
      <c r="FU260" s="139"/>
      <c r="FV260" s="139"/>
      <c r="FW260" s="139"/>
      <c r="FX260" s="139"/>
      <c r="FY260" s="139"/>
      <c r="FZ260" s="139"/>
      <c r="GA260" s="139"/>
      <c r="GB260" s="139"/>
      <c r="GC260" s="139"/>
      <c r="GD260" s="139"/>
      <c r="GE260" s="139"/>
      <c r="GF260" s="139"/>
      <c r="GG260" s="139"/>
      <c r="GH260" s="139"/>
      <c r="GI260" s="139"/>
      <c r="GJ260" s="139"/>
      <c r="GK260" s="139"/>
      <c r="GL260" s="139"/>
      <c r="GM260" s="139"/>
      <c r="GN260" s="139"/>
      <c r="GO260" s="139"/>
      <c r="GP260" s="139"/>
      <c r="GQ260" s="139"/>
      <c r="GR260" s="139"/>
      <c r="GS260" s="139"/>
      <c r="GT260" s="139"/>
      <c r="GU260" s="139"/>
      <c r="GV260" s="139"/>
      <c r="GW260" s="139"/>
      <c r="GX260" s="139"/>
      <c r="GY260" s="139"/>
      <c r="GZ260" s="139"/>
      <c r="HA260" s="139"/>
      <c r="HB260" s="139"/>
      <c r="HC260" s="139"/>
      <c r="HD260" s="139"/>
      <c r="HE260" s="139"/>
      <c r="HF260" s="139"/>
      <c r="HG260" s="139"/>
      <c r="HH260" s="139"/>
      <c r="HI260" s="139"/>
      <c r="HJ260" s="139"/>
      <c r="HK260" s="139"/>
      <c r="HL260" s="139"/>
      <c r="HM260" s="139"/>
      <c r="HN260" s="139"/>
      <c r="HO260" s="139"/>
      <c r="HP260" s="139"/>
      <c r="HQ260" s="139"/>
      <c r="HR260" s="139"/>
      <c r="HS260" s="139"/>
      <c r="HT260" s="139"/>
      <c r="HU260" s="139"/>
      <c r="HV260" s="139"/>
      <c r="HW260" s="139"/>
      <c r="HX260" s="139"/>
      <c r="HY260" s="139"/>
      <c r="HZ260" s="139"/>
      <c r="IA260" s="139"/>
      <c r="IB260" s="139"/>
      <c r="IC260" s="139"/>
      <c r="ID260" s="139"/>
      <c r="IE260" s="139"/>
      <c r="IF260" s="139"/>
      <c r="IG260" s="139"/>
      <c r="IH260" s="139"/>
      <c r="II260" s="139"/>
      <c r="IJ260" s="139"/>
      <c r="IK260" s="139"/>
      <c r="IL260" s="139"/>
      <c r="IM260" s="139"/>
      <c r="IN260" s="139"/>
      <c r="IO260" s="139"/>
      <c r="IP260" s="139"/>
      <c r="IQ260" s="139"/>
      <c r="IR260" s="139"/>
      <c r="IS260" s="139"/>
      <c r="IT260" s="139"/>
      <c r="IU260" s="139"/>
      <c r="IV260" s="139"/>
      <c r="IW260" s="139"/>
    </row>
    <row r="261" spans="1:258" x14ac:dyDescent="0.3">
      <c r="B261" s="139"/>
      <c r="C261" s="139"/>
      <c r="D261" s="139"/>
      <c r="E261" s="139"/>
      <c r="F261" s="139"/>
      <c r="G261" s="142"/>
      <c r="H261" s="139"/>
      <c r="I261" s="139"/>
      <c r="J261" s="139"/>
      <c r="K261" s="139"/>
      <c r="L261" s="139"/>
      <c r="M261" s="139"/>
      <c r="N261" s="139"/>
      <c r="O261" s="139"/>
      <c r="P261" s="139"/>
      <c r="Q261" s="139"/>
      <c r="R261" s="161"/>
      <c r="S261" s="161"/>
      <c r="T261" s="139"/>
      <c r="U261" s="139"/>
      <c r="V261" s="139"/>
      <c r="W261" s="139"/>
      <c r="X261" s="139"/>
      <c r="Y261" s="139"/>
      <c r="Z261" s="139"/>
      <c r="AA261" s="139"/>
      <c r="AB261" s="139"/>
      <c r="AC261" s="139"/>
      <c r="AD261" s="139"/>
      <c r="AE261" s="139"/>
      <c r="AF261" s="139"/>
      <c r="AG261" s="139"/>
      <c r="AH261" s="139"/>
      <c r="AI261" s="139"/>
      <c r="AJ261" s="139"/>
      <c r="AK261" s="139"/>
      <c r="AL261" s="139"/>
      <c r="AM261" s="139"/>
      <c r="AN261" s="139"/>
      <c r="AO261" s="139"/>
      <c r="AP261" s="139"/>
      <c r="AQ261" s="139"/>
      <c r="AR261" s="139"/>
      <c r="AS261" s="139"/>
      <c r="AT261" s="139"/>
      <c r="AU261" s="139"/>
      <c r="AV261" s="139"/>
      <c r="AW261" s="139"/>
      <c r="AX261" s="139"/>
      <c r="AY261" s="139"/>
      <c r="AZ261" s="139"/>
      <c r="BA261" s="139"/>
      <c r="BB261" s="139"/>
      <c r="BC261" s="139"/>
      <c r="BD261" s="139"/>
      <c r="BE261" s="139"/>
      <c r="BF261" s="139"/>
      <c r="BG261" s="139"/>
      <c r="BH261" s="139"/>
      <c r="BI261" s="139"/>
      <c r="BJ261" s="139"/>
      <c r="BK261" s="139"/>
      <c r="BL261" s="139"/>
      <c r="BM261" s="139"/>
      <c r="BN261" s="139"/>
      <c r="BO261" s="139"/>
      <c r="BP261" s="139"/>
      <c r="BQ261" s="139"/>
      <c r="BR261" s="139"/>
      <c r="BS261" s="139"/>
      <c r="BT261" s="139"/>
      <c r="BU261" s="139"/>
      <c r="BV261" s="139"/>
      <c r="BW261" s="139"/>
      <c r="BX261" s="139"/>
      <c r="BY261" s="139"/>
      <c r="BZ261" s="139"/>
      <c r="CA261" s="139"/>
      <c r="CB261" s="139"/>
      <c r="CC261" s="139"/>
      <c r="CD261" s="139"/>
      <c r="CE261" s="139"/>
      <c r="CF261" s="139"/>
      <c r="CG261" s="139"/>
      <c r="CH261" s="139"/>
      <c r="CI261" s="139"/>
      <c r="CJ261" s="139"/>
      <c r="CK261" s="139"/>
      <c r="CL261" s="139"/>
      <c r="CM261" s="139"/>
      <c r="CN261" s="139"/>
      <c r="CO261" s="139"/>
      <c r="CP261" s="139"/>
      <c r="CQ261" s="139"/>
      <c r="CR261" s="139"/>
      <c r="CS261" s="139"/>
      <c r="CT261" s="139"/>
      <c r="CU261" s="139"/>
      <c r="CV261" s="139"/>
      <c r="CW261" s="139"/>
      <c r="CX261" s="139"/>
      <c r="CY261" s="139"/>
      <c r="CZ261" s="139"/>
      <c r="DA261" s="139"/>
      <c r="DB261" s="139"/>
      <c r="DC261" s="139"/>
      <c r="DD261" s="139"/>
      <c r="DE261" s="139"/>
      <c r="DF261" s="139"/>
      <c r="DG261" s="139"/>
      <c r="DH261" s="139"/>
      <c r="DI261" s="139"/>
      <c r="DJ261" s="139"/>
      <c r="DK261" s="139"/>
      <c r="DL261" s="139"/>
      <c r="DM261" s="139"/>
      <c r="DN261" s="139"/>
      <c r="DO261" s="139"/>
      <c r="DP261" s="139"/>
      <c r="DQ261" s="139"/>
      <c r="DR261" s="139"/>
      <c r="DS261" s="139"/>
      <c r="DT261" s="139"/>
      <c r="DU261" s="139"/>
      <c r="DV261" s="139"/>
      <c r="DW261" s="139"/>
      <c r="DX261" s="139"/>
      <c r="DY261" s="139"/>
      <c r="DZ261" s="139"/>
      <c r="EA261" s="139"/>
      <c r="EB261" s="139"/>
      <c r="EC261" s="139"/>
      <c r="ED261" s="139"/>
      <c r="EE261" s="139"/>
      <c r="EF261" s="139"/>
      <c r="EG261" s="139"/>
      <c r="EH261" s="139"/>
      <c r="EI261" s="139"/>
      <c r="EJ261" s="139"/>
      <c r="EK261" s="139"/>
      <c r="EL261" s="139"/>
      <c r="EM261" s="139"/>
      <c r="EN261" s="139"/>
      <c r="EO261" s="139"/>
      <c r="EP261" s="139"/>
      <c r="EQ261" s="139"/>
      <c r="ER261" s="139"/>
      <c r="ES261" s="139"/>
      <c r="ET261" s="139"/>
      <c r="EU261" s="139"/>
      <c r="EV261" s="139"/>
      <c r="EW261" s="139"/>
      <c r="EX261" s="139"/>
      <c r="EY261" s="139"/>
      <c r="EZ261" s="139"/>
      <c r="FA261" s="139"/>
      <c r="FB261" s="139"/>
      <c r="FC261" s="139"/>
      <c r="FD261" s="139"/>
      <c r="FE261" s="139"/>
      <c r="FF261" s="139"/>
      <c r="FG261" s="139"/>
      <c r="FH261" s="139"/>
      <c r="FI261" s="139"/>
      <c r="FJ261" s="139"/>
      <c r="FK261" s="139"/>
      <c r="FL261" s="139"/>
      <c r="FM261" s="139"/>
      <c r="FN261" s="139"/>
      <c r="FO261" s="139"/>
      <c r="FP261" s="139"/>
      <c r="FQ261" s="139"/>
      <c r="FR261" s="139"/>
      <c r="FS261" s="139"/>
      <c r="FT261" s="139"/>
      <c r="FU261" s="139"/>
      <c r="FV261" s="139"/>
      <c r="FW261" s="139"/>
      <c r="FX261" s="139"/>
      <c r="FY261" s="139"/>
      <c r="FZ261" s="139"/>
      <c r="GA261" s="139"/>
      <c r="GB261" s="139"/>
      <c r="GC261" s="139"/>
      <c r="GD261" s="139"/>
      <c r="GE261" s="139"/>
      <c r="GF261" s="139"/>
      <c r="GG261" s="139"/>
      <c r="GH261" s="139"/>
      <c r="GI261" s="139"/>
      <c r="GJ261" s="139"/>
      <c r="GK261" s="139"/>
      <c r="GL261" s="139"/>
      <c r="GM261" s="139"/>
      <c r="GN261" s="139"/>
      <c r="GO261" s="139"/>
      <c r="GP261" s="139"/>
      <c r="GQ261" s="139"/>
      <c r="GR261" s="139"/>
      <c r="GS261" s="139"/>
      <c r="GT261" s="139"/>
      <c r="GU261" s="139"/>
      <c r="GV261" s="139"/>
      <c r="GW261" s="139"/>
      <c r="GX261" s="139"/>
      <c r="GY261" s="139"/>
      <c r="GZ261" s="139"/>
      <c r="HA261" s="139"/>
      <c r="HB261" s="139"/>
      <c r="HC261" s="139"/>
      <c r="HD261" s="139"/>
      <c r="HE261" s="139"/>
      <c r="HF261" s="139"/>
      <c r="HG261" s="139"/>
      <c r="HH261" s="139"/>
      <c r="HI261" s="139"/>
      <c r="HJ261" s="139"/>
      <c r="HK261" s="139"/>
      <c r="HL261" s="139"/>
      <c r="HM261" s="139"/>
      <c r="HN261" s="139"/>
      <c r="HO261" s="139"/>
      <c r="HP261" s="139"/>
      <c r="HQ261" s="139"/>
      <c r="HR261" s="139"/>
      <c r="HS261" s="139"/>
      <c r="HT261" s="139"/>
      <c r="HU261" s="139"/>
      <c r="HV261" s="139"/>
      <c r="HW261" s="139"/>
      <c r="HX261" s="139"/>
      <c r="HY261" s="139"/>
      <c r="HZ261" s="139"/>
      <c r="IA261" s="139"/>
      <c r="IB261" s="139"/>
      <c r="IC261" s="139"/>
      <c r="ID261" s="139"/>
      <c r="IE261" s="139"/>
      <c r="IF261" s="139"/>
      <c r="IG261" s="139"/>
      <c r="IH261" s="139"/>
      <c r="II261" s="139"/>
      <c r="IJ261" s="139"/>
      <c r="IK261" s="139"/>
      <c r="IL261" s="139"/>
      <c r="IM261" s="139"/>
      <c r="IN261" s="139"/>
      <c r="IO261" s="139"/>
      <c r="IP261" s="139"/>
      <c r="IQ261" s="139"/>
      <c r="IR261" s="139"/>
      <c r="IS261" s="139"/>
    </row>
    <row r="262" spans="1:258" ht="21" x14ac:dyDescent="0.3">
      <c r="A262" s="105"/>
      <c r="B262" s="138" t="s">
        <v>379</v>
      </c>
      <c r="D262" s="139"/>
      <c r="E262" s="158"/>
      <c r="F262" s="161"/>
      <c r="G262" s="161"/>
      <c r="H262" s="158"/>
      <c r="I262" s="160"/>
      <c r="J262" s="160"/>
      <c r="K262" s="158"/>
      <c r="L262" s="139"/>
      <c r="M262" s="139"/>
      <c r="N262" s="139"/>
      <c r="O262" s="139"/>
      <c r="P262" s="139"/>
      <c r="Q262" s="139"/>
      <c r="R262" s="139"/>
      <c r="S262" s="502"/>
      <c r="T262" s="142"/>
      <c r="U262" s="139"/>
      <c r="V262" s="139"/>
      <c r="W262" s="139"/>
      <c r="X262" s="139"/>
      <c r="Y262" s="139"/>
      <c r="Z262" s="139"/>
      <c r="AA262" s="139"/>
      <c r="AB262" s="139"/>
      <c r="AC262" s="139"/>
      <c r="AD262" s="139"/>
      <c r="AE262" s="139"/>
      <c r="AF262" s="139"/>
      <c r="AG262" s="139"/>
      <c r="AH262" s="139"/>
      <c r="AI262" s="139"/>
      <c r="AJ262" s="139"/>
      <c r="AK262" s="139"/>
      <c r="AL262" s="139"/>
      <c r="AM262" s="139"/>
      <c r="AN262" s="139"/>
      <c r="AO262" s="139"/>
      <c r="AP262" s="139"/>
      <c r="AQ262" s="139"/>
      <c r="AR262" s="139"/>
      <c r="AS262" s="139"/>
      <c r="AT262" s="139"/>
      <c r="AU262" s="139"/>
      <c r="AV262" s="139"/>
      <c r="AW262" s="139"/>
      <c r="AX262" s="139"/>
      <c r="AY262" s="139"/>
      <c r="AZ262" s="139"/>
      <c r="BA262" s="139"/>
      <c r="BB262" s="139"/>
      <c r="BC262" s="139"/>
      <c r="BD262" s="139"/>
      <c r="BE262" s="139"/>
      <c r="BF262" s="139"/>
      <c r="BG262" s="139"/>
      <c r="BH262" s="139"/>
      <c r="BI262" s="139"/>
      <c r="BJ262" s="139"/>
      <c r="BK262" s="139"/>
      <c r="BL262" s="139"/>
      <c r="BM262" s="139"/>
      <c r="BN262" s="139"/>
      <c r="BO262" s="139"/>
      <c r="BP262" s="139"/>
      <c r="BQ262" s="139"/>
      <c r="BR262" s="139"/>
      <c r="BS262" s="139"/>
      <c r="BT262" s="139"/>
      <c r="BU262" s="139"/>
      <c r="BV262" s="139"/>
      <c r="BW262" s="139"/>
      <c r="BX262" s="139"/>
      <c r="BY262" s="139"/>
      <c r="BZ262" s="139"/>
      <c r="CA262" s="139"/>
      <c r="CB262" s="139"/>
      <c r="CC262" s="139"/>
      <c r="CD262" s="139"/>
      <c r="CE262" s="139"/>
      <c r="CF262" s="139"/>
      <c r="CG262" s="139"/>
      <c r="CH262" s="139"/>
      <c r="CI262" s="139"/>
      <c r="CJ262" s="139"/>
      <c r="CK262" s="139"/>
      <c r="CL262" s="139"/>
      <c r="CM262" s="139"/>
      <c r="CN262" s="139"/>
      <c r="CO262" s="139"/>
      <c r="CP262" s="139"/>
      <c r="CQ262" s="139"/>
      <c r="CR262" s="139"/>
      <c r="CS262" s="139"/>
      <c r="CT262" s="139"/>
      <c r="CU262" s="139"/>
      <c r="CV262" s="139"/>
      <c r="CW262" s="139"/>
      <c r="CX262" s="139"/>
      <c r="CY262" s="139"/>
      <c r="CZ262" s="139"/>
      <c r="DA262" s="139"/>
      <c r="DB262" s="139"/>
      <c r="DC262" s="139"/>
      <c r="DD262" s="139"/>
      <c r="DE262" s="139"/>
      <c r="DF262" s="139"/>
      <c r="DG262" s="139"/>
      <c r="DH262" s="139"/>
      <c r="DI262" s="139"/>
      <c r="DJ262" s="139"/>
      <c r="DK262" s="139"/>
      <c r="DL262" s="139"/>
      <c r="DM262" s="139"/>
      <c r="DN262" s="139"/>
      <c r="DO262" s="139"/>
      <c r="DP262" s="139"/>
      <c r="DQ262" s="139"/>
      <c r="DR262" s="139"/>
      <c r="DS262" s="139"/>
      <c r="DT262" s="139"/>
      <c r="DU262" s="139"/>
      <c r="DV262" s="139"/>
      <c r="DW262" s="139"/>
      <c r="DX262" s="139"/>
      <c r="DY262" s="139"/>
      <c r="DZ262" s="139"/>
      <c r="EA262" s="139"/>
      <c r="EB262" s="139"/>
      <c r="EC262" s="139"/>
      <c r="ED262" s="139"/>
      <c r="EE262" s="139"/>
      <c r="EF262" s="139"/>
      <c r="EG262" s="139"/>
      <c r="EH262" s="139"/>
      <c r="EI262" s="139"/>
      <c r="EJ262" s="139"/>
      <c r="EK262" s="139"/>
      <c r="EL262" s="139"/>
      <c r="EM262" s="139"/>
      <c r="EN262" s="139"/>
      <c r="EO262" s="139"/>
      <c r="EP262" s="139"/>
      <c r="EQ262" s="139"/>
      <c r="ER262" s="139"/>
      <c r="ES262" s="139"/>
      <c r="ET262" s="139"/>
      <c r="EU262" s="139"/>
      <c r="EV262" s="139"/>
      <c r="EW262" s="139"/>
      <c r="EX262" s="139"/>
      <c r="EY262" s="139"/>
      <c r="EZ262" s="139"/>
      <c r="FA262" s="139"/>
      <c r="FB262" s="139"/>
      <c r="FC262" s="139"/>
      <c r="FD262" s="139"/>
      <c r="FE262" s="139"/>
      <c r="FF262" s="139"/>
      <c r="FG262" s="139"/>
      <c r="FH262" s="139"/>
      <c r="FI262" s="139"/>
      <c r="FJ262" s="139"/>
      <c r="FK262" s="139"/>
      <c r="FL262" s="139"/>
      <c r="FM262" s="139"/>
      <c r="FN262" s="139"/>
      <c r="FO262" s="139"/>
      <c r="FP262" s="139"/>
      <c r="FQ262" s="139"/>
      <c r="FR262" s="139"/>
      <c r="FS262" s="139"/>
      <c r="FT262" s="139"/>
      <c r="FU262" s="139"/>
      <c r="FV262" s="139"/>
      <c r="FW262" s="139"/>
      <c r="FX262" s="139"/>
      <c r="FY262" s="139"/>
      <c r="FZ262" s="139"/>
      <c r="GA262" s="139"/>
      <c r="GB262" s="139"/>
      <c r="GC262" s="139"/>
      <c r="GD262" s="139"/>
      <c r="GE262" s="139"/>
      <c r="GF262" s="139"/>
      <c r="GG262" s="139"/>
      <c r="GH262" s="139"/>
      <c r="GI262" s="139"/>
      <c r="GJ262" s="139"/>
      <c r="GK262" s="139"/>
      <c r="GL262" s="139"/>
      <c r="GM262" s="139"/>
      <c r="GN262" s="139"/>
      <c r="GO262" s="139"/>
      <c r="GP262" s="139"/>
      <c r="GQ262" s="139"/>
      <c r="GR262" s="139"/>
      <c r="GS262" s="139"/>
      <c r="GT262" s="139"/>
      <c r="GU262" s="139"/>
      <c r="GV262" s="139"/>
      <c r="GW262" s="139"/>
      <c r="GX262" s="139"/>
      <c r="GY262" s="139"/>
      <c r="GZ262" s="139"/>
      <c r="HA262" s="139"/>
      <c r="HB262" s="139"/>
      <c r="HC262" s="139"/>
      <c r="HD262" s="139"/>
      <c r="HE262" s="139"/>
      <c r="HF262" s="139"/>
      <c r="HG262" s="139"/>
      <c r="HH262" s="139"/>
      <c r="HI262" s="139"/>
      <c r="HJ262" s="139"/>
      <c r="HK262" s="139"/>
      <c r="HL262" s="139"/>
      <c r="HM262" s="139"/>
      <c r="HN262" s="139"/>
      <c r="HO262" s="139"/>
      <c r="HP262" s="139"/>
      <c r="HQ262" s="139"/>
      <c r="HR262" s="139"/>
      <c r="HS262" s="139"/>
      <c r="HT262" s="139"/>
      <c r="HU262" s="139"/>
      <c r="HV262" s="139"/>
      <c r="HW262" s="139"/>
      <c r="HX262" s="139"/>
      <c r="HY262" s="139"/>
      <c r="HZ262" s="139"/>
      <c r="IA262" s="139"/>
      <c r="IB262" s="139"/>
      <c r="IC262" s="139"/>
      <c r="ID262" s="139"/>
      <c r="IE262" s="139"/>
      <c r="IF262" s="139"/>
      <c r="IG262" s="139"/>
      <c r="IH262" s="139"/>
      <c r="II262" s="139"/>
      <c r="IJ262" s="139"/>
      <c r="IK262" s="139"/>
      <c r="IL262" s="139"/>
      <c r="IM262" s="139"/>
      <c r="IN262" s="139"/>
      <c r="IO262" s="139"/>
      <c r="IP262" s="139"/>
      <c r="IQ262" s="139"/>
      <c r="IR262" s="139"/>
      <c r="IS262" s="139"/>
    </row>
    <row r="263" spans="1:258" ht="21.6" thickBot="1" x14ac:dyDescent="0.35">
      <c r="B263" s="138"/>
      <c r="C263" s="138"/>
      <c r="D263" s="139"/>
      <c r="E263" s="158"/>
      <c r="F263" s="158"/>
      <c r="G263" s="158"/>
      <c r="H263" s="158"/>
      <c r="I263" s="160"/>
      <c r="J263" s="160"/>
      <c r="K263" s="158"/>
      <c r="L263" s="158"/>
      <c r="M263" s="160"/>
      <c r="N263" s="160"/>
      <c r="O263" s="139"/>
      <c r="P263" s="139"/>
      <c r="Q263" s="139"/>
      <c r="R263" s="282"/>
      <c r="S263" s="142"/>
      <c r="T263" s="139"/>
      <c r="U263" s="139"/>
      <c r="V263" s="139"/>
      <c r="W263" s="139"/>
      <c r="X263" s="139"/>
      <c r="Y263" s="139"/>
      <c r="Z263" s="139"/>
      <c r="AA263" s="139"/>
      <c r="AB263" s="139"/>
      <c r="AC263" s="139"/>
      <c r="AD263" s="139"/>
      <c r="AE263" s="139"/>
      <c r="AF263" s="139"/>
      <c r="AG263" s="139"/>
      <c r="AH263" s="139"/>
      <c r="AI263" s="139"/>
      <c r="AJ263" s="139"/>
      <c r="AK263" s="139"/>
      <c r="AL263" s="139"/>
      <c r="AM263" s="139"/>
      <c r="AN263" s="139"/>
      <c r="AO263" s="139"/>
      <c r="AP263" s="139"/>
      <c r="AQ263" s="139"/>
      <c r="AR263" s="139"/>
      <c r="AS263" s="139"/>
      <c r="AT263" s="139"/>
      <c r="AU263" s="139"/>
      <c r="AV263" s="139"/>
      <c r="AW263" s="139"/>
      <c r="AX263" s="139"/>
      <c r="AY263" s="139"/>
      <c r="AZ263" s="139"/>
      <c r="BA263" s="139"/>
      <c r="BB263" s="139"/>
      <c r="BC263" s="139"/>
      <c r="BD263" s="139"/>
      <c r="BE263" s="139"/>
      <c r="BF263" s="139"/>
      <c r="BG263" s="139"/>
      <c r="BH263" s="139"/>
      <c r="BI263" s="139"/>
      <c r="BJ263" s="139"/>
      <c r="BK263" s="139"/>
      <c r="BL263" s="139"/>
      <c r="BM263" s="139"/>
      <c r="BN263" s="139"/>
      <c r="BO263" s="139"/>
      <c r="BP263" s="139"/>
      <c r="BQ263" s="139"/>
      <c r="BR263" s="139"/>
      <c r="BS263" s="139"/>
      <c r="BT263" s="139"/>
      <c r="BU263" s="139"/>
      <c r="BV263" s="139"/>
      <c r="BW263" s="139"/>
      <c r="BX263" s="139"/>
      <c r="BY263" s="139"/>
      <c r="BZ263" s="139"/>
      <c r="CA263" s="139"/>
      <c r="CB263" s="139"/>
      <c r="CC263" s="139"/>
      <c r="CD263" s="139"/>
      <c r="CE263" s="139"/>
      <c r="CF263" s="139"/>
      <c r="CG263" s="139"/>
      <c r="CH263" s="139"/>
      <c r="CI263" s="139"/>
      <c r="CJ263" s="139"/>
      <c r="CK263" s="139"/>
      <c r="CL263" s="139"/>
      <c r="CM263" s="139"/>
      <c r="CN263" s="139"/>
      <c r="CO263" s="139"/>
      <c r="CP263" s="139"/>
      <c r="CQ263" s="139"/>
      <c r="CR263" s="139"/>
      <c r="CS263" s="139"/>
      <c r="CT263" s="139"/>
      <c r="CU263" s="139"/>
      <c r="CV263" s="139"/>
      <c r="CW263" s="139"/>
      <c r="CX263" s="139"/>
      <c r="CY263" s="139"/>
      <c r="CZ263" s="139"/>
      <c r="DA263" s="139"/>
      <c r="DB263" s="139"/>
      <c r="DC263" s="139"/>
      <c r="DD263" s="139"/>
      <c r="DE263" s="139"/>
      <c r="DF263" s="139"/>
      <c r="DG263" s="139"/>
      <c r="DH263" s="139"/>
      <c r="DI263" s="139"/>
      <c r="DJ263" s="139"/>
      <c r="DK263" s="139"/>
      <c r="DL263" s="139"/>
      <c r="DM263" s="139"/>
      <c r="DN263" s="139"/>
      <c r="DO263" s="139"/>
      <c r="DP263" s="139"/>
      <c r="DQ263" s="139"/>
      <c r="DR263" s="139"/>
      <c r="DS263" s="139"/>
      <c r="DT263" s="139"/>
      <c r="DU263" s="139"/>
      <c r="DV263" s="139"/>
      <c r="DW263" s="139"/>
      <c r="DX263" s="139"/>
      <c r="DY263" s="139"/>
      <c r="DZ263" s="139"/>
      <c r="EA263" s="139"/>
      <c r="EB263" s="139"/>
      <c r="EC263" s="139"/>
      <c r="ED263" s="139"/>
      <c r="EE263" s="139"/>
      <c r="EF263" s="139"/>
      <c r="EG263" s="139"/>
      <c r="EH263" s="139"/>
      <c r="EI263" s="139"/>
      <c r="EJ263" s="139"/>
      <c r="EK263" s="139"/>
      <c r="EL263" s="139"/>
      <c r="EM263" s="139"/>
      <c r="EN263" s="139"/>
      <c r="EO263" s="139"/>
      <c r="EP263" s="139"/>
      <c r="EQ263" s="139"/>
      <c r="ER263" s="139"/>
      <c r="ES263" s="139"/>
      <c r="ET263" s="139"/>
      <c r="EU263" s="139"/>
      <c r="EV263" s="139"/>
      <c r="EW263" s="139"/>
      <c r="EX263" s="139"/>
      <c r="EY263" s="139"/>
      <c r="EZ263" s="139"/>
      <c r="FA263" s="139"/>
      <c r="FB263" s="139"/>
      <c r="FC263" s="139"/>
      <c r="FD263" s="139"/>
      <c r="FE263" s="139"/>
      <c r="FF263" s="139"/>
      <c r="FG263" s="139"/>
      <c r="FH263" s="139"/>
      <c r="FI263" s="139"/>
      <c r="FJ263" s="139"/>
      <c r="FK263" s="139"/>
      <c r="FL263" s="139"/>
      <c r="FM263" s="139"/>
      <c r="FN263" s="139"/>
      <c r="FO263" s="139"/>
      <c r="FP263" s="139"/>
      <c r="FQ263" s="139"/>
      <c r="FR263" s="139"/>
      <c r="FS263" s="139"/>
      <c r="FT263" s="139"/>
      <c r="FU263" s="139"/>
      <c r="FV263" s="139"/>
      <c r="FW263" s="139"/>
      <c r="FX263" s="139"/>
      <c r="FY263" s="139"/>
      <c r="FZ263" s="139"/>
      <c r="GA263" s="139"/>
      <c r="GB263" s="139"/>
      <c r="GC263" s="139"/>
      <c r="GD263" s="139"/>
      <c r="GE263" s="139"/>
      <c r="GF263" s="139"/>
      <c r="GG263" s="139"/>
      <c r="GH263" s="139"/>
      <c r="GI263" s="139"/>
      <c r="GJ263" s="139"/>
      <c r="GK263" s="139"/>
      <c r="GL263" s="139"/>
      <c r="GM263" s="139"/>
      <c r="GN263" s="139"/>
      <c r="GO263" s="139"/>
      <c r="GP263" s="139"/>
      <c r="GQ263" s="139"/>
      <c r="GR263" s="139"/>
      <c r="GS263" s="139"/>
      <c r="GT263" s="139"/>
      <c r="GU263" s="139"/>
      <c r="GV263" s="139"/>
      <c r="GW263" s="139"/>
      <c r="GX263" s="139"/>
      <c r="GY263" s="139"/>
      <c r="GZ263" s="139"/>
      <c r="HA263" s="139"/>
      <c r="HB263" s="139"/>
      <c r="HC263" s="139"/>
      <c r="HD263" s="139"/>
      <c r="HE263" s="139"/>
      <c r="HF263" s="139"/>
      <c r="HG263" s="139"/>
      <c r="HH263" s="139"/>
      <c r="HI263" s="139"/>
      <c r="HJ263" s="139"/>
      <c r="HK263" s="139"/>
      <c r="HL263" s="139"/>
      <c r="HM263" s="139"/>
      <c r="HN263" s="139"/>
      <c r="HO263" s="139"/>
      <c r="HP263" s="139"/>
      <c r="HQ263" s="139"/>
      <c r="HR263" s="139"/>
      <c r="HS263" s="139"/>
      <c r="HT263" s="139"/>
      <c r="HU263" s="139"/>
      <c r="HV263" s="139"/>
      <c r="HW263" s="139"/>
      <c r="HX263" s="139"/>
      <c r="HY263" s="139"/>
      <c r="HZ263" s="139"/>
      <c r="IA263" s="139"/>
      <c r="IB263" s="139"/>
      <c r="IC263" s="139"/>
      <c r="ID263" s="139"/>
      <c r="IE263" s="139"/>
      <c r="IF263" s="139"/>
      <c r="IG263" s="139"/>
      <c r="IH263" s="139"/>
      <c r="II263" s="139"/>
      <c r="IJ263" s="139"/>
      <c r="IK263" s="139"/>
      <c r="IL263" s="139"/>
      <c r="IM263" s="139"/>
      <c r="IN263" s="139"/>
      <c r="IO263" s="139"/>
      <c r="IP263" s="139"/>
      <c r="IQ263" s="139"/>
      <c r="IR263" s="139"/>
      <c r="IS263" s="139"/>
    </row>
    <row r="264" spans="1:258" x14ac:dyDescent="0.3">
      <c r="B264" s="1314" t="s">
        <v>199</v>
      </c>
      <c r="C264" s="1311" t="s">
        <v>200</v>
      </c>
      <c r="D264" s="1369" t="s">
        <v>360</v>
      </c>
      <c r="E264" s="1370"/>
      <c r="F264" s="1370"/>
      <c r="G264" s="1370"/>
      <c r="H264" s="1370"/>
      <c r="I264" s="1370"/>
      <c r="J264" s="1370"/>
      <c r="K264" s="1370"/>
      <c r="L264" s="1370"/>
      <c r="M264" s="1370"/>
      <c r="N264" s="1370"/>
      <c r="O264" s="1371"/>
      <c r="P264" s="1372" t="s">
        <v>380</v>
      </c>
      <c r="Q264" s="1373"/>
      <c r="R264" s="1373"/>
      <c r="S264" s="1374"/>
      <c r="T264" s="1378" t="s">
        <v>361</v>
      </c>
      <c r="U264" s="1379"/>
      <c r="V264" s="1379"/>
      <c r="W264" s="1379"/>
      <c r="X264" s="1379"/>
      <c r="Y264" s="1379"/>
      <c r="Z264" s="1379"/>
      <c r="AA264" s="1380"/>
      <c r="AB264" s="1367" t="s">
        <v>96</v>
      </c>
      <c r="AC264" s="139"/>
      <c r="AD264" s="139"/>
      <c r="AE264" s="139"/>
      <c r="AF264" s="139"/>
      <c r="AG264" s="139"/>
      <c r="AH264" s="139"/>
      <c r="AI264" s="139"/>
      <c r="AJ264" s="139"/>
      <c r="AK264" s="139"/>
      <c r="AL264" s="139"/>
      <c r="AM264" s="139"/>
      <c r="AN264" s="139"/>
      <c r="AO264" s="139"/>
      <c r="AP264" s="139"/>
      <c r="AQ264" s="139"/>
      <c r="AR264" s="139"/>
      <c r="AS264" s="139"/>
      <c r="AT264" s="139"/>
      <c r="AU264" s="139"/>
      <c r="AV264" s="139"/>
      <c r="AW264" s="139"/>
      <c r="AX264" s="139"/>
      <c r="AY264" s="139"/>
      <c r="AZ264" s="139"/>
      <c r="BA264" s="139"/>
      <c r="BB264" s="139"/>
      <c r="BC264" s="139"/>
      <c r="BD264" s="139"/>
      <c r="BE264" s="139"/>
      <c r="BF264" s="139"/>
      <c r="BG264" s="139"/>
      <c r="BH264" s="139"/>
      <c r="BI264" s="139"/>
      <c r="BJ264" s="139"/>
      <c r="BK264" s="139"/>
      <c r="BL264" s="139"/>
      <c r="BM264" s="139"/>
      <c r="BN264" s="139"/>
      <c r="BO264" s="139"/>
      <c r="BP264" s="139"/>
      <c r="BQ264" s="139"/>
      <c r="BR264" s="139"/>
      <c r="BS264" s="139"/>
      <c r="BT264" s="139"/>
      <c r="BU264" s="139"/>
      <c r="BV264" s="139"/>
      <c r="BW264" s="139"/>
      <c r="BX264" s="139"/>
      <c r="BY264" s="139"/>
      <c r="BZ264" s="139"/>
      <c r="CA264" s="139"/>
      <c r="CB264" s="139"/>
      <c r="CC264" s="139"/>
      <c r="CD264" s="139"/>
      <c r="CE264" s="139"/>
      <c r="CF264" s="139"/>
      <c r="CG264" s="139"/>
      <c r="CH264" s="139"/>
      <c r="CI264" s="139"/>
      <c r="CJ264" s="139"/>
      <c r="CK264" s="139"/>
      <c r="CL264" s="139"/>
      <c r="CM264" s="139"/>
      <c r="CN264" s="139"/>
      <c r="CO264" s="139"/>
      <c r="CP264" s="139"/>
      <c r="CQ264" s="139"/>
      <c r="CR264" s="139"/>
      <c r="CS264" s="139"/>
      <c r="CT264" s="139"/>
      <c r="CU264" s="139"/>
      <c r="CV264" s="139"/>
      <c r="CW264" s="139"/>
      <c r="CX264" s="139"/>
      <c r="CY264" s="139"/>
      <c r="CZ264" s="139"/>
      <c r="DA264" s="139"/>
      <c r="DB264" s="139"/>
      <c r="DC264" s="139"/>
      <c r="DD264" s="139"/>
      <c r="DE264" s="139"/>
      <c r="DF264" s="139"/>
      <c r="DG264" s="139"/>
      <c r="DH264" s="139"/>
      <c r="DI264" s="139"/>
      <c r="DJ264" s="139"/>
      <c r="DK264" s="139"/>
      <c r="DL264" s="139"/>
      <c r="DM264" s="139"/>
      <c r="DN264" s="139"/>
      <c r="DO264" s="139"/>
      <c r="DP264" s="139"/>
      <c r="DQ264" s="139"/>
      <c r="DR264" s="139"/>
      <c r="DS264" s="139"/>
      <c r="DT264" s="139"/>
      <c r="DU264" s="139"/>
      <c r="DV264" s="139"/>
      <c r="DW264" s="139"/>
      <c r="DX264" s="139"/>
      <c r="DY264" s="139"/>
      <c r="DZ264" s="139"/>
      <c r="EA264" s="139"/>
      <c r="EB264" s="139"/>
      <c r="EC264" s="139"/>
      <c r="ED264" s="139"/>
      <c r="EE264" s="139"/>
      <c r="EF264" s="139"/>
      <c r="EG264" s="139"/>
      <c r="EH264" s="139"/>
      <c r="EI264" s="139"/>
      <c r="EJ264" s="139"/>
      <c r="EK264" s="139"/>
      <c r="EL264" s="139"/>
      <c r="EM264" s="139"/>
      <c r="EN264" s="139"/>
      <c r="EO264" s="139"/>
      <c r="EP264" s="139"/>
      <c r="EQ264" s="139"/>
      <c r="ER264" s="139"/>
      <c r="ES264" s="139"/>
      <c r="ET264" s="139"/>
      <c r="EU264" s="139"/>
      <c r="EV264" s="139"/>
      <c r="EW264" s="139"/>
      <c r="EX264" s="139"/>
      <c r="EY264" s="139"/>
      <c r="EZ264" s="139"/>
      <c r="FA264" s="139"/>
      <c r="FB264" s="139"/>
      <c r="FC264" s="139"/>
      <c r="FD264" s="139"/>
      <c r="FE264" s="139"/>
      <c r="FF264" s="139"/>
      <c r="FG264" s="139"/>
      <c r="FH264" s="139"/>
      <c r="FI264" s="139"/>
      <c r="FJ264" s="139"/>
      <c r="FK264" s="139"/>
      <c r="FL264" s="139"/>
      <c r="FM264" s="139"/>
      <c r="FN264" s="139"/>
      <c r="FO264" s="139"/>
      <c r="FP264" s="139"/>
      <c r="FQ264" s="139"/>
      <c r="FR264" s="139"/>
      <c r="FS264" s="139"/>
      <c r="FT264" s="139"/>
      <c r="FU264" s="139"/>
      <c r="FV264" s="139"/>
      <c r="FW264" s="139"/>
      <c r="FX264" s="139"/>
      <c r="FY264" s="139"/>
      <c r="FZ264" s="139"/>
      <c r="GA264" s="139"/>
      <c r="GB264" s="139"/>
      <c r="GC264" s="139"/>
      <c r="GD264" s="139"/>
      <c r="GE264" s="139"/>
      <c r="GF264" s="139"/>
      <c r="GG264" s="139"/>
      <c r="GH264" s="139"/>
      <c r="GI264" s="139"/>
      <c r="GJ264" s="139"/>
      <c r="GK264" s="139"/>
      <c r="GL264" s="139"/>
      <c r="GM264" s="139"/>
      <c r="GN264" s="139"/>
      <c r="GO264" s="139"/>
      <c r="GP264" s="139"/>
      <c r="GQ264" s="139"/>
      <c r="GR264" s="139"/>
      <c r="GS264" s="139"/>
      <c r="GT264" s="139"/>
      <c r="GU264" s="139"/>
      <c r="GV264" s="139"/>
      <c r="GW264" s="139"/>
      <c r="GX264" s="139"/>
      <c r="GY264" s="139"/>
      <c r="GZ264" s="139"/>
      <c r="HA264" s="139"/>
      <c r="HB264" s="139"/>
      <c r="HC264" s="139"/>
      <c r="HD264" s="139"/>
      <c r="HE264" s="139"/>
      <c r="HF264" s="139"/>
      <c r="HG264" s="139"/>
      <c r="HH264" s="139"/>
      <c r="HI264" s="139"/>
      <c r="HJ264" s="139"/>
      <c r="HK264" s="139"/>
      <c r="HL264" s="139"/>
      <c r="HM264" s="139"/>
      <c r="HN264" s="139"/>
      <c r="HO264" s="139"/>
      <c r="HP264" s="139"/>
      <c r="HQ264" s="139"/>
      <c r="HR264" s="139"/>
      <c r="HS264" s="139"/>
      <c r="HT264" s="139"/>
      <c r="HU264" s="139"/>
      <c r="HV264" s="139"/>
      <c r="HW264" s="139"/>
      <c r="HX264" s="139"/>
      <c r="HY264" s="139"/>
      <c r="HZ264" s="139"/>
      <c r="IA264" s="139"/>
      <c r="IB264" s="139"/>
      <c r="IC264" s="139"/>
      <c r="ID264" s="139"/>
      <c r="IE264" s="139"/>
      <c r="IF264" s="139"/>
      <c r="IG264" s="139"/>
      <c r="IH264" s="139"/>
      <c r="II264" s="139"/>
      <c r="IJ264" s="139"/>
      <c r="IK264" s="139"/>
      <c r="IL264" s="139"/>
      <c r="IM264" s="139"/>
      <c r="IN264" s="139"/>
      <c r="IO264" s="139"/>
      <c r="IP264" s="139"/>
      <c r="IQ264" s="139"/>
      <c r="IR264" s="139"/>
      <c r="IS264" s="139"/>
      <c r="IT264" s="139"/>
      <c r="IU264" s="139"/>
      <c r="IV264" s="139"/>
      <c r="IW264" s="139"/>
      <c r="IX264" s="139"/>
    </row>
    <row r="265" spans="1:258" ht="27" customHeight="1" x14ac:dyDescent="0.3">
      <c r="B265" s="1315"/>
      <c r="C265" s="1312"/>
      <c r="D265" s="1001" t="s">
        <v>381</v>
      </c>
      <c r="E265" s="1002" t="s">
        <v>382</v>
      </c>
      <c r="F265" s="1002" t="s">
        <v>383</v>
      </c>
      <c r="G265" s="1002" t="s">
        <v>384</v>
      </c>
      <c r="H265" s="1002" t="s">
        <v>385</v>
      </c>
      <c r="I265" s="1002" t="s">
        <v>386</v>
      </c>
      <c r="J265" s="1002" t="s">
        <v>387</v>
      </c>
      <c r="K265" s="1002" t="s">
        <v>388</v>
      </c>
      <c r="L265" s="1002" t="s">
        <v>389</v>
      </c>
      <c r="M265" s="1002" t="s">
        <v>390</v>
      </c>
      <c r="N265" s="1002" t="s">
        <v>391</v>
      </c>
      <c r="O265" s="691" t="s">
        <v>392</v>
      </c>
      <c r="P265" s="1375"/>
      <c r="Q265" s="1376"/>
      <c r="R265" s="1376"/>
      <c r="S265" s="1377"/>
      <c r="T265" s="938" t="s">
        <v>371</v>
      </c>
      <c r="U265" s="936" t="s">
        <v>363</v>
      </c>
      <c r="V265" s="1003" t="s">
        <v>364</v>
      </c>
      <c r="W265" s="1003" t="s">
        <v>365</v>
      </c>
      <c r="X265" s="936" t="s">
        <v>366</v>
      </c>
      <c r="Y265" s="1004" t="s">
        <v>372</v>
      </c>
      <c r="Z265" s="1004" t="s">
        <v>373</v>
      </c>
      <c r="AA265" s="1005" t="s">
        <v>374</v>
      </c>
      <c r="AB265" s="1368"/>
      <c r="AE265" s="139"/>
      <c r="AF265" s="139"/>
      <c r="AG265" s="139"/>
      <c r="AH265" s="139"/>
      <c r="AI265" s="139"/>
      <c r="AJ265" s="139"/>
      <c r="AK265" s="139"/>
      <c r="AL265" s="139"/>
      <c r="AM265" s="139"/>
      <c r="AN265" s="139"/>
      <c r="AO265" s="139"/>
      <c r="AP265" s="139"/>
      <c r="AQ265" s="139"/>
      <c r="AR265" s="139"/>
      <c r="AS265" s="139"/>
      <c r="AT265" s="139"/>
      <c r="AU265" s="139"/>
      <c r="AV265" s="139"/>
      <c r="AW265" s="139"/>
      <c r="AX265" s="139"/>
      <c r="AY265" s="139"/>
      <c r="AZ265" s="139"/>
      <c r="BA265" s="139"/>
      <c r="BB265" s="139"/>
      <c r="BC265" s="139"/>
      <c r="BD265" s="139"/>
      <c r="BE265" s="139"/>
      <c r="BF265" s="139"/>
      <c r="BG265" s="139"/>
      <c r="BH265" s="139"/>
      <c r="BI265" s="139"/>
      <c r="BJ265" s="139"/>
      <c r="BK265" s="139"/>
      <c r="BL265" s="139"/>
      <c r="BM265" s="139"/>
      <c r="BN265" s="139"/>
      <c r="BO265" s="139"/>
      <c r="BP265" s="139"/>
      <c r="BQ265" s="139"/>
      <c r="BR265" s="139"/>
      <c r="BS265" s="139"/>
      <c r="BT265" s="139"/>
      <c r="BU265" s="139"/>
      <c r="BV265" s="139"/>
      <c r="BW265" s="139"/>
      <c r="BX265" s="139"/>
      <c r="BY265" s="139"/>
      <c r="BZ265" s="139"/>
      <c r="CA265" s="139"/>
      <c r="CB265" s="139"/>
      <c r="CC265" s="139"/>
      <c r="CD265" s="139"/>
      <c r="CE265" s="139"/>
      <c r="CF265" s="139"/>
      <c r="CG265" s="139"/>
      <c r="CH265" s="139"/>
      <c r="CI265" s="139"/>
      <c r="CJ265" s="139"/>
      <c r="CK265" s="139"/>
      <c r="CL265" s="139"/>
      <c r="CM265" s="139"/>
      <c r="CN265" s="139"/>
      <c r="CO265" s="139"/>
      <c r="CP265" s="139"/>
      <c r="CQ265" s="139"/>
      <c r="CR265" s="139"/>
      <c r="CS265" s="139"/>
      <c r="CT265" s="139"/>
      <c r="CU265" s="139"/>
      <c r="CV265" s="139"/>
      <c r="CW265" s="139"/>
      <c r="CX265" s="139"/>
      <c r="CY265" s="139"/>
      <c r="CZ265" s="139"/>
      <c r="DA265" s="139"/>
      <c r="DB265" s="139"/>
      <c r="DC265" s="139"/>
      <c r="DD265" s="139"/>
      <c r="DE265" s="139"/>
      <c r="DF265" s="139"/>
      <c r="DG265" s="139"/>
      <c r="DH265" s="139"/>
      <c r="DI265" s="139"/>
      <c r="DJ265" s="139"/>
      <c r="DK265" s="139"/>
      <c r="DL265" s="139"/>
      <c r="DM265" s="139"/>
      <c r="DN265" s="139"/>
      <c r="DO265" s="139"/>
      <c r="DP265" s="139"/>
      <c r="DQ265" s="139"/>
      <c r="DR265" s="139"/>
      <c r="DS265" s="139"/>
      <c r="DT265" s="139"/>
      <c r="DU265" s="139"/>
      <c r="DV265" s="139"/>
      <c r="DW265" s="139"/>
      <c r="DX265" s="139"/>
      <c r="DY265" s="139"/>
      <c r="DZ265" s="139"/>
      <c r="EA265" s="139"/>
      <c r="EB265" s="139"/>
      <c r="EC265" s="139"/>
      <c r="ED265" s="139"/>
      <c r="EE265" s="139"/>
      <c r="EF265" s="139"/>
      <c r="EG265" s="139"/>
      <c r="EH265" s="139"/>
      <c r="EI265" s="139"/>
      <c r="EJ265" s="139"/>
      <c r="EK265" s="139"/>
      <c r="EL265" s="139"/>
      <c r="EM265" s="139"/>
      <c r="EN265" s="139"/>
      <c r="EO265" s="139"/>
      <c r="EP265" s="139"/>
      <c r="EQ265" s="139"/>
      <c r="ER265" s="139"/>
      <c r="ES265" s="139"/>
      <c r="ET265" s="139"/>
      <c r="EU265" s="139"/>
      <c r="EV265" s="139"/>
      <c r="EW265" s="139"/>
      <c r="EX265" s="139"/>
      <c r="EY265" s="139"/>
      <c r="EZ265" s="139"/>
      <c r="FA265" s="139"/>
      <c r="FB265" s="139"/>
      <c r="FC265" s="139"/>
      <c r="FD265" s="139"/>
      <c r="FE265" s="139"/>
      <c r="FF265" s="139"/>
      <c r="FG265" s="139"/>
      <c r="FH265" s="139"/>
      <c r="FI265" s="139"/>
      <c r="FJ265" s="139"/>
      <c r="FK265" s="139"/>
      <c r="FL265" s="139"/>
      <c r="FM265" s="139"/>
      <c r="FN265" s="139"/>
      <c r="FO265" s="139"/>
      <c r="FP265" s="139"/>
      <c r="FQ265" s="139"/>
      <c r="FR265" s="139"/>
      <c r="FS265" s="139"/>
      <c r="FT265" s="139"/>
      <c r="FU265" s="139"/>
      <c r="FV265" s="139"/>
      <c r="FW265" s="139"/>
      <c r="FX265" s="139"/>
      <c r="FY265" s="139"/>
      <c r="FZ265" s="139"/>
      <c r="GA265" s="139"/>
      <c r="GB265" s="139"/>
      <c r="GC265" s="139"/>
      <c r="GD265" s="139"/>
      <c r="GE265" s="139"/>
      <c r="GF265" s="139"/>
      <c r="GG265" s="139"/>
      <c r="GH265" s="139"/>
      <c r="GI265" s="139"/>
      <c r="GJ265" s="139"/>
      <c r="GK265" s="139"/>
      <c r="GL265" s="139"/>
      <c r="GM265" s="139"/>
      <c r="GN265" s="139"/>
      <c r="GO265" s="139"/>
      <c r="GP265" s="139"/>
      <c r="GQ265" s="139"/>
      <c r="GR265" s="139"/>
      <c r="GS265" s="139"/>
      <c r="GT265" s="139"/>
      <c r="GU265" s="139"/>
      <c r="GV265" s="139"/>
      <c r="GW265" s="139"/>
      <c r="GX265" s="139"/>
      <c r="GY265" s="139"/>
      <c r="GZ265" s="139"/>
      <c r="HA265" s="139"/>
      <c r="HB265" s="139"/>
      <c r="HC265" s="139"/>
      <c r="HD265" s="139"/>
      <c r="HE265" s="139"/>
      <c r="HF265" s="139"/>
      <c r="HG265" s="139"/>
      <c r="HH265" s="139"/>
      <c r="HI265" s="139"/>
      <c r="HJ265" s="139"/>
      <c r="HK265" s="139"/>
      <c r="HL265" s="139"/>
      <c r="HM265" s="139"/>
      <c r="HN265" s="139"/>
      <c r="HO265" s="139"/>
      <c r="HP265" s="139"/>
      <c r="HQ265" s="139"/>
      <c r="HR265" s="139"/>
      <c r="HS265" s="139"/>
      <c r="HT265" s="139"/>
      <c r="HU265" s="139"/>
      <c r="HV265" s="139"/>
      <c r="HW265" s="139"/>
      <c r="HX265" s="139"/>
      <c r="HY265" s="139"/>
      <c r="HZ265" s="139"/>
      <c r="IA265" s="139"/>
      <c r="IB265" s="139"/>
      <c r="IC265" s="139"/>
      <c r="ID265" s="139"/>
      <c r="IE265" s="139"/>
      <c r="IF265" s="139"/>
      <c r="IG265" s="139"/>
      <c r="IH265" s="139"/>
      <c r="II265" s="139"/>
      <c r="IJ265" s="139"/>
      <c r="IK265" s="139"/>
      <c r="IL265" s="139"/>
      <c r="IM265" s="139"/>
      <c r="IN265" s="139"/>
      <c r="IO265" s="139"/>
      <c r="IP265" s="139"/>
      <c r="IQ265" s="139"/>
      <c r="IR265" s="139"/>
      <c r="IS265" s="139"/>
      <c r="IT265" s="139"/>
      <c r="IU265" s="139"/>
      <c r="IV265" s="139"/>
      <c r="IW265" s="139"/>
      <c r="IX265" s="139"/>
    </row>
    <row r="266" spans="1:258" ht="15" thickBot="1" x14ac:dyDescent="0.35">
      <c r="B266" s="1316"/>
      <c r="C266" s="1313"/>
      <c r="D266" s="913" t="s">
        <v>393</v>
      </c>
      <c r="E266" s="913" t="s">
        <v>393</v>
      </c>
      <c r="F266" s="913" t="s">
        <v>393</v>
      </c>
      <c r="G266" s="913" t="s">
        <v>393</v>
      </c>
      <c r="H266" s="913" t="s">
        <v>393</v>
      </c>
      <c r="I266" s="913" t="s">
        <v>393</v>
      </c>
      <c r="J266" s="913" t="s">
        <v>393</v>
      </c>
      <c r="K266" s="913" t="s">
        <v>393</v>
      </c>
      <c r="L266" s="913" t="s">
        <v>393</v>
      </c>
      <c r="M266" s="913" t="s">
        <v>393</v>
      </c>
      <c r="N266" s="913" t="s">
        <v>393</v>
      </c>
      <c r="O266" s="1006" t="s">
        <v>393</v>
      </c>
      <c r="P266" s="964" t="s">
        <v>394</v>
      </c>
      <c r="Q266" s="914" t="s">
        <v>395</v>
      </c>
      <c r="R266" s="914" t="s">
        <v>396</v>
      </c>
      <c r="S266" s="1007" t="s">
        <v>397</v>
      </c>
      <c r="T266" s="964" t="s">
        <v>245</v>
      </c>
      <c r="U266" s="914" t="s">
        <v>245</v>
      </c>
      <c r="V266" s="1008" t="s">
        <v>245</v>
      </c>
      <c r="W266" s="1008" t="s">
        <v>245</v>
      </c>
      <c r="X266" s="914" t="s">
        <v>245</v>
      </c>
      <c r="Y266" s="914" t="s">
        <v>245</v>
      </c>
      <c r="Z266" s="914" t="s">
        <v>245</v>
      </c>
      <c r="AA266" s="1007" t="s">
        <v>245</v>
      </c>
      <c r="AB266" s="927" t="s">
        <v>398</v>
      </c>
      <c r="AE266" s="139"/>
      <c r="AF266" s="139"/>
      <c r="AG266" s="139"/>
      <c r="AH266" s="139"/>
      <c r="AI266" s="139"/>
      <c r="AJ266" s="139"/>
      <c r="AK266" s="139"/>
      <c r="AL266" s="139"/>
      <c r="AM266" s="139"/>
      <c r="AN266" s="139"/>
      <c r="AO266" s="139"/>
      <c r="AP266" s="139"/>
      <c r="AQ266" s="139"/>
      <c r="AR266" s="139"/>
      <c r="AS266" s="139"/>
      <c r="AT266" s="139"/>
      <c r="AU266" s="139"/>
      <c r="AV266" s="139"/>
      <c r="AW266" s="139"/>
      <c r="AX266" s="139"/>
      <c r="AY266" s="139"/>
      <c r="AZ266" s="139"/>
      <c r="BA266" s="139"/>
      <c r="BB266" s="139"/>
      <c r="BC266" s="139"/>
      <c r="BD266" s="139"/>
      <c r="BE266" s="139"/>
      <c r="BF266" s="139"/>
      <c r="BG266" s="139"/>
      <c r="BH266" s="139"/>
      <c r="BI266" s="139"/>
      <c r="BJ266" s="139"/>
      <c r="BK266" s="139"/>
      <c r="BL266" s="139"/>
      <c r="BM266" s="139"/>
      <c r="BN266" s="139"/>
      <c r="BO266" s="139"/>
      <c r="BP266" s="139"/>
      <c r="BQ266" s="139"/>
      <c r="BR266" s="139"/>
      <c r="BS266" s="139"/>
      <c r="BT266" s="139"/>
      <c r="BU266" s="139"/>
      <c r="BV266" s="139"/>
      <c r="BW266" s="139"/>
      <c r="BX266" s="139"/>
      <c r="BY266" s="139"/>
      <c r="BZ266" s="139"/>
      <c r="CA266" s="139"/>
      <c r="CB266" s="139"/>
      <c r="CC266" s="139"/>
      <c r="CD266" s="139"/>
      <c r="CE266" s="139"/>
      <c r="CF266" s="139"/>
      <c r="CG266" s="139"/>
      <c r="CH266" s="139"/>
      <c r="CI266" s="139"/>
      <c r="CJ266" s="139"/>
      <c r="CK266" s="139"/>
      <c r="CL266" s="139"/>
      <c r="CM266" s="139"/>
      <c r="CN266" s="139"/>
      <c r="CO266" s="139"/>
      <c r="CP266" s="139"/>
      <c r="CQ266" s="139"/>
      <c r="CR266" s="139"/>
      <c r="CS266" s="139"/>
      <c r="CT266" s="139"/>
      <c r="CU266" s="139"/>
      <c r="CV266" s="139"/>
      <c r="CW266" s="139"/>
      <c r="CX266" s="139"/>
      <c r="CY266" s="139"/>
      <c r="CZ266" s="139"/>
      <c r="DA266" s="139"/>
      <c r="DB266" s="139"/>
      <c r="DC266" s="139"/>
      <c r="DD266" s="139"/>
      <c r="DE266" s="139"/>
      <c r="DF266" s="139"/>
      <c r="DG266" s="139"/>
      <c r="DH266" s="139"/>
      <c r="DI266" s="139"/>
      <c r="DJ266" s="139"/>
      <c r="DK266" s="139"/>
      <c r="DL266" s="139"/>
      <c r="DM266" s="139"/>
      <c r="DN266" s="139"/>
      <c r="DO266" s="139"/>
      <c r="DP266" s="139"/>
      <c r="DQ266" s="139"/>
      <c r="DR266" s="139"/>
      <c r="DS266" s="139"/>
      <c r="DT266" s="139"/>
      <c r="DU266" s="139"/>
      <c r="DV266" s="139"/>
      <c r="DW266" s="139"/>
      <c r="DX266" s="139"/>
      <c r="DY266" s="139"/>
      <c r="DZ266" s="139"/>
      <c r="EA266" s="139"/>
      <c r="EB266" s="139"/>
      <c r="EC266" s="139"/>
      <c r="ED266" s="139"/>
      <c r="EE266" s="139"/>
      <c r="EF266" s="139"/>
      <c r="EG266" s="139"/>
      <c r="EH266" s="139"/>
      <c r="EI266" s="139"/>
      <c r="EJ266" s="139"/>
      <c r="EK266" s="139"/>
      <c r="EL266" s="139"/>
      <c r="EM266" s="139"/>
      <c r="EN266" s="139"/>
      <c r="EO266" s="139"/>
      <c r="EP266" s="139"/>
      <c r="EQ266" s="139"/>
      <c r="ER266" s="139"/>
      <c r="ES266" s="139"/>
      <c r="ET266" s="139"/>
      <c r="EU266" s="139"/>
      <c r="EV266" s="139"/>
      <c r="EW266" s="139"/>
      <c r="EX266" s="139"/>
      <c r="EY266" s="139"/>
      <c r="EZ266" s="139"/>
      <c r="FA266" s="139"/>
      <c r="FB266" s="139"/>
      <c r="FC266" s="139"/>
      <c r="FD266" s="139"/>
      <c r="FE266" s="139"/>
      <c r="FF266" s="139"/>
      <c r="FG266" s="139"/>
      <c r="FH266" s="139"/>
      <c r="FI266" s="139"/>
      <c r="FJ266" s="139"/>
      <c r="FK266" s="139"/>
      <c r="FL266" s="139"/>
      <c r="FM266" s="139"/>
      <c r="FN266" s="139"/>
      <c r="FO266" s="139"/>
      <c r="FP266" s="139"/>
      <c r="FQ266" s="139"/>
      <c r="FR266" s="139"/>
      <c r="FS266" s="139"/>
      <c r="FT266" s="139"/>
      <c r="FU266" s="139"/>
      <c r="FV266" s="139"/>
      <c r="FW266" s="139"/>
      <c r="FX266" s="139"/>
      <c r="FY266" s="139"/>
      <c r="FZ266" s="139"/>
      <c r="GA266" s="139"/>
      <c r="GB266" s="139"/>
      <c r="GC266" s="139"/>
      <c r="GD266" s="139"/>
      <c r="GE266" s="139"/>
      <c r="GF266" s="139"/>
      <c r="GG266" s="139"/>
      <c r="GH266" s="139"/>
      <c r="GI266" s="139"/>
      <c r="GJ266" s="139"/>
      <c r="GK266" s="139"/>
      <c r="GL266" s="139"/>
      <c r="GM266" s="139"/>
      <c r="GN266" s="139"/>
      <c r="GO266" s="139"/>
      <c r="GP266" s="139"/>
      <c r="GQ266" s="139"/>
      <c r="GR266" s="139"/>
      <c r="GS266" s="139"/>
      <c r="GT266" s="139"/>
      <c r="GU266" s="139"/>
      <c r="GV266" s="139"/>
      <c r="GW266" s="139"/>
      <c r="GX266" s="139"/>
      <c r="GY266" s="139"/>
      <c r="GZ266" s="139"/>
      <c r="HA266" s="139"/>
      <c r="HB266" s="139"/>
      <c r="HC266" s="139"/>
      <c r="HD266" s="139"/>
      <c r="HE266" s="139"/>
      <c r="HF266" s="139"/>
      <c r="HG266" s="139"/>
      <c r="HH266" s="139"/>
      <c r="HI266" s="139"/>
      <c r="HJ266" s="139"/>
      <c r="HK266" s="139"/>
      <c r="HL266" s="139"/>
      <c r="HM266" s="139"/>
      <c r="HN266" s="139"/>
      <c r="HO266" s="139"/>
      <c r="HP266" s="139"/>
      <c r="HQ266" s="139"/>
      <c r="HR266" s="139"/>
      <c r="HS266" s="139"/>
      <c r="HT266" s="139"/>
      <c r="HU266" s="139"/>
      <c r="HV266" s="139"/>
      <c r="HW266" s="139"/>
      <c r="HX266" s="139"/>
      <c r="HY266" s="139"/>
      <c r="HZ266" s="139"/>
      <c r="IA266" s="139"/>
      <c r="IB266" s="139"/>
      <c r="IC266" s="139"/>
      <c r="ID266" s="139"/>
      <c r="IE266" s="139"/>
      <c r="IF266" s="139"/>
      <c r="IG266" s="139"/>
      <c r="IH266" s="139"/>
      <c r="II266" s="139"/>
      <c r="IJ266" s="139"/>
      <c r="IK266" s="139"/>
      <c r="IL266" s="139"/>
      <c r="IM266" s="139"/>
      <c r="IN266" s="139"/>
      <c r="IO266" s="139"/>
      <c r="IP266" s="139"/>
      <c r="IQ266" s="139"/>
      <c r="IR266" s="139"/>
      <c r="IS266" s="139"/>
      <c r="IT266" s="139"/>
      <c r="IU266" s="139"/>
      <c r="IV266" s="139"/>
      <c r="IW266" s="139"/>
      <c r="IX266" s="139"/>
    </row>
    <row r="267" spans="1:258" x14ac:dyDescent="0.3">
      <c r="B267" s="5" t="s">
        <v>103</v>
      </c>
      <c r="C267" s="1009" t="s">
        <v>206</v>
      </c>
      <c r="D267" s="968">
        <v>477489.1</v>
      </c>
      <c r="E267" s="968">
        <v>331827.3</v>
      </c>
      <c r="F267" s="968">
        <v>17049894.199999999</v>
      </c>
      <c r="G267" s="968">
        <v>8336051.4000000004</v>
      </c>
      <c r="H267" s="968">
        <v>33918.5</v>
      </c>
      <c r="I267" s="968">
        <v>745130.7</v>
      </c>
      <c r="J267" s="968">
        <v>178784.9</v>
      </c>
      <c r="K267" s="968">
        <v>10708155.6</v>
      </c>
      <c r="L267" s="968">
        <v>3627584.5</v>
      </c>
      <c r="M267" s="968">
        <v>2280235.7999999998</v>
      </c>
      <c r="N267" s="968">
        <v>6824966.4000000004</v>
      </c>
      <c r="O267" s="10">
        <v>4018724.8</v>
      </c>
      <c r="P267" s="270">
        <f>L267+N267+O267+E267+G267+K267+M267+I267</f>
        <v>36872676.5</v>
      </c>
      <c r="Q267" s="968">
        <f>D267+F267+J267+H267</f>
        <v>17740086.699999999</v>
      </c>
      <c r="R267" s="16">
        <f t="shared" ref="R267:R299" si="31">SUM(D267:O267)</f>
        <v>54612763.199999988</v>
      </c>
      <c r="S267" s="268">
        <f>(Q267*'Emission &amp; Conversion Factors'!$J$251)+(P267*'Emission &amp; Conversion Factors'!$J$240)</f>
        <v>555470993.19560003</v>
      </c>
      <c r="T267" s="283">
        <f t="shared" ref="T267:T299" si="32">(P227*1000)/(EF_CO2_ElectGen_DCI+EF_CO2_ElectTDL_DCI)</f>
        <v>21004.005906048536</v>
      </c>
      <c r="U267" s="968">
        <f t="shared" ref="U267:U299" si="33">(Q227*1000)/(EF_CO2_ElectGen_DCI+EF_CO2_ElectTDL_DCI)</f>
        <v>677379.19047006534</v>
      </c>
      <c r="V267" s="16">
        <f t="shared" ref="V267:V299" si="34">(R227*1000)/(EF_CO2_ElectGen_DCI+EF_CO2_ElectTDL_DCI)</f>
        <v>4131326.3924435466</v>
      </c>
      <c r="W267" s="16">
        <f t="shared" ref="W267:W299" si="35">(S227*1000)/(EF_CO2_ElectGen_DCI+EF_CO2_ElectTDL_DCI)</f>
        <v>1032023.751729885</v>
      </c>
      <c r="X267" s="968">
        <f t="shared" ref="X267:X299" si="36">(T227*1000)/(EF_CO2_ElectGen_DCI+EF_CO2_ElectTDL_DCI)</f>
        <v>769069.75471377734</v>
      </c>
      <c r="Y267" s="968">
        <f t="shared" ref="Y267:Y299" si="37">(U227*1000)/(EF_CO2_ElectGen_DCI+EF_CO2_ElectTDL_DCI)</f>
        <v>2634790.9716375889</v>
      </c>
      <c r="Z267" s="968">
        <f t="shared" ref="Z267:Z299" si="38">(V227*1000)/(EF_CO2_ElectGen_DCI+EF_CO2_ElectTDL_DCI)</f>
        <v>2861795.8046991136</v>
      </c>
      <c r="AA267" s="993">
        <f t="shared" ref="AA267:AA299" si="39">(W227*1000)/(EF_CO2_ElectGen_DCI+EF_CO2_ElectTDL_DCI)</f>
        <v>28678.546525566271</v>
      </c>
      <c r="AB267" s="507">
        <f t="shared" ref="AB267:AB299" si="40">SUM(T267:AA267)</f>
        <v>12156068.418125592</v>
      </c>
      <c r="AE267" s="139"/>
      <c r="AF267" s="139"/>
      <c r="AG267" s="139"/>
      <c r="AH267" s="139"/>
      <c r="AI267" s="139"/>
      <c r="AJ267" s="139"/>
      <c r="AK267" s="139"/>
      <c r="AL267" s="139"/>
      <c r="AM267" s="139"/>
      <c r="AN267" s="139"/>
      <c r="AO267" s="139"/>
      <c r="AP267" s="139"/>
      <c r="AQ267" s="139"/>
      <c r="AR267" s="139"/>
      <c r="AS267" s="139"/>
      <c r="AT267" s="139"/>
      <c r="AU267" s="139"/>
      <c r="AV267" s="139"/>
      <c r="AW267" s="139"/>
      <c r="AX267" s="139"/>
      <c r="AY267" s="139"/>
      <c r="AZ267" s="139"/>
      <c r="BA267" s="139"/>
      <c r="BB267" s="139"/>
      <c r="BC267" s="139"/>
      <c r="BD267" s="139"/>
      <c r="BE267" s="139"/>
      <c r="BF267" s="139"/>
      <c r="BG267" s="139"/>
      <c r="BH267" s="139"/>
      <c r="BI267" s="139"/>
      <c r="BJ267" s="139"/>
      <c r="BK267" s="139"/>
      <c r="BL267" s="139"/>
      <c r="BM267" s="139"/>
      <c r="BN267" s="139"/>
      <c r="BO267" s="139"/>
      <c r="BP267" s="139"/>
      <c r="BQ267" s="139"/>
      <c r="BR267" s="139"/>
      <c r="BS267" s="139"/>
      <c r="BT267" s="139"/>
      <c r="BU267" s="139"/>
      <c r="BV267" s="139"/>
      <c r="BW267" s="139"/>
      <c r="BX267" s="139"/>
      <c r="BY267" s="139"/>
      <c r="BZ267" s="139"/>
      <c r="CA267" s="139"/>
      <c r="CB267" s="139"/>
      <c r="CC267" s="139"/>
      <c r="CD267" s="139"/>
      <c r="CE267" s="139"/>
      <c r="CF267" s="139"/>
      <c r="CG267" s="139"/>
      <c r="CH267" s="139"/>
      <c r="CI267" s="139"/>
      <c r="CJ267" s="139"/>
      <c r="CK267" s="139"/>
      <c r="CL267" s="139"/>
      <c r="CM267" s="139"/>
      <c r="CN267" s="139"/>
      <c r="CO267" s="139"/>
      <c r="CP267" s="139"/>
      <c r="CQ267" s="139"/>
      <c r="CR267" s="139"/>
      <c r="CS267" s="139"/>
      <c r="CT267" s="139"/>
      <c r="CU267" s="139"/>
      <c r="CV267" s="139"/>
      <c r="CW267" s="139"/>
      <c r="CX267" s="139"/>
      <c r="CY267" s="139"/>
      <c r="CZ267" s="139"/>
      <c r="DA267" s="139"/>
      <c r="DB267" s="139"/>
      <c r="DC267" s="139"/>
      <c r="DD267" s="139"/>
      <c r="DE267" s="139"/>
      <c r="DF267" s="139"/>
      <c r="DG267" s="139"/>
      <c r="DH267" s="139"/>
      <c r="DI267" s="139"/>
      <c r="DJ267" s="139"/>
      <c r="DK267" s="139"/>
      <c r="DL267" s="139"/>
      <c r="DM267" s="139"/>
      <c r="DN267" s="139"/>
      <c r="DO267" s="139"/>
      <c r="DP267" s="139"/>
      <c r="DQ267" s="139"/>
      <c r="DR267" s="139"/>
      <c r="DS267" s="139"/>
      <c r="DT267" s="139"/>
      <c r="DU267" s="139"/>
      <c r="DV267" s="139"/>
      <c r="DW267" s="139"/>
      <c r="DX267" s="139"/>
      <c r="DY267" s="139"/>
      <c r="DZ267" s="139"/>
      <c r="EA267" s="139"/>
      <c r="EB267" s="139"/>
      <c r="EC267" s="139"/>
      <c r="ED267" s="139"/>
      <c r="EE267" s="139"/>
      <c r="EF267" s="139"/>
      <c r="EG267" s="139"/>
      <c r="EH267" s="139"/>
      <c r="EI267" s="139"/>
      <c r="EJ267" s="139"/>
      <c r="EK267" s="139"/>
      <c r="EL267" s="139"/>
      <c r="EM267" s="139"/>
      <c r="EN267" s="139"/>
      <c r="EO267" s="139"/>
      <c r="EP267" s="139"/>
      <c r="EQ267" s="139"/>
      <c r="ER267" s="139"/>
      <c r="ES267" s="139"/>
      <c r="ET267" s="139"/>
      <c r="EU267" s="139"/>
      <c r="EV267" s="139"/>
      <c r="EW267" s="139"/>
      <c r="EX267" s="139"/>
      <c r="EY267" s="139"/>
      <c r="EZ267" s="139"/>
      <c r="FA267" s="139"/>
      <c r="FB267" s="139"/>
      <c r="FC267" s="139"/>
      <c r="FD267" s="139"/>
      <c r="FE267" s="139"/>
      <c r="FF267" s="139"/>
      <c r="FG267" s="139"/>
      <c r="FH267" s="139"/>
      <c r="FI267" s="139"/>
      <c r="FJ267" s="139"/>
      <c r="FK267" s="139"/>
      <c r="FL267" s="139"/>
      <c r="FM267" s="139"/>
      <c r="FN267" s="139"/>
      <c r="FO267" s="139"/>
      <c r="FP267" s="139"/>
      <c r="FQ267" s="139"/>
      <c r="FR267" s="139"/>
      <c r="FS267" s="139"/>
      <c r="FT267" s="139"/>
      <c r="FU267" s="139"/>
      <c r="FV267" s="139"/>
      <c r="FW267" s="139"/>
      <c r="FX267" s="139"/>
      <c r="FY267" s="139"/>
      <c r="FZ267" s="139"/>
      <c r="GA267" s="139"/>
      <c r="GB267" s="139"/>
      <c r="GC267" s="139"/>
      <c r="GD267" s="139"/>
      <c r="GE267" s="139"/>
      <c r="GF267" s="139"/>
      <c r="GG267" s="139"/>
      <c r="GH267" s="139"/>
      <c r="GI267" s="139"/>
      <c r="GJ267" s="139"/>
      <c r="GK267" s="139"/>
      <c r="GL267" s="139"/>
      <c r="GM267" s="139"/>
      <c r="GN267" s="139"/>
      <c r="GO267" s="139"/>
      <c r="GP267" s="139"/>
      <c r="GQ267" s="139"/>
      <c r="GR267" s="139"/>
      <c r="GS267" s="139"/>
      <c r="GT267" s="139"/>
      <c r="GU267" s="139"/>
      <c r="GV267" s="139"/>
      <c r="GW267" s="139"/>
      <c r="GX267" s="139"/>
      <c r="GY267" s="139"/>
      <c r="GZ267" s="139"/>
      <c r="HA267" s="139"/>
      <c r="HB267" s="139"/>
      <c r="HC267" s="139"/>
      <c r="HD267" s="139"/>
      <c r="HE267" s="139"/>
      <c r="HF267" s="139"/>
      <c r="HG267" s="139"/>
      <c r="HH267" s="139"/>
      <c r="HI267" s="139"/>
      <c r="HJ267" s="139"/>
      <c r="HK267" s="139"/>
      <c r="HL267" s="139"/>
      <c r="HM267" s="139"/>
      <c r="HN267" s="139"/>
      <c r="HO267" s="139"/>
      <c r="HP267" s="139"/>
      <c r="HQ267" s="139"/>
      <c r="HR267" s="139"/>
      <c r="HS267" s="139"/>
      <c r="HT267" s="139"/>
      <c r="HU267" s="139"/>
      <c r="HV267" s="139"/>
      <c r="HW267" s="139"/>
      <c r="HX267" s="139"/>
      <c r="HY267" s="139"/>
      <c r="HZ267" s="139"/>
      <c r="IA267" s="139"/>
      <c r="IB267" s="139"/>
      <c r="IC267" s="139"/>
      <c r="ID267" s="139"/>
      <c r="IE267" s="139"/>
      <c r="IF267" s="139"/>
      <c r="IG267" s="139"/>
      <c r="IH267" s="139"/>
      <c r="II267" s="139"/>
      <c r="IJ267" s="139"/>
      <c r="IK267" s="139"/>
      <c r="IL267" s="139"/>
      <c r="IM267" s="139"/>
      <c r="IN267" s="139"/>
      <c r="IO267" s="139"/>
      <c r="IP267" s="139"/>
      <c r="IQ267" s="139"/>
      <c r="IR267" s="139"/>
      <c r="IS267" s="139"/>
      <c r="IT267" s="139"/>
      <c r="IU267" s="139"/>
      <c r="IV267" s="139"/>
      <c r="IW267" s="139"/>
      <c r="IX267" s="139"/>
    </row>
    <row r="268" spans="1:258" x14ac:dyDescent="0.3">
      <c r="B268" s="5" t="s">
        <v>104</v>
      </c>
      <c r="C268" s="1009" t="s">
        <v>207</v>
      </c>
      <c r="D268" s="968">
        <v>1483145.6</v>
      </c>
      <c r="E268" s="968">
        <v>570018.30000000005</v>
      </c>
      <c r="F268" s="968">
        <v>46337191.899999999</v>
      </c>
      <c r="G268" s="968">
        <v>22117871</v>
      </c>
      <c r="H268" s="968">
        <v>79141.399999999994</v>
      </c>
      <c r="I268" s="968">
        <v>1834231.1</v>
      </c>
      <c r="J268" s="968">
        <v>438691</v>
      </c>
      <c r="K268" s="968">
        <v>25504832.699999999</v>
      </c>
      <c r="L268" s="968">
        <v>8145016.7000000002</v>
      </c>
      <c r="M268" s="968">
        <v>5515275</v>
      </c>
      <c r="N268" s="968">
        <v>11040701.199999999</v>
      </c>
      <c r="O268" s="10">
        <v>6523085.7999999998</v>
      </c>
      <c r="P268" s="270">
        <f>L268+N268+O268+E268+G268+K268+M268+I268</f>
        <v>81251031.799999997</v>
      </c>
      <c r="Q268" s="968">
        <f>D268+F268+J268+H268</f>
        <v>48338169.899999999</v>
      </c>
      <c r="R268" s="16">
        <f t="shared" si="31"/>
        <v>129589201.7</v>
      </c>
      <c r="S268" s="268">
        <f>(Q268*'Emission &amp; Conversion Factors'!$J$251)+(P268*'Emission &amp; Conversion Factors'!$J$240)</f>
        <v>1311145190.8534999</v>
      </c>
      <c r="T268" s="283">
        <f t="shared" si="32"/>
        <v>66647.326432654023</v>
      </c>
      <c r="U268" s="968">
        <f t="shared" si="33"/>
        <v>1118059.3913065838</v>
      </c>
      <c r="V268" s="16">
        <f t="shared" si="34"/>
        <v>11565128.790422728</v>
      </c>
      <c r="W268" s="16">
        <f t="shared" si="35"/>
        <v>2383954.6703365096</v>
      </c>
      <c r="X268" s="968">
        <f t="shared" si="36"/>
        <v>1982051.0957880802</v>
      </c>
      <c r="Y268" s="968">
        <f t="shared" si="37"/>
        <v>6023706.5399404205</v>
      </c>
      <c r="Z268" s="968">
        <f t="shared" si="38"/>
        <v>4779623.1131975455</v>
      </c>
      <c r="AA268" s="993">
        <f t="shared" si="39"/>
        <v>51702.168384119483</v>
      </c>
      <c r="AB268" s="507">
        <f t="shared" si="40"/>
        <v>27970873.09580864</v>
      </c>
      <c r="AE268" s="139"/>
      <c r="AF268" s="139"/>
      <c r="AG268" s="139"/>
      <c r="AH268" s="139"/>
      <c r="AI268" s="139"/>
      <c r="AJ268" s="139"/>
      <c r="AK268" s="139"/>
      <c r="AL268" s="139"/>
      <c r="AM268" s="139"/>
      <c r="AN268" s="139"/>
      <c r="AO268" s="139"/>
      <c r="AP268" s="139"/>
      <c r="AQ268" s="139"/>
      <c r="AR268" s="139"/>
      <c r="AS268" s="139"/>
      <c r="AT268" s="139"/>
      <c r="AU268" s="139"/>
      <c r="AV268" s="139"/>
      <c r="AW268" s="139"/>
      <c r="AX268" s="139"/>
      <c r="AY268" s="139"/>
      <c r="AZ268" s="139"/>
      <c r="BA268" s="139"/>
      <c r="BB268" s="139"/>
      <c r="BC268" s="139"/>
      <c r="BD268" s="139"/>
      <c r="BE268" s="139"/>
      <c r="BF268" s="139"/>
      <c r="BG268" s="139"/>
      <c r="BH268" s="139"/>
      <c r="BI268" s="139"/>
      <c r="BJ268" s="139"/>
      <c r="BK268" s="139"/>
      <c r="BL268" s="139"/>
      <c r="BM268" s="139"/>
      <c r="BN268" s="139"/>
      <c r="BO268" s="139"/>
      <c r="BP268" s="139"/>
      <c r="BQ268" s="139"/>
      <c r="BR268" s="139"/>
      <c r="BS268" s="139"/>
      <c r="BT268" s="139"/>
      <c r="BU268" s="139"/>
      <c r="BV268" s="139"/>
      <c r="BW268" s="139"/>
      <c r="BX268" s="139"/>
      <c r="BY268" s="139"/>
      <c r="BZ268" s="139"/>
      <c r="CA268" s="139"/>
      <c r="CB268" s="139"/>
      <c r="CC268" s="139"/>
      <c r="CD268" s="139"/>
      <c r="CE268" s="139"/>
      <c r="CF268" s="139"/>
      <c r="CG268" s="139"/>
      <c r="CH268" s="139"/>
      <c r="CI268" s="139"/>
      <c r="CJ268" s="139"/>
      <c r="CK268" s="139"/>
      <c r="CL268" s="139"/>
      <c r="CM268" s="139"/>
      <c r="CN268" s="139"/>
      <c r="CO268" s="139"/>
      <c r="CP268" s="139"/>
      <c r="CQ268" s="139"/>
      <c r="CR268" s="139"/>
      <c r="CS268" s="139"/>
      <c r="CT268" s="139"/>
      <c r="CU268" s="139"/>
      <c r="CV268" s="139"/>
      <c r="CW268" s="139"/>
      <c r="CX268" s="139"/>
      <c r="CY268" s="139"/>
      <c r="CZ268" s="139"/>
      <c r="DA268" s="139"/>
      <c r="DB268" s="139"/>
      <c r="DC268" s="139"/>
      <c r="DD268" s="139"/>
      <c r="DE268" s="139"/>
      <c r="DF268" s="139"/>
      <c r="DG268" s="139"/>
      <c r="DH268" s="139"/>
      <c r="DI268" s="139"/>
      <c r="DJ268" s="139"/>
      <c r="DK268" s="139"/>
      <c r="DL268" s="139"/>
      <c r="DM268" s="139"/>
      <c r="DN268" s="139"/>
      <c r="DO268" s="139"/>
      <c r="DP268" s="139"/>
      <c r="DQ268" s="139"/>
      <c r="DR268" s="139"/>
      <c r="DS268" s="139"/>
      <c r="DT268" s="139"/>
      <c r="DU268" s="139"/>
      <c r="DV268" s="139"/>
      <c r="DW268" s="139"/>
      <c r="DX268" s="139"/>
      <c r="DY268" s="139"/>
      <c r="DZ268" s="139"/>
      <c r="EA268" s="139"/>
      <c r="EB268" s="139"/>
      <c r="EC268" s="139"/>
      <c r="ED268" s="139"/>
      <c r="EE268" s="139"/>
      <c r="EF268" s="139"/>
      <c r="EG268" s="139"/>
      <c r="EH268" s="139"/>
      <c r="EI268" s="139"/>
      <c r="EJ268" s="139"/>
      <c r="EK268" s="139"/>
      <c r="EL268" s="139"/>
      <c r="EM268" s="139"/>
      <c r="EN268" s="139"/>
      <c r="EO268" s="139"/>
      <c r="EP268" s="139"/>
      <c r="EQ268" s="139"/>
      <c r="ER268" s="139"/>
      <c r="ES268" s="139"/>
      <c r="ET268" s="139"/>
      <c r="EU268" s="139"/>
      <c r="EV268" s="139"/>
      <c r="EW268" s="139"/>
      <c r="EX268" s="139"/>
      <c r="EY268" s="139"/>
      <c r="EZ268" s="139"/>
      <c r="FA268" s="139"/>
      <c r="FB268" s="139"/>
      <c r="FC268" s="139"/>
      <c r="FD268" s="139"/>
      <c r="FE268" s="139"/>
      <c r="FF268" s="139"/>
      <c r="FG268" s="139"/>
      <c r="FH268" s="139"/>
      <c r="FI268" s="139"/>
      <c r="FJ268" s="139"/>
      <c r="FK268" s="139"/>
      <c r="FL268" s="139"/>
      <c r="FM268" s="139"/>
      <c r="FN268" s="139"/>
      <c r="FO268" s="139"/>
      <c r="FP268" s="139"/>
      <c r="FQ268" s="139"/>
      <c r="FR268" s="139"/>
      <c r="FS268" s="139"/>
      <c r="FT268" s="139"/>
      <c r="FU268" s="139"/>
      <c r="FV268" s="139"/>
      <c r="FW268" s="139"/>
      <c r="FX268" s="139"/>
      <c r="FY268" s="139"/>
      <c r="FZ268" s="139"/>
      <c r="GA268" s="139"/>
      <c r="GB268" s="139"/>
      <c r="GC268" s="139"/>
      <c r="GD268" s="139"/>
      <c r="GE268" s="139"/>
      <c r="GF268" s="139"/>
      <c r="GG268" s="139"/>
      <c r="GH268" s="139"/>
      <c r="GI268" s="139"/>
      <c r="GJ268" s="139"/>
      <c r="GK268" s="139"/>
      <c r="GL268" s="139"/>
      <c r="GM268" s="139"/>
      <c r="GN268" s="139"/>
      <c r="GO268" s="139"/>
      <c r="GP268" s="139"/>
      <c r="GQ268" s="139"/>
      <c r="GR268" s="139"/>
      <c r="GS268" s="139"/>
      <c r="GT268" s="139"/>
      <c r="GU268" s="139"/>
      <c r="GV268" s="139"/>
      <c r="GW268" s="139"/>
      <c r="GX268" s="139"/>
      <c r="GY268" s="139"/>
      <c r="GZ268" s="139"/>
      <c r="HA268" s="139"/>
      <c r="HB268" s="139"/>
      <c r="HC268" s="139"/>
      <c r="HD268" s="139"/>
      <c r="HE268" s="139"/>
      <c r="HF268" s="139"/>
      <c r="HG268" s="139"/>
      <c r="HH268" s="139"/>
      <c r="HI268" s="139"/>
      <c r="HJ268" s="139"/>
      <c r="HK268" s="139"/>
      <c r="HL268" s="139"/>
      <c r="HM268" s="139"/>
      <c r="HN268" s="139"/>
      <c r="HO268" s="139"/>
      <c r="HP268" s="139"/>
      <c r="HQ268" s="139"/>
      <c r="HR268" s="139"/>
      <c r="HS268" s="139"/>
      <c r="HT268" s="139"/>
      <c r="HU268" s="139"/>
      <c r="HV268" s="139"/>
      <c r="HW268" s="139"/>
      <c r="HX268" s="139"/>
      <c r="HY268" s="139"/>
      <c r="HZ268" s="139"/>
      <c r="IA268" s="139"/>
      <c r="IB268" s="139"/>
      <c r="IC268" s="139"/>
      <c r="ID268" s="139"/>
      <c r="IE268" s="139"/>
      <c r="IF268" s="139"/>
      <c r="IG268" s="139"/>
      <c r="IH268" s="139"/>
      <c r="II268" s="139"/>
      <c r="IJ268" s="139"/>
      <c r="IK268" s="139"/>
      <c r="IL268" s="139"/>
      <c r="IM268" s="139"/>
      <c r="IN268" s="139"/>
      <c r="IO268" s="139"/>
      <c r="IP268" s="139"/>
      <c r="IQ268" s="139"/>
      <c r="IR268" s="139"/>
      <c r="IS268" s="139"/>
      <c r="IT268" s="139"/>
      <c r="IU268" s="139"/>
      <c r="IV268" s="139"/>
      <c r="IW268" s="139"/>
      <c r="IX268" s="139"/>
    </row>
    <row r="269" spans="1:258" x14ac:dyDescent="0.3">
      <c r="B269" s="5" t="s">
        <v>105</v>
      </c>
      <c r="C269" s="1009" t="s">
        <v>208</v>
      </c>
      <c r="D269" s="968">
        <v>738548.7</v>
      </c>
      <c r="E269" s="968">
        <v>285942.09999999998</v>
      </c>
      <c r="F269" s="968">
        <v>26289131.300000001</v>
      </c>
      <c r="G269" s="968">
        <v>13019402.1</v>
      </c>
      <c r="H269" s="968">
        <v>41782.400000000001</v>
      </c>
      <c r="I269" s="968">
        <v>969690.9</v>
      </c>
      <c r="J269" s="968">
        <v>256866.4</v>
      </c>
      <c r="K269" s="968">
        <v>15622639.6</v>
      </c>
      <c r="L269" s="968">
        <v>4451911.5999999996</v>
      </c>
      <c r="M269" s="968">
        <v>2783752.2</v>
      </c>
      <c r="N269" s="968">
        <v>6572537.0999999996</v>
      </c>
      <c r="O269" s="10">
        <v>3892757.8</v>
      </c>
      <c r="P269" s="270">
        <f t="shared" ref="P269:P300" si="41">L269+N269+O269+E269+G269+K269+M269+I269</f>
        <v>47598633.399999999</v>
      </c>
      <c r="Q269" s="968">
        <f t="shared" ref="Q269:Q300" si="42">D269+F269+J269+H269</f>
        <v>27326328.799999997</v>
      </c>
      <c r="R269" s="16">
        <f t="shared" si="31"/>
        <v>74924962.200000003</v>
      </c>
      <c r="S269" s="268">
        <f>(Q269*'Emission &amp; Conversion Factors'!$J$251)+(P269*'Emission &amp; Conversion Factors'!$J$240)</f>
        <v>758757204.6178</v>
      </c>
      <c r="T269" s="283">
        <f t="shared" si="32"/>
        <v>34333.471192579345</v>
      </c>
      <c r="U269" s="968">
        <f t="shared" si="33"/>
        <v>587304.31898835732</v>
      </c>
      <c r="V269" s="16">
        <f t="shared" si="34"/>
        <v>6675234.6462184265</v>
      </c>
      <c r="W269" s="16">
        <f t="shared" si="35"/>
        <v>1300632.6734130057</v>
      </c>
      <c r="X269" s="968">
        <f t="shared" si="36"/>
        <v>1175820.4075482173</v>
      </c>
      <c r="Y269" s="968">
        <f t="shared" si="37"/>
        <v>3344484.0173477293</v>
      </c>
      <c r="Z269" s="968">
        <f t="shared" si="38"/>
        <v>2820999.5624585194</v>
      </c>
      <c r="AA269" s="993">
        <f t="shared" si="39"/>
        <v>28274.623335065342</v>
      </c>
      <c r="AB269" s="507">
        <f t="shared" si="40"/>
        <v>15967083.720501898</v>
      </c>
      <c r="AE269" s="139"/>
      <c r="AF269" s="139"/>
      <c r="AG269" s="139"/>
      <c r="AH269" s="139"/>
      <c r="AI269" s="139"/>
      <c r="AJ269" s="139"/>
      <c r="AK269" s="139"/>
      <c r="AL269" s="139"/>
      <c r="AM269" s="139"/>
      <c r="AN269" s="139"/>
      <c r="AO269" s="139"/>
      <c r="AP269" s="139"/>
      <c r="AQ269" s="139"/>
      <c r="AR269" s="139"/>
      <c r="AS269" s="139"/>
      <c r="AT269" s="139"/>
      <c r="AU269" s="139"/>
      <c r="AV269" s="139"/>
      <c r="AW269" s="139"/>
      <c r="AX269" s="139"/>
      <c r="AY269" s="139"/>
      <c r="AZ269" s="139"/>
      <c r="BA269" s="139"/>
      <c r="BB269" s="139"/>
      <c r="BC269" s="139"/>
      <c r="BD269" s="139"/>
      <c r="BE269" s="139"/>
      <c r="BF269" s="139"/>
      <c r="BG269" s="139"/>
      <c r="BH269" s="139"/>
      <c r="BI269" s="139"/>
      <c r="BJ269" s="139"/>
      <c r="BK269" s="139"/>
      <c r="BL269" s="139"/>
      <c r="BM269" s="139"/>
      <c r="BN269" s="139"/>
      <c r="BO269" s="139"/>
      <c r="BP269" s="139"/>
      <c r="BQ269" s="139"/>
      <c r="BR269" s="139"/>
      <c r="BS269" s="139"/>
      <c r="BT269" s="139"/>
      <c r="BU269" s="139"/>
      <c r="BV269" s="139"/>
      <c r="BW269" s="139"/>
      <c r="BX269" s="139"/>
      <c r="BY269" s="139"/>
      <c r="BZ269" s="139"/>
      <c r="CA269" s="139"/>
      <c r="CB269" s="139"/>
      <c r="CC269" s="139"/>
      <c r="CD269" s="139"/>
      <c r="CE269" s="139"/>
      <c r="CF269" s="139"/>
      <c r="CG269" s="139"/>
      <c r="CH269" s="139"/>
      <c r="CI269" s="139"/>
      <c r="CJ269" s="139"/>
      <c r="CK269" s="139"/>
      <c r="CL269" s="139"/>
      <c r="CM269" s="139"/>
      <c r="CN269" s="139"/>
      <c r="CO269" s="139"/>
      <c r="CP269" s="139"/>
      <c r="CQ269" s="139"/>
      <c r="CR269" s="139"/>
      <c r="CS269" s="139"/>
      <c r="CT269" s="139"/>
      <c r="CU269" s="139"/>
      <c r="CV269" s="139"/>
      <c r="CW269" s="139"/>
      <c r="CX269" s="139"/>
      <c r="CY269" s="139"/>
      <c r="CZ269" s="139"/>
      <c r="DA269" s="139"/>
      <c r="DB269" s="139"/>
      <c r="DC269" s="139"/>
      <c r="DD269" s="139"/>
      <c r="DE269" s="139"/>
      <c r="DF269" s="139"/>
      <c r="DG269" s="139"/>
      <c r="DH269" s="139"/>
      <c r="DI269" s="139"/>
      <c r="DJ269" s="139"/>
      <c r="DK269" s="139"/>
      <c r="DL269" s="139"/>
      <c r="DM269" s="139"/>
      <c r="DN269" s="139"/>
      <c r="DO269" s="139"/>
      <c r="DP269" s="139"/>
      <c r="DQ269" s="139"/>
      <c r="DR269" s="139"/>
      <c r="DS269" s="139"/>
      <c r="DT269" s="139"/>
      <c r="DU269" s="139"/>
      <c r="DV269" s="139"/>
      <c r="DW269" s="139"/>
      <c r="DX269" s="139"/>
      <c r="DY269" s="139"/>
      <c r="DZ269" s="139"/>
      <c r="EA269" s="139"/>
      <c r="EB269" s="139"/>
      <c r="EC269" s="139"/>
      <c r="ED269" s="139"/>
      <c r="EE269" s="139"/>
      <c r="EF269" s="139"/>
      <c r="EG269" s="139"/>
      <c r="EH269" s="139"/>
      <c r="EI269" s="139"/>
      <c r="EJ269" s="139"/>
      <c r="EK269" s="139"/>
      <c r="EL269" s="139"/>
      <c r="EM269" s="139"/>
      <c r="EN269" s="139"/>
      <c r="EO269" s="139"/>
      <c r="EP269" s="139"/>
      <c r="EQ269" s="139"/>
      <c r="ER269" s="139"/>
      <c r="ES269" s="139"/>
      <c r="ET269" s="139"/>
      <c r="EU269" s="139"/>
      <c r="EV269" s="139"/>
      <c r="EW269" s="139"/>
      <c r="EX269" s="139"/>
      <c r="EY269" s="139"/>
      <c r="EZ269" s="139"/>
      <c r="FA269" s="139"/>
      <c r="FB269" s="139"/>
      <c r="FC269" s="139"/>
      <c r="FD269" s="139"/>
      <c r="FE269" s="139"/>
      <c r="FF269" s="139"/>
      <c r="FG269" s="139"/>
      <c r="FH269" s="139"/>
      <c r="FI269" s="139"/>
      <c r="FJ269" s="139"/>
      <c r="FK269" s="139"/>
      <c r="FL269" s="139"/>
      <c r="FM269" s="139"/>
      <c r="FN269" s="139"/>
      <c r="FO269" s="139"/>
      <c r="FP269" s="139"/>
      <c r="FQ269" s="139"/>
      <c r="FR269" s="139"/>
      <c r="FS269" s="139"/>
      <c r="FT269" s="139"/>
      <c r="FU269" s="139"/>
      <c r="FV269" s="139"/>
      <c r="FW269" s="139"/>
      <c r="FX269" s="139"/>
      <c r="FY269" s="139"/>
      <c r="FZ269" s="139"/>
      <c r="GA269" s="139"/>
      <c r="GB269" s="139"/>
      <c r="GC269" s="139"/>
      <c r="GD269" s="139"/>
      <c r="GE269" s="139"/>
      <c r="GF269" s="139"/>
      <c r="GG269" s="139"/>
      <c r="GH269" s="139"/>
      <c r="GI269" s="139"/>
      <c r="GJ269" s="139"/>
      <c r="GK269" s="139"/>
      <c r="GL269" s="139"/>
      <c r="GM269" s="139"/>
      <c r="GN269" s="139"/>
      <c r="GO269" s="139"/>
      <c r="GP269" s="139"/>
      <c r="GQ269" s="139"/>
      <c r="GR269" s="139"/>
      <c r="GS269" s="139"/>
      <c r="GT269" s="139"/>
      <c r="GU269" s="139"/>
      <c r="GV269" s="139"/>
      <c r="GW269" s="139"/>
      <c r="GX269" s="139"/>
      <c r="GY269" s="139"/>
      <c r="GZ269" s="139"/>
      <c r="HA269" s="139"/>
      <c r="HB269" s="139"/>
      <c r="HC269" s="139"/>
      <c r="HD269" s="139"/>
      <c r="HE269" s="139"/>
      <c r="HF269" s="139"/>
      <c r="HG269" s="139"/>
      <c r="HH269" s="139"/>
      <c r="HI269" s="139"/>
      <c r="HJ269" s="139"/>
      <c r="HK269" s="139"/>
      <c r="HL269" s="139"/>
      <c r="HM269" s="139"/>
      <c r="HN269" s="139"/>
      <c r="HO269" s="139"/>
      <c r="HP269" s="139"/>
      <c r="HQ269" s="139"/>
      <c r="HR269" s="139"/>
      <c r="HS269" s="139"/>
      <c r="HT269" s="139"/>
      <c r="HU269" s="139"/>
      <c r="HV269" s="139"/>
      <c r="HW269" s="139"/>
      <c r="HX269" s="139"/>
      <c r="HY269" s="139"/>
      <c r="HZ269" s="139"/>
      <c r="IA269" s="139"/>
      <c r="IB269" s="139"/>
      <c r="IC269" s="139"/>
      <c r="ID269" s="139"/>
      <c r="IE269" s="139"/>
      <c r="IF269" s="139"/>
      <c r="IG269" s="139"/>
      <c r="IH269" s="139"/>
      <c r="II269" s="139"/>
      <c r="IJ269" s="139"/>
      <c r="IK269" s="139"/>
      <c r="IL269" s="139"/>
      <c r="IM269" s="139"/>
      <c r="IN269" s="139"/>
      <c r="IO269" s="139"/>
      <c r="IP269" s="139"/>
      <c r="IQ269" s="139"/>
      <c r="IR269" s="139"/>
      <c r="IS269" s="139"/>
      <c r="IT269" s="139"/>
      <c r="IU269" s="139"/>
      <c r="IV269" s="139"/>
      <c r="IW269" s="139"/>
      <c r="IX269" s="139"/>
    </row>
    <row r="270" spans="1:258" x14ac:dyDescent="0.3">
      <c r="B270" s="5" t="s">
        <v>106</v>
      </c>
      <c r="C270" s="1009" t="s">
        <v>209</v>
      </c>
      <c r="D270" s="968">
        <v>1147082.8</v>
      </c>
      <c r="E270" s="968">
        <v>334085.7</v>
      </c>
      <c r="F270" s="968">
        <v>27214088.899999999</v>
      </c>
      <c r="G270" s="968">
        <v>12438255.1</v>
      </c>
      <c r="H270" s="968">
        <v>56979.3</v>
      </c>
      <c r="I270" s="968">
        <v>1209931.3</v>
      </c>
      <c r="J270" s="968">
        <v>318705.2</v>
      </c>
      <c r="K270" s="968">
        <v>16320416.699999999</v>
      </c>
      <c r="L270" s="968">
        <v>6873984.2000000002</v>
      </c>
      <c r="M270" s="968">
        <v>5469083.2999999998</v>
      </c>
      <c r="N270" s="968">
        <v>8138682.4000000004</v>
      </c>
      <c r="O270" s="10">
        <v>3505155.2</v>
      </c>
      <c r="P270" s="270">
        <f t="shared" si="41"/>
        <v>54289593.899999991</v>
      </c>
      <c r="Q270" s="968">
        <f t="shared" si="42"/>
        <v>28736856.199999999</v>
      </c>
      <c r="R270" s="16">
        <f t="shared" si="31"/>
        <v>83026450.100000009</v>
      </c>
      <c r="S270" s="268">
        <f>(Q270*'Emission &amp; Conversion Factors'!$J$251)+(P270*'Emission &amp; Conversion Factors'!$J$240)</f>
        <v>842511109.33349991</v>
      </c>
      <c r="T270" s="283">
        <f t="shared" si="32"/>
        <v>49278.629241113878</v>
      </c>
      <c r="U270" s="968">
        <f t="shared" si="33"/>
        <v>660010.4932785253</v>
      </c>
      <c r="V270" s="16">
        <f t="shared" si="34"/>
        <v>6946671.030235053</v>
      </c>
      <c r="W270" s="16">
        <f t="shared" si="35"/>
        <v>1743332.490202029</v>
      </c>
      <c r="X270" s="968">
        <f t="shared" si="36"/>
        <v>1382629.0810846949</v>
      </c>
      <c r="Y270" s="968">
        <f t="shared" si="37"/>
        <v>4842635.1309156921</v>
      </c>
      <c r="Z270" s="968">
        <f t="shared" si="38"/>
        <v>3088800.6377606383</v>
      </c>
      <c r="AA270" s="993">
        <f t="shared" si="39"/>
        <v>28274.623335065342</v>
      </c>
      <c r="AB270" s="507">
        <f t="shared" si="40"/>
        <v>18741632.116052814</v>
      </c>
      <c r="AE270" s="139"/>
      <c r="AF270" s="139"/>
      <c r="AG270" s="139"/>
      <c r="AH270" s="139"/>
      <c r="AI270" s="139"/>
      <c r="AJ270" s="139"/>
      <c r="AK270" s="139"/>
      <c r="AL270" s="139"/>
      <c r="AM270" s="139"/>
      <c r="AN270" s="139"/>
      <c r="AO270" s="139"/>
      <c r="AP270" s="139"/>
      <c r="AQ270" s="139"/>
      <c r="AR270" s="139"/>
      <c r="AS270" s="139"/>
      <c r="AT270" s="139"/>
      <c r="AU270" s="139"/>
      <c r="AV270" s="139"/>
      <c r="AW270" s="139"/>
      <c r="AX270" s="139"/>
      <c r="AY270" s="139"/>
      <c r="AZ270" s="139"/>
      <c r="BA270" s="139"/>
      <c r="BB270" s="139"/>
      <c r="BC270" s="139"/>
      <c r="BD270" s="139"/>
      <c r="BE270" s="139"/>
      <c r="BF270" s="139"/>
      <c r="BG270" s="139"/>
      <c r="BH270" s="139"/>
      <c r="BI270" s="139"/>
      <c r="BJ270" s="139"/>
      <c r="BK270" s="139"/>
      <c r="BL270" s="139"/>
      <c r="BM270" s="139"/>
      <c r="BN270" s="139"/>
      <c r="BO270" s="139"/>
      <c r="BP270" s="139"/>
      <c r="BQ270" s="139"/>
      <c r="BR270" s="139"/>
      <c r="BS270" s="139"/>
      <c r="BT270" s="139"/>
      <c r="BU270" s="139"/>
      <c r="BV270" s="139"/>
      <c r="BW270" s="139"/>
      <c r="BX270" s="139"/>
      <c r="BY270" s="139"/>
      <c r="BZ270" s="139"/>
      <c r="CA270" s="139"/>
      <c r="CB270" s="139"/>
      <c r="CC270" s="139"/>
      <c r="CD270" s="139"/>
      <c r="CE270" s="139"/>
      <c r="CF270" s="139"/>
      <c r="CG270" s="139"/>
      <c r="CH270" s="139"/>
      <c r="CI270" s="139"/>
      <c r="CJ270" s="139"/>
      <c r="CK270" s="139"/>
      <c r="CL270" s="139"/>
      <c r="CM270" s="139"/>
      <c r="CN270" s="139"/>
      <c r="CO270" s="139"/>
      <c r="CP270" s="139"/>
      <c r="CQ270" s="139"/>
      <c r="CR270" s="139"/>
      <c r="CS270" s="139"/>
      <c r="CT270" s="139"/>
      <c r="CU270" s="139"/>
      <c r="CV270" s="139"/>
      <c r="CW270" s="139"/>
      <c r="CX270" s="139"/>
      <c r="CY270" s="139"/>
      <c r="CZ270" s="139"/>
      <c r="DA270" s="139"/>
      <c r="DB270" s="139"/>
      <c r="DC270" s="139"/>
      <c r="DD270" s="139"/>
      <c r="DE270" s="139"/>
      <c r="DF270" s="139"/>
      <c r="DG270" s="139"/>
      <c r="DH270" s="139"/>
      <c r="DI270" s="139"/>
      <c r="DJ270" s="139"/>
      <c r="DK270" s="139"/>
      <c r="DL270" s="139"/>
      <c r="DM270" s="139"/>
      <c r="DN270" s="139"/>
      <c r="DO270" s="139"/>
      <c r="DP270" s="139"/>
      <c r="DQ270" s="139"/>
      <c r="DR270" s="139"/>
      <c r="DS270" s="139"/>
      <c r="DT270" s="139"/>
      <c r="DU270" s="139"/>
      <c r="DV270" s="139"/>
      <c r="DW270" s="139"/>
      <c r="DX270" s="139"/>
      <c r="DY270" s="139"/>
      <c r="DZ270" s="139"/>
      <c r="EA270" s="139"/>
      <c r="EB270" s="139"/>
      <c r="EC270" s="139"/>
      <c r="ED270" s="139"/>
      <c r="EE270" s="139"/>
      <c r="EF270" s="139"/>
      <c r="EG270" s="139"/>
      <c r="EH270" s="139"/>
      <c r="EI270" s="139"/>
      <c r="EJ270" s="139"/>
      <c r="EK270" s="139"/>
      <c r="EL270" s="139"/>
      <c r="EM270" s="139"/>
      <c r="EN270" s="139"/>
      <c r="EO270" s="139"/>
      <c r="EP270" s="139"/>
      <c r="EQ270" s="139"/>
      <c r="ER270" s="139"/>
      <c r="ES270" s="139"/>
      <c r="ET270" s="139"/>
      <c r="EU270" s="139"/>
      <c r="EV270" s="139"/>
      <c r="EW270" s="139"/>
      <c r="EX270" s="139"/>
      <c r="EY270" s="139"/>
      <c r="EZ270" s="139"/>
      <c r="FA270" s="139"/>
      <c r="FB270" s="139"/>
      <c r="FC270" s="139"/>
      <c r="FD270" s="139"/>
      <c r="FE270" s="139"/>
      <c r="FF270" s="139"/>
      <c r="FG270" s="139"/>
      <c r="FH270" s="139"/>
      <c r="FI270" s="139"/>
      <c r="FJ270" s="139"/>
      <c r="FK270" s="139"/>
      <c r="FL270" s="139"/>
      <c r="FM270" s="139"/>
      <c r="FN270" s="139"/>
      <c r="FO270" s="139"/>
      <c r="FP270" s="139"/>
      <c r="FQ270" s="139"/>
      <c r="FR270" s="139"/>
      <c r="FS270" s="139"/>
      <c r="FT270" s="139"/>
      <c r="FU270" s="139"/>
      <c r="FV270" s="139"/>
      <c r="FW270" s="139"/>
      <c r="FX270" s="139"/>
      <c r="FY270" s="139"/>
      <c r="FZ270" s="139"/>
      <c r="GA270" s="139"/>
      <c r="GB270" s="139"/>
      <c r="GC270" s="139"/>
      <c r="GD270" s="139"/>
      <c r="GE270" s="139"/>
      <c r="GF270" s="139"/>
      <c r="GG270" s="139"/>
      <c r="GH270" s="139"/>
      <c r="GI270" s="139"/>
      <c r="GJ270" s="139"/>
      <c r="GK270" s="139"/>
      <c r="GL270" s="139"/>
      <c r="GM270" s="139"/>
      <c r="GN270" s="139"/>
      <c r="GO270" s="139"/>
      <c r="GP270" s="139"/>
      <c r="GQ270" s="139"/>
      <c r="GR270" s="139"/>
      <c r="GS270" s="139"/>
      <c r="GT270" s="139"/>
      <c r="GU270" s="139"/>
      <c r="GV270" s="139"/>
      <c r="GW270" s="139"/>
      <c r="GX270" s="139"/>
      <c r="GY270" s="139"/>
      <c r="GZ270" s="139"/>
      <c r="HA270" s="139"/>
      <c r="HB270" s="139"/>
      <c r="HC270" s="139"/>
      <c r="HD270" s="139"/>
      <c r="HE270" s="139"/>
      <c r="HF270" s="139"/>
      <c r="HG270" s="139"/>
      <c r="HH270" s="139"/>
      <c r="HI270" s="139"/>
      <c r="HJ270" s="139"/>
      <c r="HK270" s="139"/>
      <c r="HL270" s="139"/>
      <c r="HM270" s="139"/>
      <c r="HN270" s="139"/>
      <c r="HO270" s="139"/>
      <c r="HP270" s="139"/>
      <c r="HQ270" s="139"/>
      <c r="HR270" s="139"/>
      <c r="HS270" s="139"/>
      <c r="HT270" s="139"/>
      <c r="HU270" s="139"/>
      <c r="HV270" s="139"/>
      <c r="HW270" s="139"/>
      <c r="HX270" s="139"/>
      <c r="HY270" s="139"/>
      <c r="HZ270" s="139"/>
      <c r="IA270" s="139"/>
      <c r="IB270" s="139"/>
      <c r="IC270" s="139"/>
      <c r="ID270" s="139"/>
      <c r="IE270" s="139"/>
      <c r="IF270" s="139"/>
      <c r="IG270" s="139"/>
      <c r="IH270" s="139"/>
      <c r="II270" s="139"/>
      <c r="IJ270" s="139"/>
      <c r="IK270" s="139"/>
      <c r="IL270" s="139"/>
      <c r="IM270" s="139"/>
      <c r="IN270" s="139"/>
      <c r="IO270" s="139"/>
      <c r="IP270" s="139"/>
      <c r="IQ270" s="139"/>
      <c r="IR270" s="139"/>
      <c r="IS270" s="139"/>
      <c r="IT270" s="139"/>
      <c r="IU270" s="139"/>
      <c r="IV270" s="139"/>
      <c r="IW270" s="139"/>
      <c r="IX270" s="139"/>
    </row>
    <row r="271" spans="1:258" x14ac:dyDescent="0.3">
      <c r="B271" s="5" t="s">
        <v>107</v>
      </c>
      <c r="C271" s="1009" t="s">
        <v>210</v>
      </c>
      <c r="D271" s="968">
        <v>1152629.8999999999</v>
      </c>
      <c r="E271" s="968">
        <v>379849.2</v>
      </c>
      <c r="F271" s="968">
        <v>39917522.700000003</v>
      </c>
      <c r="G271" s="968">
        <v>19583774</v>
      </c>
      <c r="H271" s="968">
        <v>50178.400000000001</v>
      </c>
      <c r="I271" s="968">
        <v>1047373.1</v>
      </c>
      <c r="J271" s="968">
        <v>384406.7</v>
      </c>
      <c r="K271" s="968">
        <v>22713564</v>
      </c>
      <c r="L271" s="968">
        <v>6891861.2000000002</v>
      </c>
      <c r="M271" s="968">
        <v>3588882.1</v>
      </c>
      <c r="N271" s="968">
        <v>6114309.4000000004</v>
      </c>
      <c r="O271" s="10">
        <v>3275808.7</v>
      </c>
      <c r="P271" s="270">
        <f t="shared" si="41"/>
        <v>63595421.700000003</v>
      </c>
      <c r="Q271" s="968">
        <f t="shared" si="42"/>
        <v>41504737.700000003</v>
      </c>
      <c r="R271" s="16">
        <f t="shared" si="31"/>
        <v>105100159.40000001</v>
      </c>
      <c r="S271" s="268">
        <f>(Q271*'Emission &amp; Conversion Factors'!$J$251)+(P271*'Emission &amp; Conversion Factors'!$J$240)</f>
        <v>1060822529.2698001</v>
      </c>
      <c r="T271" s="283">
        <f t="shared" si="32"/>
        <v>52106.091574620412</v>
      </c>
      <c r="U271" s="968">
        <f t="shared" si="33"/>
        <v>754124.5966652428</v>
      </c>
      <c r="V271" s="16">
        <f t="shared" si="34"/>
        <v>10640548.607366091</v>
      </c>
      <c r="W271" s="16">
        <f t="shared" si="35"/>
        <v>1664567.468054347</v>
      </c>
      <c r="X271" s="968">
        <f t="shared" si="36"/>
        <v>1681532.2420553861</v>
      </c>
      <c r="Y271" s="968">
        <f t="shared" si="37"/>
        <v>5079738.0437397389</v>
      </c>
      <c r="Z271" s="968">
        <f t="shared" si="38"/>
        <v>2381531.1311935037</v>
      </c>
      <c r="AA271" s="993">
        <f t="shared" si="39"/>
        <v>21004.00590604854</v>
      </c>
      <c r="AB271" s="507">
        <f t="shared" si="40"/>
        <v>22275152.18655498</v>
      </c>
      <c r="AE271" s="139"/>
      <c r="AF271" s="139"/>
      <c r="AG271" s="139"/>
      <c r="AH271" s="139"/>
      <c r="AI271" s="139"/>
      <c r="AJ271" s="139"/>
      <c r="AK271" s="139"/>
      <c r="AL271" s="139"/>
      <c r="AM271" s="139"/>
      <c r="AN271" s="139"/>
      <c r="AO271" s="139"/>
      <c r="AP271" s="139"/>
      <c r="AQ271" s="139"/>
      <c r="AR271" s="139"/>
      <c r="AS271" s="139"/>
      <c r="AT271" s="139"/>
      <c r="AU271" s="139"/>
      <c r="AV271" s="139"/>
      <c r="AW271" s="139"/>
      <c r="AX271" s="139"/>
      <c r="AY271" s="139"/>
      <c r="AZ271" s="139"/>
      <c r="BA271" s="139"/>
      <c r="BB271" s="139"/>
      <c r="BC271" s="139"/>
      <c r="BD271" s="139"/>
      <c r="BE271" s="139"/>
      <c r="BF271" s="139"/>
      <c r="BG271" s="139"/>
      <c r="BH271" s="139"/>
      <c r="BI271" s="139"/>
      <c r="BJ271" s="139"/>
      <c r="BK271" s="139"/>
      <c r="BL271" s="139"/>
      <c r="BM271" s="139"/>
      <c r="BN271" s="139"/>
      <c r="BO271" s="139"/>
      <c r="BP271" s="139"/>
      <c r="BQ271" s="139"/>
      <c r="BR271" s="139"/>
      <c r="BS271" s="139"/>
      <c r="BT271" s="139"/>
      <c r="BU271" s="139"/>
      <c r="BV271" s="139"/>
      <c r="BW271" s="139"/>
      <c r="BX271" s="139"/>
      <c r="BY271" s="139"/>
      <c r="BZ271" s="139"/>
      <c r="CA271" s="139"/>
      <c r="CB271" s="139"/>
      <c r="CC271" s="139"/>
      <c r="CD271" s="139"/>
      <c r="CE271" s="139"/>
      <c r="CF271" s="139"/>
      <c r="CG271" s="139"/>
      <c r="CH271" s="139"/>
      <c r="CI271" s="139"/>
      <c r="CJ271" s="139"/>
      <c r="CK271" s="139"/>
      <c r="CL271" s="139"/>
      <c r="CM271" s="139"/>
      <c r="CN271" s="139"/>
      <c r="CO271" s="139"/>
      <c r="CP271" s="139"/>
      <c r="CQ271" s="139"/>
      <c r="CR271" s="139"/>
      <c r="CS271" s="139"/>
      <c r="CT271" s="139"/>
      <c r="CU271" s="139"/>
      <c r="CV271" s="139"/>
      <c r="CW271" s="139"/>
      <c r="CX271" s="139"/>
      <c r="CY271" s="139"/>
      <c r="CZ271" s="139"/>
      <c r="DA271" s="139"/>
      <c r="DB271" s="139"/>
      <c r="DC271" s="139"/>
      <c r="DD271" s="139"/>
      <c r="DE271" s="139"/>
      <c r="DF271" s="139"/>
      <c r="DG271" s="139"/>
      <c r="DH271" s="139"/>
      <c r="DI271" s="139"/>
      <c r="DJ271" s="139"/>
      <c r="DK271" s="139"/>
      <c r="DL271" s="139"/>
      <c r="DM271" s="139"/>
      <c r="DN271" s="139"/>
      <c r="DO271" s="139"/>
      <c r="DP271" s="139"/>
      <c r="DQ271" s="139"/>
      <c r="DR271" s="139"/>
      <c r="DS271" s="139"/>
      <c r="DT271" s="139"/>
      <c r="DU271" s="139"/>
      <c r="DV271" s="139"/>
      <c r="DW271" s="139"/>
      <c r="DX271" s="139"/>
      <c r="DY271" s="139"/>
      <c r="DZ271" s="139"/>
      <c r="EA271" s="139"/>
      <c r="EB271" s="139"/>
      <c r="EC271" s="139"/>
      <c r="ED271" s="139"/>
      <c r="EE271" s="139"/>
      <c r="EF271" s="139"/>
      <c r="EG271" s="139"/>
      <c r="EH271" s="139"/>
      <c r="EI271" s="139"/>
      <c r="EJ271" s="139"/>
      <c r="EK271" s="139"/>
      <c r="EL271" s="139"/>
      <c r="EM271" s="139"/>
      <c r="EN271" s="139"/>
      <c r="EO271" s="139"/>
      <c r="EP271" s="139"/>
      <c r="EQ271" s="139"/>
      <c r="ER271" s="139"/>
      <c r="ES271" s="139"/>
      <c r="ET271" s="139"/>
      <c r="EU271" s="139"/>
      <c r="EV271" s="139"/>
      <c r="EW271" s="139"/>
      <c r="EX271" s="139"/>
      <c r="EY271" s="139"/>
      <c r="EZ271" s="139"/>
      <c r="FA271" s="139"/>
      <c r="FB271" s="139"/>
      <c r="FC271" s="139"/>
      <c r="FD271" s="139"/>
      <c r="FE271" s="139"/>
      <c r="FF271" s="139"/>
      <c r="FG271" s="139"/>
      <c r="FH271" s="139"/>
      <c r="FI271" s="139"/>
      <c r="FJ271" s="139"/>
      <c r="FK271" s="139"/>
      <c r="FL271" s="139"/>
      <c r="FM271" s="139"/>
      <c r="FN271" s="139"/>
      <c r="FO271" s="139"/>
      <c r="FP271" s="139"/>
      <c r="FQ271" s="139"/>
      <c r="FR271" s="139"/>
      <c r="FS271" s="139"/>
      <c r="FT271" s="139"/>
      <c r="FU271" s="139"/>
      <c r="FV271" s="139"/>
      <c r="FW271" s="139"/>
      <c r="FX271" s="139"/>
      <c r="FY271" s="139"/>
      <c r="FZ271" s="139"/>
      <c r="GA271" s="139"/>
      <c r="GB271" s="139"/>
      <c r="GC271" s="139"/>
      <c r="GD271" s="139"/>
      <c r="GE271" s="139"/>
      <c r="GF271" s="139"/>
      <c r="GG271" s="139"/>
      <c r="GH271" s="139"/>
      <c r="GI271" s="139"/>
      <c r="GJ271" s="139"/>
      <c r="GK271" s="139"/>
      <c r="GL271" s="139"/>
      <c r="GM271" s="139"/>
      <c r="GN271" s="139"/>
      <c r="GO271" s="139"/>
      <c r="GP271" s="139"/>
      <c r="GQ271" s="139"/>
      <c r="GR271" s="139"/>
      <c r="GS271" s="139"/>
      <c r="GT271" s="139"/>
      <c r="GU271" s="139"/>
      <c r="GV271" s="139"/>
      <c r="GW271" s="139"/>
      <c r="GX271" s="139"/>
      <c r="GY271" s="139"/>
      <c r="GZ271" s="139"/>
      <c r="HA271" s="139"/>
      <c r="HB271" s="139"/>
      <c r="HC271" s="139"/>
      <c r="HD271" s="139"/>
      <c r="HE271" s="139"/>
      <c r="HF271" s="139"/>
      <c r="HG271" s="139"/>
      <c r="HH271" s="139"/>
      <c r="HI271" s="139"/>
      <c r="HJ271" s="139"/>
      <c r="HK271" s="139"/>
      <c r="HL271" s="139"/>
      <c r="HM271" s="139"/>
      <c r="HN271" s="139"/>
      <c r="HO271" s="139"/>
      <c r="HP271" s="139"/>
      <c r="HQ271" s="139"/>
      <c r="HR271" s="139"/>
      <c r="HS271" s="139"/>
      <c r="HT271" s="139"/>
      <c r="HU271" s="139"/>
      <c r="HV271" s="139"/>
      <c r="HW271" s="139"/>
      <c r="HX271" s="139"/>
      <c r="HY271" s="139"/>
      <c r="HZ271" s="139"/>
      <c r="IA271" s="139"/>
      <c r="IB271" s="139"/>
      <c r="IC271" s="139"/>
      <c r="ID271" s="139"/>
      <c r="IE271" s="139"/>
      <c r="IF271" s="139"/>
      <c r="IG271" s="139"/>
      <c r="IH271" s="139"/>
      <c r="II271" s="139"/>
      <c r="IJ271" s="139"/>
      <c r="IK271" s="139"/>
      <c r="IL271" s="139"/>
      <c r="IM271" s="139"/>
      <c r="IN271" s="139"/>
      <c r="IO271" s="139"/>
      <c r="IP271" s="139"/>
      <c r="IQ271" s="139"/>
      <c r="IR271" s="139"/>
      <c r="IS271" s="139"/>
      <c r="IT271" s="139"/>
      <c r="IU271" s="139"/>
      <c r="IV271" s="139"/>
      <c r="IW271" s="139"/>
      <c r="IX271" s="139"/>
    </row>
    <row r="272" spans="1:258" x14ac:dyDescent="0.3">
      <c r="B272" s="5" t="s">
        <v>108</v>
      </c>
      <c r="C272" s="1009" t="s">
        <v>211</v>
      </c>
      <c r="D272" s="968">
        <v>1529044.9</v>
      </c>
      <c r="E272" s="968">
        <v>2029276.1</v>
      </c>
      <c r="F272" s="968">
        <v>12102299.300000001</v>
      </c>
      <c r="G272" s="968">
        <v>4638452</v>
      </c>
      <c r="H272" s="968">
        <v>124193</v>
      </c>
      <c r="I272" s="968">
        <v>2524329.7999999998</v>
      </c>
      <c r="J272" s="968">
        <v>231229.1</v>
      </c>
      <c r="K272" s="968">
        <v>9488156.5999999996</v>
      </c>
      <c r="L272" s="968">
        <v>4876300.5999999996</v>
      </c>
      <c r="M272" s="968">
        <v>4324988.0999999996</v>
      </c>
      <c r="N272" s="968">
        <v>4025621.4</v>
      </c>
      <c r="O272" s="10">
        <v>707073.4</v>
      </c>
      <c r="P272" s="270">
        <f t="shared" si="41"/>
        <v>32614198.000000004</v>
      </c>
      <c r="Q272" s="968">
        <f t="shared" si="42"/>
        <v>13986766.300000001</v>
      </c>
      <c r="R272" s="16">
        <f t="shared" si="31"/>
        <v>46600964.300000004</v>
      </c>
      <c r="S272" s="268">
        <f>(Q272*'Emission &amp; Conversion Factors'!$J$251)+(P272*'Emission &amp; Conversion Factors'!$J$240)</f>
        <v>475257417.98290008</v>
      </c>
      <c r="T272" s="283">
        <f t="shared" si="32"/>
        <v>62204.171337143751</v>
      </c>
      <c r="U272" s="968">
        <f t="shared" si="33"/>
        <v>3100514.4102851651</v>
      </c>
      <c r="V272" s="16">
        <f t="shared" si="34"/>
        <v>3110208.566857188</v>
      </c>
      <c r="W272" s="16">
        <f t="shared" si="35"/>
        <v>3462833.5121645024</v>
      </c>
      <c r="X272" s="968">
        <f t="shared" si="36"/>
        <v>998094.20372780657</v>
      </c>
      <c r="Y272" s="968">
        <f t="shared" si="37"/>
        <v>2884011.580176665</v>
      </c>
      <c r="Z272" s="968">
        <f t="shared" si="38"/>
        <v>1163298.7886426884</v>
      </c>
      <c r="AA272" s="993">
        <f t="shared" si="39"/>
        <v>10905.926143525203</v>
      </c>
      <c r="AB272" s="507">
        <f t="shared" si="40"/>
        <v>14792071.159334682</v>
      </c>
      <c r="AE272" s="139"/>
      <c r="AF272" s="139"/>
      <c r="AG272" s="139"/>
      <c r="AH272" s="139"/>
      <c r="AI272" s="139"/>
      <c r="AJ272" s="139"/>
      <c r="AK272" s="139"/>
      <c r="AL272" s="139"/>
      <c r="AM272" s="139"/>
      <c r="AN272" s="139"/>
      <c r="AO272" s="139"/>
      <c r="AP272" s="139"/>
      <c r="AQ272" s="139"/>
      <c r="AR272" s="139"/>
      <c r="AS272" s="139"/>
      <c r="AT272" s="139"/>
      <c r="AU272" s="139"/>
      <c r="AV272" s="139"/>
      <c r="AW272" s="139"/>
      <c r="AX272" s="139"/>
      <c r="AY272" s="139"/>
      <c r="AZ272" s="139"/>
      <c r="BA272" s="139"/>
      <c r="BB272" s="139"/>
      <c r="BC272" s="139"/>
      <c r="BD272" s="139"/>
      <c r="BE272" s="139"/>
      <c r="BF272" s="139"/>
      <c r="BG272" s="139"/>
      <c r="BH272" s="139"/>
      <c r="BI272" s="139"/>
      <c r="BJ272" s="139"/>
      <c r="BK272" s="139"/>
      <c r="BL272" s="139"/>
      <c r="BM272" s="139"/>
      <c r="BN272" s="139"/>
      <c r="BO272" s="139"/>
      <c r="BP272" s="139"/>
      <c r="BQ272" s="139"/>
      <c r="BR272" s="139"/>
      <c r="BS272" s="139"/>
      <c r="BT272" s="139"/>
      <c r="BU272" s="139"/>
      <c r="BV272" s="139"/>
      <c r="BW272" s="139"/>
      <c r="BX272" s="139"/>
      <c r="BY272" s="139"/>
      <c r="BZ272" s="139"/>
      <c r="CA272" s="139"/>
      <c r="CB272" s="139"/>
      <c r="CC272" s="139"/>
      <c r="CD272" s="139"/>
      <c r="CE272" s="139"/>
      <c r="CF272" s="139"/>
      <c r="CG272" s="139"/>
      <c r="CH272" s="139"/>
      <c r="CI272" s="139"/>
      <c r="CJ272" s="139"/>
      <c r="CK272" s="139"/>
      <c r="CL272" s="139"/>
      <c r="CM272" s="139"/>
      <c r="CN272" s="139"/>
      <c r="CO272" s="139"/>
      <c r="CP272" s="139"/>
      <c r="CQ272" s="139"/>
      <c r="CR272" s="139"/>
      <c r="CS272" s="139"/>
      <c r="CT272" s="139"/>
      <c r="CU272" s="139"/>
      <c r="CV272" s="139"/>
      <c r="CW272" s="139"/>
      <c r="CX272" s="139"/>
      <c r="CY272" s="139"/>
      <c r="CZ272" s="139"/>
      <c r="DA272" s="139"/>
      <c r="DB272" s="139"/>
      <c r="DC272" s="139"/>
      <c r="DD272" s="139"/>
      <c r="DE272" s="139"/>
      <c r="DF272" s="139"/>
      <c r="DG272" s="139"/>
      <c r="DH272" s="139"/>
      <c r="DI272" s="139"/>
      <c r="DJ272" s="139"/>
      <c r="DK272" s="139"/>
      <c r="DL272" s="139"/>
      <c r="DM272" s="139"/>
      <c r="DN272" s="139"/>
      <c r="DO272" s="139"/>
      <c r="DP272" s="139"/>
      <c r="DQ272" s="139"/>
      <c r="DR272" s="139"/>
      <c r="DS272" s="139"/>
      <c r="DT272" s="139"/>
      <c r="DU272" s="139"/>
      <c r="DV272" s="139"/>
      <c r="DW272" s="139"/>
      <c r="DX272" s="139"/>
      <c r="DY272" s="139"/>
      <c r="DZ272" s="139"/>
      <c r="EA272" s="139"/>
      <c r="EB272" s="139"/>
      <c r="EC272" s="139"/>
      <c r="ED272" s="139"/>
      <c r="EE272" s="139"/>
      <c r="EF272" s="139"/>
      <c r="EG272" s="139"/>
      <c r="EH272" s="139"/>
      <c r="EI272" s="139"/>
      <c r="EJ272" s="139"/>
      <c r="EK272" s="139"/>
      <c r="EL272" s="139"/>
      <c r="EM272" s="139"/>
      <c r="EN272" s="139"/>
      <c r="EO272" s="139"/>
      <c r="EP272" s="139"/>
      <c r="EQ272" s="139"/>
      <c r="ER272" s="139"/>
      <c r="ES272" s="139"/>
      <c r="ET272" s="139"/>
      <c r="EU272" s="139"/>
      <c r="EV272" s="139"/>
      <c r="EW272" s="139"/>
      <c r="EX272" s="139"/>
      <c r="EY272" s="139"/>
      <c r="EZ272" s="139"/>
      <c r="FA272" s="139"/>
      <c r="FB272" s="139"/>
      <c r="FC272" s="139"/>
      <c r="FD272" s="139"/>
      <c r="FE272" s="139"/>
      <c r="FF272" s="139"/>
      <c r="FG272" s="139"/>
      <c r="FH272" s="139"/>
      <c r="FI272" s="139"/>
      <c r="FJ272" s="139"/>
      <c r="FK272" s="139"/>
      <c r="FL272" s="139"/>
      <c r="FM272" s="139"/>
      <c r="FN272" s="139"/>
      <c r="FO272" s="139"/>
      <c r="FP272" s="139"/>
      <c r="FQ272" s="139"/>
      <c r="FR272" s="139"/>
      <c r="FS272" s="139"/>
      <c r="FT272" s="139"/>
      <c r="FU272" s="139"/>
      <c r="FV272" s="139"/>
      <c r="FW272" s="139"/>
      <c r="FX272" s="139"/>
      <c r="FY272" s="139"/>
      <c r="FZ272" s="139"/>
      <c r="GA272" s="139"/>
      <c r="GB272" s="139"/>
      <c r="GC272" s="139"/>
      <c r="GD272" s="139"/>
      <c r="GE272" s="139"/>
      <c r="GF272" s="139"/>
      <c r="GG272" s="139"/>
      <c r="GH272" s="139"/>
      <c r="GI272" s="139"/>
      <c r="GJ272" s="139"/>
      <c r="GK272" s="139"/>
      <c r="GL272" s="139"/>
      <c r="GM272" s="139"/>
      <c r="GN272" s="139"/>
      <c r="GO272" s="139"/>
      <c r="GP272" s="139"/>
      <c r="GQ272" s="139"/>
      <c r="GR272" s="139"/>
      <c r="GS272" s="139"/>
      <c r="GT272" s="139"/>
      <c r="GU272" s="139"/>
      <c r="GV272" s="139"/>
      <c r="GW272" s="139"/>
      <c r="GX272" s="139"/>
      <c r="GY272" s="139"/>
      <c r="GZ272" s="139"/>
      <c r="HA272" s="139"/>
      <c r="HB272" s="139"/>
      <c r="HC272" s="139"/>
      <c r="HD272" s="139"/>
      <c r="HE272" s="139"/>
      <c r="HF272" s="139"/>
      <c r="HG272" s="139"/>
      <c r="HH272" s="139"/>
      <c r="HI272" s="139"/>
      <c r="HJ272" s="139"/>
      <c r="HK272" s="139"/>
      <c r="HL272" s="139"/>
      <c r="HM272" s="139"/>
      <c r="HN272" s="139"/>
      <c r="HO272" s="139"/>
      <c r="HP272" s="139"/>
      <c r="HQ272" s="139"/>
      <c r="HR272" s="139"/>
      <c r="HS272" s="139"/>
      <c r="HT272" s="139"/>
      <c r="HU272" s="139"/>
      <c r="HV272" s="139"/>
      <c r="HW272" s="139"/>
      <c r="HX272" s="139"/>
      <c r="HY272" s="139"/>
      <c r="HZ272" s="139"/>
      <c r="IA272" s="139"/>
      <c r="IB272" s="139"/>
      <c r="IC272" s="139"/>
      <c r="ID272" s="139"/>
      <c r="IE272" s="139"/>
      <c r="IF272" s="139"/>
      <c r="IG272" s="139"/>
      <c r="IH272" s="139"/>
      <c r="II272" s="139"/>
      <c r="IJ272" s="139"/>
      <c r="IK272" s="139"/>
      <c r="IL272" s="139"/>
      <c r="IM272" s="139"/>
      <c r="IN272" s="139"/>
      <c r="IO272" s="139"/>
      <c r="IP272" s="139"/>
      <c r="IQ272" s="139"/>
      <c r="IR272" s="139"/>
      <c r="IS272" s="139"/>
      <c r="IT272" s="139"/>
      <c r="IU272" s="139"/>
      <c r="IV272" s="139"/>
      <c r="IW272" s="139"/>
      <c r="IX272" s="139"/>
    </row>
    <row r="273" spans="2:258" x14ac:dyDescent="0.3">
      <c r="B273" s="5" t="s">
        <v>109</v>
      </c>
      <c r="C273" s="1009" t="s">
        <v>212</v>
      </c>
      <c r="D273" s="968">
        <v>889245.8</v>
      </c>
      <c r="E273" s="968">
        <v>1775307.8</v>
      </c>
      <c r="F273" s="968">
        <v>1308402.8</v>
      </c>
      <c r="G273" s="968">
        <v>670613.80000000005</v>
      </c>
      <c r="H273" s="968">
        <v>57672.9</v>
      </c>
      <c r="I273" s="968">
        <v>1354722.9</v>
      </c>
      <c r="J273" s="968">
        <v>59621.2</v>
      </c>
      <c r="K273" s="968">
        <v>2765283.1</v>
      </c>
      <c r="L273" s="968">
        <v>2284409.7000000002</v>
      </c>
      <c r="M273" s="968">
        <v>1816634.3</v>
      </c>
      <c r="N273" s="968">
        <v>1732646.3</v>
      </c>
      <c r="O273" s="10">
        <v>171926.9</v>
      </c>
      <c r="P273" s="270">
        <f t="shared" si="41"/>
        <v>12571544.800000001</v>
      </c>
      <c r="Q273" s="968">
        <f t="shared" si="42"/>
        <v>2314942.7000000002</v>
      </c>
      <c r="R273" s="16">
        <f t="shared" si="31"/>
        <v>14886487.500000002</v>
      </c>
      <c r="S273" s="268">
        <f>(Q273*'Emission &amp; Conversion Factors'!$J$251)+(P273*'Emission &amp; Conversion Factors'!$J$240)</f>
        <v>154204643.35090002</v>
      </c>
      <c r="T273" s="283">
        <f t="shared" si="32"/>
        <v>39180.549478590547</v>
      </c>
      <c r="U273" s="968">
        <f t="shared" si="33"/>
        <v>2446966.6880546547</v>
      </c>
      <c r="V273" s="16">
        <f t="shared" si="34"/>
        <v>621233.86699043564</v>
      </c>
      <c r="W273" s="16">
        <f t="shared" si="35"/>
        <v>1879050.682210342</v>
      </c>
      <c r="X273" s="968">
        <f t="shared" si="36"/>
        <v>408770.26878694468</v>
      </c>
      <c r="Y273" s="968">
        <f t="shared" si="37"/>
        <v>844603.39133745187</v>
      </c>
      <c r="Z273" s="968">
        <f t="shared" si="38"/>
        <v>363934.79464134097</v>
      </c>
      <c r="AA273" s="993">
        <f t="shared" si="39"/>
        <v>7270.6174290168028</v>
      </c>
      <c r="AB273" s="507">
        <f t="shared" si="40"/>
        <v>6611010.8589287773</v>
      </c>
      <c r="AE273" s="139"/>
      <c r="AF273" s="139"/>
      <c r="AG273" s="139"/>
      <c r="AH273" s="139"/>
      <c r="AI273" s="139"/>
      <c r="AJ273" s="139"/>
      <c r="AK273" s="139"/>
      <c r="AL273" s="139"/>
      <c r="AM273" s="139"/>
      <c r="AN273" s="139"/>
      <c r="AO273" s="139"/>
      <c r="AP273" s="139"/>
      <c r="AQ273" s="139"/>
      <c r="AR273" s="139"/>
      <c r="AS273" s="139"/>
      <c r="AT273" s="139"/>
      <c r="AU273" s="139"/>
      <c r="AV273" s="139"/>
      <c r="AW273" s="139"/>
      <c r="AX273" s="139"/>
      <c r="AY273" s="139"/>
      <c r="AZ273" s="139"/>
      <c r="BA273" s="139"/>
      <c r="BB273" s="139"/>
      <c r="BC273" s="139"/>
      <c r="BD273" s="139"/>
      <c r="BE273" s="139"/>
      <c r="BF273" s="139"/>
      <c r="BG273" s="139"/>
      <c r="BH273" s="139"/>
      <c r="BI273" s="139"/>
      <c r="BJ273" s="139"/>
      <c r="BK273" s="139"/>
      <c r="BL273" s="139"/>
      <c r="BM273" s="139"/>
      <c r="BN273" s="139"/>
      <c r="BO273" s="139"/>
      <c r="BP273" s="139"/>
      <c r="BQ273" s="139"/>
      <c r="BR273" s="139"/>
      <c r="BS273" s="139"/>
      <c r="BT273" s="139"/>
      <c r="BU273" s="139"/>
      <c r="BV273" s="139"/>
      <c r="BW273" s="139"/>
      <c r="BX273" s="139"/>
      <c r="BY273" s="139"/>
      <c r="BZ273" s="139"/>
      <c r="CA273" s="139"/>
      <c r="CB273" s="139"/>
      <c r="CC273" s="139"/>
      <c r="CD273" s="139"/>
      <c r="CE273" s="139"/>
      <c r="CF273" s="139"/>
      <c r="CG273" s="139"/>
      <c r="CH273" s="139"/>
      <c r="CI273" s="139"/>
      <c r="CJ273" s="139"/>
      <c r="CK273" s="139"/>
      <c r="CL273" s="139"/>
      <c r="CM273" s="139"/>
      <c r="CN273" s="139"/>
      <c r="CO273" s="139"/>
      <c r="CP273" s="139"/>
      <c r="CQ273" s="139"/>
      <c r="CR273" s="139"/>
      <c r="CS273" s="139"/>
      <c r="CT273" s="139"/>
      <c r="CU273" s="139"/>
      <c r="CV273" s="139"/>
      <c r="CW273" s="139"/>
      <c r="CX273" s="139"/>
      <c r="CY273" s="139"/>
      <c r="CZ273" s="139"/>
      <c r="DA273" s="139"/>
      <c r="DB273" s="139"/>
      <c r="DC273" s="139"/>
      <c r="DD273" s="139"/>
      <c r="DE273" s="139"/>
      <c r="DF273" s="139"/>
      <c r="DG273" s="139"/>
      <c r="DH273" s="139"/>
      <c r="DI273" s="139"/>
      <c r="DJ273" s="139"/>
      <c r="DK273" s="139"/>
      <c r="DL273" s="139"/>
      <c r="DM273" s="139"/>
      <c r="DN273" s="139"/>
      <c r="DO273" s="139"/>
      <c r="DP273" s="139"/>
      <c r="DQ273" s="139"/>
      <c r="DR273" s="139"/>
      <c r="DS273" s="139"/>
      <c r="DT273" s="139"/>
      <c r="DU273" s="139"/>
      <c r="DV273" s="139"/>
      <c r="DW273" s="139"/>
      <c r="DX273" s="139"/>
      <c r="DY273" s="139"/>
      <c r="DZ273" s="139"/>
      <c r="EA273" s="139"/>
      <c r="EB273" s="139"/>
      <c r="EC273" s="139"/>
      <c r="ED273" s="139"/>
      <c r="EE273" s="139"/>
      <c r="EF273" s="139"/>
      <c r="EG273" s="139"/>
      <c r="EH273" s="139"/>
      <c r="EI273" s="139"/>
      <c r="EJ273" s="139"/>
      <c r="EK273" s="139"/>
      <c r="EL273" s="139"/>
      <c r="EM273" s="139"/>
      <c r="EN273" s="139"/>
      <c r="EO273" s="139"/>
      <c r="EP273" s="139"/>
      <c r="EQ273" s="139"/>
      <c r="ER273" s="139"/>
      <c r="ES273" s="139"/>
      <c r="ET273" s="139"/>
      <c r="EU273" s="139"/>
      <c r="EV273" s="139"/>
      <c r="EW273" s="139"/>
      <c r="EX273" s="139"/>
      <c r="EY273" s="139"/>
      <c r="EZ273" s="139"/>
      <c r="FA273" s="139"/>
      <c r="FB273" s="139"/>
      <c r="FC273" s="139"/>
      <c r="FD273" s="139"/>
      <c r="FE273" s="139"/>
      <c r="FF273" s="139"/>
      <c r="FG273" s="139"/>
      <c r="FH273" s="139"/>
      <c r="FI273" s="139"/>
      <c r="FJ273" s="139"/>
      <c r="FK273" s="139"/>
      <c r="FL273" s="139"/>
      <c r="FM273" s="139"/>
      <c r="FN273" s="139"/>
      <c r="FO273" s="139"/>
      <c r="FP273" s="139"/>
      <c r="FQ273" s="139"/>
      <c r="FR273" s="139"/>
      <c r="FS273" s="139"/>
      <c r="FT273" s="139"/>
      <c r="FU273" s="139"/>
      <c r="FV273" s="139"/>
      <c r="FW273" s="139"/>
      <c r="FX273" s="139"/>
      <c r="FY273" s="139"/>
      <c r="FZ273" s="139"/>
      <c r="GA273" s="139"/>
      <c r="GB273" s="139"/>
      <c r="GC273" s="139"/>
      <c r="GD273" s="139"/>
      <c r="GE273" s="139"/>
      <c r="GF273" s="139"/>
      <c r="GG273" s="139"/>
      <c r="GH273" s="139"/>
      <c r="GI273" s="139"/>
      <c r="GJ273" s="139"/>
      <c r="GK273" s="139"/>
      <c r="GL273" s="139"/>
      <c r="GM273" s="139"/>
      <c r="GN273" s="139"/>
      <c r="GO273" s="139"/>
      <c r="GP273" s="139"/>
      <c r="GQ273" s="139"/>
      <c r="GR273" s="139"/>
      <c r="GS273" s="139"/>
      <c r="GT273" s="139"/>
      <c r="GU273" s="139"/>
      <c r="GV273" s="139"/>
      <c r="GW273" s="139"/>
      <c r="GX273" s="139"/>
      <c r="GY273" s="139"/>
      <c r="GZ273" s="139"/>
      <c r="HA273" s="139"/>
      <c r="HB273" s="139"/>
      <c r="HC273" s="139"/>
      <c r="HD273" s="139"/>
      <c r="HE273" s="139"/>
      <c r="HF273" s="139"/>
      <c r="HG273" s="139"/>
      <c r="HH273" s="139"/>
      <c r="HI273" s="139"/>
      <c r="HJ273" s="139"/>
      <c r="HK273" s="139"/>
      <c r="HL273" s="139"/>
      <c r="HM273" s="139"/>
      <c r="HN273" s="139"/>
      <c r="HO273" s="139"/>
      <c r="HP273" s="139"/>
      <c r="HQ273" s="139"/>
      <c r="HR273" s="139"/>
      <c r="HS273" s="139"/>
      <c r="HT273" s="139"/>
      <c r="HU273" s="139"/>
      <c r="HV273" s="139"/>
      <c r="HW273" s="139"/>
      <c r="HX273" s="139"/>
      <c r="HY273" s="139"/>
      <c r="HZ273" s="139"/>
      <c r="IA273" s="139"/>
      <c r="IB273" s="139"/>
      <c r="IC273" s="139"/>
      <c r="ID273" s="139"/>
      <c r="IE273" s="139"/>
      <c r="IF273" s="139"/>
      <c r="IG273" s="139"/>
      <c r="IH273" s="139"/>
      <c r="II273" s="139"/>
      <c r="IJ273" s="139"/>
      <c r="IK273" s="139"/>
      <c r="IL273" s="139"/>
      <c r="IM273" s="139"/>
      <c r="IN273" s="139"/>
      <c r="IO273" s="139"/>
      <c r="IP273" s="139"/>
      <c r="IQ273" s="139"/>
      <c r="IR273" s="139"/>
      <c r="IS273" s="139"/>
      <c r="IT273" s="139"/>
      <c r="IU273" s="139"/>
      <c r="IV273" s="139"/>
      <c r="IW273" s="139"/>
      <c r="IX273" s="139"/>
    </row>
    <row r="274" spans="2:258" x14ac:dyDescent="0.3">
      <c r="B274" s="5" t="s">
        <v>110</v>
      </c>
      <c r="C274" s="1009" t="s">
        <v>213</v>
      </c>
      <c r="D274" s="968">
        <v>1094960.1000000001</v>
      </c>
      <c r="E274" s="968">
        <v>468141.5</v>
      </c>
      <c r="F274" s="968">
        <v>37822657.100000001</v>
      </c>
      <c r="G274" s="968">
        <v>18441430.600000001</v>
      </c>
      <c r="H274" s="968">
        <v>58307.199999999997</v>
      </c>
      <c r="I274" s="968">
        <v>1214178.3999999999</v>
      </c>
      <c r="J274" s="968">
        <v>383273.3</v>
      </c>
      <c r="K274" s="968">
        <v>22410833.600000001</v>
      </c>
      <c r="L274" s="968">
        <v>7393986.2999999998</v>
      </c>
      <c r="M274" s="968">
        <v>4037380</v>
      </c>
      <c r="N274" s="968">
        <v>6904826.4000000004</v>
      </c>
      <c r="O274" s="10">
        <v>3651369.5</v>
      </c>
      <c r="P274" s="270">
        <f t="shared" si="41"/>
        <v>64522146.299999997</v>
      </c>
      <c r="Q274" s="968">
        <f t="shared" si="42"/>
        <v>39359197.700000003</v>
      </c>
      <c r="R274" s="16">
        <f t="shared" si="31"/>
        <v>103881344.00000001</v>
      </c>
      <c r="S274" s="268">
        <f>(Q274*'Emission &amp; Conversion Factors'!$J$251)+(P274*'Emission &amp; Conversion Factors'!$J$240)</f>
        <v>1050364442.6124001</v>
      </c>
      <c r="T274" s="283">
        <f t="shared" si="32"/>
        <v>48874.706050612949</v>
      </c>
      <c r="U274" s="968">
        <f t="shared" si="33"/>
        <v>912462.48734160885</v>
      </c>
      <c r="V274" s="16">
        <f t="shared" si="34"/>
        <v>9968016.4951820355</v>
      </c>
      <c r="W274" s="16">
        <f t="shared" si="35"/>
        <v>1954180.395643516</v>
      </c>
      <c r="X274" s="968">
        <f t="shared" si="36"/>
        <v>1641543.8461957932</v>
      </c>
      <c r="Y274" s="968">
        <f t="shared" si="37"/>
        <v>5200511.0776995178</v>
      </c>
      <c r="Z274" s="968">
        <f t="shared" si="38"/>
        <v>2584704.4960154733</v>
      </c>
      <c r="AA274" s="993">
        <f t="shared" si="39"/>
        <v>23023.621858553208</v>
      </c>
      <c r="AB274" s="507">
        <f t="shared" si="40"/>
        <v>22333317.125987113</v>
      </c>
      <c r="AE274" s="139"/>
      <c r="AF274" s="139"/>
      <c r="AG274" s="139"/>
      <c r="AH274" s="139"/>
      <c r="AI274" s="139"/>
      <c r="AJ274" s="139"/>
      <c r="AK274" s="139"/>
      <c r="AL274" s="139"/>
      <c r="AM274" s="139"/>
      <c r="AN274" s="139"/>
      <c r="AO274" s="139"/>
      <c r="AP274" s="139"/>
      <c r="AQ274" s="139"/>
      <c r="AR274" s="139"/>
      <c r="AS274" s="139"/>
      <c r="AT274" s="139"/>
      <c r="AU274" s="139"/>
      <c r="AV274" s="139"/>
      <c r="AW274" s="139"/>
      <c r="AX274" s="139"/>
      <c r="AY274" s="139"/>
      <c r="AZ274" s="139"/>
      <c r="BA274" s="139"/>
      <c r="BB274" s="139"/>
      <c r="BC274" s="139"/>
      <c r="BD274" s="139"/>
      <c r="BE274" s="139"/>
      <c r="BF274" s="139"/>
      <c r="BG274" s="139"/>
      <c r="BH274" s="139"/>
      <c r="BI274" s="139"/>
      <c r="BJ274" s="139"/>
      <c r="BK274" s="139"/>
      <c r="BL274" s="139"/>
      <c r="BM274" s="139"/>
      <c r="BN274" s="139"/>
      <c r="BO274" s="139"/>
      <c r="BP274" s="139"/>
      <c r="BQ274" s="139"/>
      <c r="BR274" s="139"/>
      <c r="BS274" s="139"/>
      <c r="BT274" s="139"/>
      <c r="BU274" s="139"/>
      <c r="BV274" s="139"/>
      <c r="BW274" s="139"/>
      <c r="BX274" s="139"/>
      <c r="BY274" s="139"/>
      <c r="BZ274" s="139"/>
      <c r="CA274" s="139"/>
      <c r="CB274" s="139"/>
      <c r="CC274" s="139"/>
      <c r="CD274" s="139"/>
      <c r="CE274" s="139"/>
      <c r="CF274" s="139"/>
      <c r="CG274" s="139"/>
      <c r="CH274" s="139"/>
      <c r="CI274" s="139"/>
      <c r="CJ274" s="139"/>
      <c r="CK274" s="139"/>
      <c r="CL274" s="139"/>
      <c r="CM274" s="139"/>
      <c r="CN274" s="139"/>
      <c r="CO274" s="139"/>
      <c r="CP274" s="139"/>
      <c r="CQ274" s="139"/>
      <c r="CR274" s="139"/>
      <c r="CS274" s="139"/>
      <c r="CT274" s="139"/>
      <c r="CU274" s="139"/>
      <c r="CV274" s="139"/>
      <c r="CW274" s="139"/>
      <c r="CX274" s="139"/>
      <c r="CY274" s="139"/>
      <c r="CZ274" s="139"/>
      <c r="DA274" s="139"/>
      <c r="DB274" s="139"/>
      <c r="DC274" s="139"/>
      <c r="DD274" s="139"/>
      <c r="DE274" s="139"/>
      <c r="DF274" s="139"/>
      <c r="DG274" s="139"/>
      <c r="DH274" s="139"/>
      <c r="DI274" s="139"/>
      <c r="DJ274" s="139"/>
      <c r="DK274" s="139"/>
      <c r="DL274" s="139"/>
      <c r="DM274" s="139"/>
      <c r="DN274" s="139"/>
      <c r="DO274" s="139"/>
      <c r="DP274" s="139"/>
      <c r="DQ274" s="139"/>
      <c r="DR274" s="139"/>
      <c r="DS274" s="139"/>
      <c r="DT274" s="139"/>
      <c r="DU274" s="139"/>
      <c r="DV274" s="139"/>
      <c r="DW274" s="139"/>
      <c r="DX274" s="139"/>
      <c r="DY274" s="139"/>
      <c r="DZ274" s="139"/>
      <c r="EA274" s="139"/>
      <c r="EB274" s="139"/>
      <c r="EC274" s="139"/>
      <c r="ED274" s="139"/>
      <c r="EE274" s="139"/>
      <c r="EF274" s="139"/>
      <c r="EG274" s="139"/>
      <c r="EH274" s="139"/>
      <c r="EI274" s="139"/>
      <c r="EJ274" s="139"/>
      <c r="EK274" s="139"/>
      <c r="EL274" s="139"/>
      <c r="EM274" s="139"/>
      <c r="EN274" s="139"/>
      <c r="EO274" s="139"/>
      <c r="EP274" s="139"/>
      <c r="EQ274" s="139"/>
      <c r="ER274" s="139"/>
      <c r="ES274" s="139"/>
      <c r="ET274" s="139"/>
      <c r="EU274" s="139"/>
      <c r="EV274" s="139"/>
      <c r="EW274" s="139"/>
      <c r="EX274" s="139"/>
      <c r="EY274" s="139"/>
      <c r="EZ274" s="139"/>
      <c r="FA274" s="139"/>
      <c r="FB274" s="139"/>
      <c r="FC274" s="139"/>
      <c r="FD274" s="139"/>
      <c r="FE274" s="139"/>
      <c r="FF274" s="139"/>
      <c r="FG274" s="139"/>
      <c r="FH274" s="139"/>
      <c r="FI274" s="139"/>
      <c r="FJ274" s="139"/>
      <c r="FK274" s="139"/>
      <c r="FL274" s="139"/>
      <c r="FM274" s="139"/>
      <c r="FN274" s="139"/>
      <c r="FO274" s="139"/>
      <c r="FP274" s="139"/>
      <c r="FQ274" s="139"/>
      <c r="FR274" s="139"/>
      <c r="FS274" s="139"/>
      <c r="FT274" s="139"/>
      <c r="FU274" s="139"/>
      <c r="FV274" s="139"/>
      <c r="FW274" s="139"/>
      <c r="FX274" s="139"/>
      <c r="FY274" s="139"/>
      <c r="FZ274" s="139"/>
      <c r="GA274" s="139"/>
      <c r="GB274" s="139"/>
      <c r="GC274" s="139"/>
      <c r="GD274" s="139"/>
      <c r="GE274" s="139"/>
      <c r="GF274" s="139"/>
      <c r="GG274" s="139"/>
      <c r="GH274" s="139"/>
      <c r="GI274" s="139"/>
      <c r="GJ274" s="139"/>
      <c r="GK274" s="139"/>
      <c r="GL274" s="139"/>
      <c r="GM274" s="139"/>
      <c r="GN274" s="139"/>
      <c r="GO274" s="139"/>
      <c r="GP274" s="139"/>
      <c r="GQ274" s="139"/>
      <c r="GR274" s="139"/>
      <c r="GS274" s="139"/>
      <c r="GT274" s="139"/>
      <c r="GU274" s="139"/>
      <c r="GV274" s="139"/>
      <c r="GW274" s="139"/>
      <c r="GX274" s="139"/>
      <c r="GY274" s="139"/>
      <c r="GZ274" s="139"/>
      <c r="HA274" s="139"/>
      <c r="HB274" s="139"/>
      <c r="HC274" s="139"/>
      <c r="HD274" s="139"/>
      <c r="HE274" s="139"/>
      <c r="HF274" s="139"/>
      <c r="HG274" s="139"/>
      <c r="HH274" s="139"/>
      <c r="HI274" s="139"/>
      <c r="HJ274" s="139"/>
      <c r="HK274" s="139"/>
      <c r="HL274" s="139"/>
      <c r="HM274" s="139"/>
      <c r="HN274" s="139"/>
      <c r="HO274" s="139"/>
      <c r="HP274" s="139"/>
      <c r="HQ274" s="139"/>
      <c r="HR274" s="139"/>
      <c r="HS274" s="139"/>
      <c r="HT274" s="139"/>
      <c r="HU274" s="139"/>
      <c r="HV274" s="139"/>
      <c r="HW274" s="139"/>
      <c r="HX274" s="139"/>
      <c r="HY274" s="139"/>
      <c r="HZ274" s="139"/>
      <c r="IA274" s="139"/>
      <c r="IB274" s="139"/>
      <c r="IC274" s="139"/>
      <c r="ID274" s="139"/>
      <c r="IE274" s="139"/>
      <c r="IF274" s="139"/>
      <c r="IG274" s="139"/>
      <c r="IH274" s="139"/>
      <c r="II274" s="139"/>
      <c r="IJ274" s="139"/>
      <c r="IK274" s="139"/>
      <c r="IL274" s="139"/>
      <c r="IM274" s="139"/>
      <c r="IN274" s="139"/>
      <c r="IO274" s="139"/>
      <c r="IP274" s="139"/>
      <c r="IQ274" s="139"/>
      <c r="IR274" s="139"/>
      <c r="IS274" s="139"/>
      <c r="IT274" s="139"/>
      <c r="IU274" s="139"/>
      <c r="IV274" s="139"/>
      <c r="IW274" s="139"/>
      <c r="IX274" s="139"/>
    </row>
    <row r="275" spans="2:258" x14ac:dyDescent="0.3">
      <c r="B275" s="5" t="s">
        <v>111</v>
      </c>
      <c r="C275" s="1009" t="s">
        <v>214</v>
      </c>
      <c r="D275" s="968">
        <v>1350128.3</v>
      </c>
      <c r="E275" s="968">
        <v>456248.4</v>
      </c>
      <c r="F275" s="968">
        <v>35804357.899999999</v>
      </c>
      <c r="G275" s="968">
        <v>16503662.6</v>
      </c>
      <c r="H275" s="968">
        <v>77512.399999999994</v>
      </c>
      <c r="I275" s="968">
        <v>1637872.1</v>
      </c>
      <c r="J275" s="968">
        <v>404828.5</v>
      </c>
      <c r="K275" s="968">
        <v>21583000</v>
      </c>
      <c r="L275" s="968">
        <v>7838738.2999999998</v>
      </c>
      <c r="M275" s="968">
        <v>5567450</v>
      </c>
      <c r="N275" s="968">
        <v>10321407.9</v>
      </c>
      <c r="O275" s="10">
        <v>4831135.5999999996</v>
      </c>
      <c r="P275" s="270">
        <f t="shared" si="41"/>
        <v>68739514.899999991</v>
      </c>
      <c r="Q275" s="968">
        <f t="shared" si="42"/>
        <v>37636827.099999994</v>
      </c>
      <c r="R275" s="16">
        <f t="shared" si="31"/>
        <v>106376342</v>
      </c>
      <c r="S275" s="268">
        <f>(Q275*'Emission &amp; Conversion Factors'!$J$251)+(P275*'Emission &amp; Conversion Factors'!$J$240)</f>
        <v>1078547653.1752</v>
      </c>
      <c r="T275" s="283">
        <f t="shared" si="32"/>
        <v>60184.555384639083</v>
      </c>
      <c r="U275" s="968">
        <f t="shared" si="33"/>
        <v>896709.48291207233</v>
      </c>
      <c r="V275" s="16">
        <f t="shared" si="34"/>
        <v>9055554.0078404266</v>
      </c>
      <c r="W275" s="16">
        <f t="shared" si="35"/>
        <v>2448178.4576261574</v>
      </c>
      <c r="X275" s="968">
        <f t="shared" si="36"/>
        <v>1794226.8122051465</v>
      </c>
      <c r="Y275" s="968">
        <f t="shared" si="37"/>
        <v>5328150.8058978124</v>
      </c>
      <c r="Z275" s="968">
        <f t="shared" si="38"/>
        <v>3922094.179764064</v>
      </c>
      <c r="AA275" s="993">
        <f t="shared" si="39"/>
        <v>38776.62628808961</v>
      </c>
      <c r="AB275" s="507">
        <f t="shared" si="40"/>
        <v>23543874.927918408</v>
      </c>
      <c r="AE275" s="139"/>
      <c r="AF275" s="139"/>
      <c r="AG275" s="139"/>
      <c r="AH275" s="139"/>
      <c r="AI275" s="139"/>
      <c r="AJ275" s="139"/>
      <c r="AK275" s="139"/>
      <c r="AL275" s="139"/>
      <c r="AM275" s="139"/>
      <c r="AN275" s="139"/>
      <c r="AO275" s="139"/>
      <c r="AP275" s="139"/>
      <c r="AQ275" s="139"/>
      <c r="AR275" s="139"/>
      <c r="AS275" s="139"/>
      <c r="AT275" s="139"/>
      <c r="AU275" s="139"/>
      <c r="AV275" s="139"/>
      <c r="AW275" s="139"/>
      <c r="AX275" s="139"/>
      <c r="AY275" s="139"/>
      <c r="AZ275" s="139"/>
      <c r="BA275" s="139"/>
      <c r="BB275" s="139"/>
      <c r="BC275" s="139"/>
      <c r="BD275" s="139"/>
      <c r="BE275" s="139"/>
      <c r="BF275" s="139"/>
      <c r="BG275" s="139"/>
      <c r="BH275" s="139"/>
      <c r="BI275" s="139"/>
      <c r="BJ275" s="139"/>
      <c r="BK275" s="139"/>
      <c r="BL275" s="139"/>
      <c r="BM275" s="139"/>
      <c r="BN275" s="139"/>
      <c r="BO275" s="139"/>
      <c r="BP275" s="139"/>
      <c r="BQ275" s="139"/>
      <c r="BR275" s="139"/>
      <c r="BS275" s="139"/>
      <c r="BT275" s="139"/>
      <c r="BU275" s="139"/>
      <c r="BV275" s="139"/>
      <c r="BW275" s="139"/>
      <c r="BX275" s="139"/>
      <c r="BY275" s="139"/>
      <c r="BZ275" s="139"/>
      <c r="CA275" s="139"/>
      <c r="CB275" s="139"/>
      <c r="CC275" s="139"/>
      <c r="CD275" s="139"/>
      <c r="CE275" s="139"/>
      <c r="CF275" s="139"/>
      <c r="CG275" s="139"/>
      <c r="CH275" s="139"/>
      <c r="CI275" s="139"/>
      <c r="CJ275" s="139"/>
      <c r="CK275" s="139"/>
      <c r="CL275" s="139"/>
      <c r="CM275" s="139"/>
      <c r="CN275" s="139"/>
      <c r="CO275" s="139"/>
      <c r="CP275" s="139"/>
      <c r="CQ275" s="139"/>
      <c r="CR275" s="139"/>
      <c r="CS275" s="139"/>
      <c r="CT275" s="139"/>
      <c r="CU275" s="139"/>
      <c r="CV275" s="139"/>
      <c r="CW275" s="139"/>
      <c r="CX275" s="139"/>
      <c r="CY275" s="139"/>
      <c r="CZ275" s="139"/>
      <c r="DA275" s="139"/>
      <c r="DB275" s="139"/>
      <c r="DC275" s="139"/>
      <c r="DD275" s="139"/>
      <c r="DE275" s="139"/>
      <c r="DF275" s="139"/>
      <c r="DG275" s="139"/>
      <c r="DH275" s="139"/>
      <c r="DI275" s="139"/>
      <c r="DJ275" s="139"/>
      <c r="DK275" s="139"/>
      <c r="DL275" s="139"/>
      <c r="DM275" s="139"/>
      <c r="DN275" s="139"/>
      <c r="DO275" s="139"/>
      <c r="DP275" s="139"/>
      <c r="DQ275" s="139"/>
      <c r="DR275" s="139"/>
      <c r="DS275" s="139"/>
      <c r="DT275" s="139"/>
      <c r="DU275" s="139"/>
      <c r="DV275" s="139"/>
      <c r="DW275" s="139"/>
      <c r="DX275" s="139"/>
      <c r="DY275" s="139"/>
      <c r="DZ275" s="139"/>
      <c r="EA275" s="139"/>
      <c r="EB275" s="139"/>
      <c r="EC275" s="139"/>
      <c r="ED275" s="139"/>
      <c r="EE275" s="139"/>
      <c r="EF275" s="139"/>
      <c r="EG275" s="139"/>
      <c r="EH275" s="139"/>
      <c r="EI275" s="139"/>
      <c r="EJ275" s="139"/>
      <c r="EK275" s="139"/>
      <c r="EL275" s="139"/>
      <c r="EM275" s="139"/>
      <c r="EN275" s="139"/>
      <c r="EO275" s="139"/>
      <c r="EP275" s="139"/>
      <c r="EQ275" s="139"/>
      <c r="ER275" s="139"/>
      <c r="ES275" s="139"/>
      <c r="ET275" s="139"/>
      <c r="EU275" s="139"/>
      <c r="EV275" s="139"/>
      <c r="EW275" s="139"/>
      <c r="EX275" s="139"/>
      <c r="EY275" s="139"/>
      <c r="EZ275" s="139"/>
      <c r="FA275" s="139"/>
      <c r="FB275" s="139"/>
      <c r="FC275" s="139"/>
      <c r="FD275" s="139"/>
      <c r="FE275" s="139"/>
      <c r="FF275" s="139"/>
      <c r="FG275" s="139"/>
      <c r="FH275" s="139"/>
      <c r="FI275" s="139"/>
      <c r="FJ275" s="139"/>
      <c r="FK275" s="139"/>
      <c r="FL275" s="139"/>
      <c r="FM275" s="139"/>
      <c r="FN275" s="139"/>
      <c r="FO275" s="139"/>
      <c r="FP275" s="139"/>
      <c r="FQ275" s="139"/>
      <c r="FR275" s="139"/>
      <c r="FS275" s="139"/>
      <c r="FT275" s="139"/>
      <c r="FU275" s="139"/>
      <c r="FV275" s="139"/>
      <c r="FW275" s="139"/>
      <c r="FX275" s="139"/>
      <c r="FY275" s="139"/>
      <c r="FZ275" s="139"/>
      <c r="GA275" s="139"/>
      <c r="GB275" s="139"/>
      <c r="GC275" s="139"/>
      <c r="GD275" s="139"/>
      <c r="GE275" s="139"/>
      <c r="GF275" s="139"/>
      <c r="GG275" s="139"/>
      <c r="GH275" s="139"/>
      <c r="GI275" s="139"/>
      <c r="GJ275" s="139"/>
      <c r="GK275" s="139"/>
      <c r="GL275" s="139"/>
      <c r="GM275" s="139"/>
      <c r="GN275" s="139"/>
      <c r="GO275" s="139"/>
      <c r="GP275" s="139"/>
      <c r="GQ275" s="139"/>
      <c r="GR275" s="139"/>
      <c r="GS275" s="139"/>
      <c r="GT275" s="139"/>
      <c r="GU275" s="139"/>
      <c r="GV275" s="139"/>
      <c r="GW275" s="139"/>
      <c r="GX275" s="139"/>
      <c r="GY275" s="139"/>
      <c r="GZ275" s="139"/>
      <c r="HA275" s="139"/>
      <c r="HB275" s="139"/>
      <c r="HC275" s="139"/>
      <c r="HD275" s="139"/>
      <c r="HE275" s="139"/>
      <c r="HF275" s="139"/>
      <c r="HG275" s="139"/>
      <c r="HH275" s="139"/>
      <c r="HI275" s="139"/>
      <c r="HJ275" s="139"/>
      <c r="HK275" s="139"/>
      <c r="HL275" s="139"/>
      <c r="HM275" s="139"/>
      <c r="HN275" s="139"/>
      <c r="HO275" s="139"/>
      <c r="HP275" s="139"/>
      <c r="HQ275" s="139"/>
      <c r="HR275" s="139"/>
      <c r="HS275" s="139"/>
      <c r="HT275" s="139"/>
      <c r="HU275" s="139"/>
      <c r="HV275" s="139"/>
      <c r="HW275" s="139"/>
      <c r="HX275" s="139"/>
      <c r="HY275" s="139"/>
      <c r="HZ275" s="139"/>
      <c r="IA275" s="139"/>
      <c r="IB275" s="139"/>
      <c r="IC275" s="139"/>
      <c r="ID275" s="139"/>
      <c r="IE275" s="139"/>
      <c r="IF275" s="139"/>
      <c r="IG275" s="139"/>
      <c r="IH275" s="139"/>
      <c r="II275" s="139"/>
      <c r="IJ275" s="139"/>
      <c r="IK275" s="139"/>
      <c r="IL275" s="139"/>
      <c r="IM275" s="139"/>
      <c r="IN275" s="139"/>
      <c r="IO275" s="139"/>
      <c r="IP275" s="139"/>
      <c r="IQ275" s="139"/>
      <c r="IR275" s="139"/>
      <c r="IS275" s="139"/>
      <c r="IT275" s="139"/>
      <c r="IU275" s="139"/>
      <c r="IV275" s="139"/>
      <c r="IW275" s="139"/>
      <c r="IX275" s="139"/>
    </row>
    <row r="276" spans="2:258" x14ac:dyDescent="0.3">
      <c r="B276" s="5" t="s">
        <v>112</v>
      </c>
      <c r="C276" s="1009" t="s">
        <v>215</v>
      </c>
      <c r="D276" s="968">
        <v>1142861.7</v>
      </c>
      <c r="E276" s="968">
        <v>634980.30000000005</v>
      </c>
      <c r="F276" s="968">
        <v>43679485.899999999</v>
      </c>
      <c r="G276" s="968">
        <v>24879990.399999999</v>
      </c>
      <c r="H276" s="968">
        <v>923080.3</v>
      </c>
      <c r="I276" s="968">
        <v>1979776.1</v>
      </c>
      <c r="J276" s="968">
        <v>589413.4</v>
      </c>
      <c r="K276" s="968">
        <v>28880731.600000001</v>
      </c>
      <c r="L276" s="968">
        <v>5923366.7000000002</v>
      </c>
      <c r="M276" s="968">
        <v>3594548.5</v>
      </c>
      <c r="N276" s="968">
        <v>12120244.300000001</v>
      </c>
      <c r="O276" s="10">
        <v>25401400.699999999</v>
      </c>
      <c r="P276" s="270">
        <f t="shared" si="41"/>
        <v>103415038.59999999</v>
      </c>
      <c r="Q276" s="968">
        <f t="shared" si="42"/>
        <v>46334841.299999997</v>
      </c>
      <c r="R276" s="16">
        <f t="shared" si="31"/>
        <v>149749879.89999998</v>
      </c>
      <c r="S276" s="268">
        <f>(Q276*'Emission &amp; Conversion Factors'!$J$251)+(P276*'Emission &amp; Conversion Factors'!$J$240)</f>
        <v>1525676981.0664999</v>
      </c>
      <c r="T276" s="283">
        <f t="shared" si="32"/>
        <v>45643.320526605479</v>
      </c>
      <c r="U276" s="968">
        <f t="shared" si="33"/>
        <v>1175416.4843577163</v>
      </c>
      <c r="V276" s="16">
        <f t="shared" si="34"/>
        <v>13623117.44602498</v>
      </c>
      <c r="W276" s="16">
        <f t="shared" si="35"/>
        <v>2154526.2981319786</v>
      </c>
      <c r="X276" s="968">
        <f t="shared" si="36"/>
        <v>1833003.438493236</v>
      </c>
      <c r="Y276" s="968">
        <f t="shared" si="37"/>
        <v>4549386.8946120124</v>
      </c>
      <c r="Z276" s="968">
        <f t="shared" si="38"/>
        <v>2998725.76627893</v>
      </c>
      <c r="AA276" s="993">
        <f t="shared" si="39"/>
        <v>282342.3101601525</v>
      </c>
      <c r="AB276" s="507">
        <f t="shared" si="40"/>
        <v>26662161.958585612</v>
      </c>
      <c r="AE276" s="139"/>
      <c r="AF276" s="139"/>
      <c r="AG276" s="139"/>
      <c r="AH276" s="139"/>
      <c r="AI276" s="139"/>
      <c r="AJ276" s="139"/>
      <c r="AK276" s="139"/>
      <c r="AL276" s="139"/>
      <c r="AM276" s="139"/>
      <c r="AN276" s="139"/>
      <c r="AO276" s="139"/>
      <c r="AP276" s="139"/>
      <c r="AQ276" s="139"/>
      <c r="AR276" s="139"/>
      <c r="AS276" s="139"/>
      <c r="AT276" s="139"/>
      <c r="AU276" s="139"/>
      <c r="AV276" s="139"/>
      <c r="AW276" s="139"/>
      <c r="AX276" s="139"/>
      <c r="AY276" s="139"/>
      <c r="AZ276" s="139"/>
      <c r="BA276" s="139"/>
      <c r="BB276" s="139"/>
      <c r="BC276" s="139"/>
      <c r="BD276" s="139"/>
      <c r="BE276" s="139"/>
      <c r="BF276" s="139"/>
      <c r="BG276" s="139"/>
      <c r="BH276" s="139"/>
      <c r="BI276" s="139"/>
      <c r="BJ276" s="139"/>
      <c r="BK276" s="139"/>
      <c r="BL276" s="139"/>
      <c r="BM276" s="139"/>
      <c r="BN276" s="139"/>
      <c r="BO276" s="139"/>
      <c r="BP276" s="139"/>
      <c r="BQ276" s="139"/>
      <c r="BR276" s="139"/>
      <c r="BS276" s="139"/>
      <c r="BT276" s="139"/>
      <c r="BU276" s="139"/>
      <c r="BV276" s="139"/>
      <c r="BW276" s="139"/>
      <c r="BX276" s="139"/>
      <c r="BY276" s="139"/>
      <c r="BZ276" s="139"/>
      <c r="CA276" s="139"/>
      <c r="CB276" s="139"/>
      <c r="CC276" s="139"/>
      <c r="CD276" s="139"/>
      <c r="CE276" s="139"/>
      <c r="CF276" s="139"/>
      <c r="CG276" s="139"/>
      <c r="CH276" s="139"/>
      <c r="CI276" s="139"/>
      <c r="CJ276" s="139"/>
      <c r="CK276" s="139"/>
      <c r="CL276" s="139"/>
      <c r="CM276" s="139"/>
      <c r="CN276" s="139"/>
      <c r="CO276" s="139"/>
      <c r="CP276" s="139"/>
      <c r="CQ276" s="139"/>
      <c r="CR276" s="139"/>
      <c r="CS276" s="139"/>
      <c r="CT276" s="139"/>
      <c r="CU276" s="139"/>
      <c r="CV276" s="139"/>
      <c r="CW276" s="139"/>
      <c r="CX276" s="139"/>
      <c r="CY276" s="139"/>
      <c r="CZ276" s="139"/>
      <c r="DA276" s="139"/>
      <c r="DB276" s="139"/>
      <c r="DC276" s="139"/>
      <c r="DD276" s="139"/>
      <c r="DE276" s="139"/>
      <c r="DF276" s="139"/>
      <c r="DG276" s="139"/>
      <c r="DH276" s="139"/>
      <c r="DI276" s="139"/>
      <c r="DJ276" s="139"/>
      <c r="DK276" s="139"/>
      <c r="DL276" s="139"/>
      <c r="DM276" s="139"/>
      <c r="DN276" s="139"/>
      <c r="DO276" s="139"/>
      <c r="DP276" s="139"/>
      <c r="DQ276" s="139"/>
      <c r="DR276" s="139"/>
      <c r="DS276" s="139"/>
      <c r="DT276" s="139"/>
      <c r="DU276" s="139"/>
      <c r="DV276" s="139"/>
      <c r="DW276" s="139"/>
      <c r="DX276" s="139"/>
      <c r="DY276" s="139"/>
      <c r="DZ276" s="139"/>
      <c r="EA276" s="139"/>
      <c r="EB276" s="139"/>
      <c r="EC276" s="139"/>
      <c r="ED276" s="139"/>
      <c r="EE276" s="139"/>
      <c r="EF276" s="139"/>
      <c r="EG276" s="139"/>
      <c r="EH276" s="139"/>
      <c r="EI276" s="139"/>
      <c r="EJ276" s="139"/>
      <c r="EK276" s="139"/>
      <c r="EL276" s="139"/>
      <c r="EM276" s="139"/>
      <c r="EN276" s="139"/>
      <c r="EO276" s="139"/>
      <c r="EP276" s="139"/>
      <c r="EQ276" s="139"/>
      <c r="ER276" s="139"/>
      <c r="ES276" s="139"/>
      <c r="ET276" s="139"/>
      <c r="EU276" s="139"/>
      <c r="EV276" s="139"/>
      <c r="EW276" s="139"/>
      <c r="EX276" s="139"/>
      <c r="EY276" s="139"/>
      <c r="EZ276" s="139"/>
      <c r="FA276" s="139"/>
      <c r="FB276" s="139"/>
      <c r="FC276" s="139"/>
      <c r="FD276" s="139"/>
      <c r="FE276" s="139"/>
      <c r="FF276" s="139"/>
      <c r="FG276" s="139"/>
      <c r="FH276" s="139"/>
      <c r="FI276" s="139"/>
      <c r="FJ276" s="139"/>
      <c r="FK276" s="139"/>
      <c r="FL276" s="139"/>
      <c r="FM276" s="139"/>
      <c r="FN276" s="139"/>
      <c r="FO276" s="139"/>
      <c r="FP276" s="139"/>
      <c r="FQ276" s="139"/>
      <c r="FR276" s="139"/>
      <c r="FS276" s="139"/>
      <c r="FT276" s="139"/>
      <c r="FU276" s="139"/>
      <c r="FV276" s="139"/>
      <c r="FW276" s="139"/>
      <c r="FX276" s="139"/>
      <c r="FY276" s="139"/>
      <c r="FZ276" s="139"/>
      <c r="GA276" s="139"/>
      <c r="GB276" s="139"/>
      <c r="GC276" s="139"/>
      <c r="GD276" s="139"/>
      <c r="GE276" s="139"/>
      <c r="GF276" s="139"/>
      <c r="GG276" s="139"/>
      <c r="GH276" s="139"/>
      <c r="GI276" s="139"/>
      <c r="GJ276" s="139"/>
      <c r="GK276" s="139"/>
      <c r="GL276" s="139"/>
      <c r="GM276" s="139"/>
      <c r="GN276" s="139"/>
      <c r="GO276" s="139"/>
      <c r="GP276" s="139"/>
      <c r="GQ276" s="139"/>
      <c r="GR276" s="139"/>
      <c r="GS276" s="139"/>
      <c r="GT276" s="139"/>
      <c r="GU276" s="139"/>
      <c r="GV276" s="139"/>
      <c r="GW276" s="139"/>
      <c r="GX276" s="139"/>
      <c r="GY276" s="139"/>
      <c r="GZ276" s="139"/>
      <c r="HA276" s="139"/>
      <c r="HB276" s="139"/>
      <c r="HC276" s="139"/>
      <c r="HD276" s="139"/>
      <c r="HE276" s="139"/>
      <c r="HF276" s="139"/>
      <c r="HG276" s="139"/>
      <c r="HH276" s="139"/>
      <c r="HI276" s="139"/>
      <c r="HJ276" s="139"/>
      <c r="HK276" s="139"/>
      <c r="HL276" s="139"/>
      <c r="HM276" s="139"/>
      <c r="HN276" s="139"/>
      <c r="HO276" s="139"/>
      <c r="HP276" s="139"/>
      <c r="HQ276" s="139"/>
      <c r="HR276" s="139"/>
      <c r="HS276" s="139"/>
      <c r="HT276" s="139"/>
      <c r="HU276" s="139"/>
      <c r="HV276" s="139"/>
      <c r="HW276" s="139"/>
      <c r="HX276" s="139"/>
      <c r="HY276" s="139"/>
      <c r="HZ276" s="139"/>
      <c r="IA276" s="139"/>
      <c r="IB276" s="139"/>
      <c r="IC276" s="139"/>
      <c r="ID276" s="139"/>
      <c r="IE276" s="139"/>
      <c r="IF276" s="139"/>
      <c r="IG276" s="139"/>
      <c r="IH276" s="139"/>
      <c r="II276" s="139"/>
      <c r="IJ276" s="139"/>
      <c r="IK276" s="139"/>
      <c r="IL276" s="139"/>
      <c r="IM276" s="139"/>
      <c r="IN276" s="139"/>
      <c r="IO276" s="139"/>
      <c r="IP276" s="139"/>
      <c r="IQ276" s="139"/>
      <c r="IR276" s="139"/>
      <c r="IS276" s="139"/>
      <c r="IT276" s="139"/>
      <c r="IU276" s="139"/>
      <c r="IV276" s="139"/>
      <c r="IW276" s="139"/>
      <c r="IX276" s="139"/>
    </row>
    <row r="277" spans="2:258" x14ac:dyDescent="0.3">
      <c r="B277" s="5" t="s">
        <v>113</v>
      </c>
      <c r="C277" s="1009" t="s">
        <v>216</v>
      </c>
      <c r="D277" s="968">
        <v>1505350.8</v>
      </c>
      <c r="E277" s="968">
        <v>540273.5</v>
      </c>
      <c r="F277" s="968">
        <v>31522183.300000001</v>
      </c>
      <c r="G277" s="968">
        <v>13977208.9</v>
      </c>
      <c r="H277" s="968">
        <v>59895.9</v>
      </c>
      <c r="I277" s="968">
        <v>1303845.8</v>
      </c>
      <c r="J277" s="968">
        <v>399147.9</v>
      </c>
      <c r="K277" s="968">
        <v>19801169</v>
      </c>
      <c r="L277" s="968">
        <v>7489679.5999999996</v>
      </c>
      <c r="M277" s="968">
        <v>5517737.5</v>
      </c>
      <c r="N277" s="968">
        <v>9650122.8000000007</v>
      </c>
      <c r="O277" s="10">
        <v>3663421.7</v>
      </c>
      <c r="P277" s="270">
        <f t="shared" si="41"/>
        <v>61943458.799999997</v>
      </c>
      <c r="Q277" s="968">
        <f t="shared" si="42"/>
        <v>33486577.899999999</v>
      </c>
      <c r="R277" s="16">
        <f t="shared" si="31"/>
        <v>95430036.699999988</v>
      </c>
      <c r="S277" s="268">
        <f>(Q277*'Emission &amp; Conversion Factors'!$J$251)+(P277*'Emission &amp; Conversion Factors'!$J$240)</f>
        <v>967870588.17449999</v>
      </c>
      <c r="T277" s="283">
        <f t="shared" si="32"/>
        <v>72302.25109966709</v>
      </c>
      <c r="U277" s="968">
        <f t="shared" si="33"/>
        <v>1143910.4754986437</v>
      </c>
      <c r="V277" s="16">
        <f t="shared" si="34"/>
        <v>8731607.6090586763</v>
      </c>
      <c r="W277" s="16">
        <f t="shared" si="35"/>
        <v>2011941.4118851498</v>
      </c>
      <c r="X277" s="968">
        <f t="shared" si="36"/>
        <v>1976800.0943115682</v>
      </c>
      <c r="Y277" s="968">
        <f t="shared" si="37"/>
        <v>5533747.7098627873</v>
      </c>
      <c r="Z277" s="968">
        <f t="shared" si="38"/>
        <v>3780721.063088737</v>
      </c>
      <c r="AA277" s="993">
        <f t="shared" si="39"/>
        <v>42008.01181209708</v>
      </c>
      <c r="AB277" s="507">
        <f t="shared" si="40"/>
        <v>23293038.626617327</v>
      </c>
      <c r="AE277" s="139"/>
      <c r="AF277" s="139"/>
      <c r="AG277" s="139"/>
      <c r="AH277" s="139"/>
      <c r="AI277" s="139"/>
      <c r="AJ277" s="139"/>
      <c r="AK277" s="139"/>
      <c r="AL277" s="139"/>
      <c r="AM277" s="139"/>
      <c r="AN277" s="139"/>
      <c r="AO277" s="139"/>
      <c r="AP277" s="139"/>
      <c r="AQ277" s="139"/>
      <c r="AR277" s="139"/>
      <c r="AS277" s="139"/>
      <c r="AT277" s="139"/>
      <c r="AU277" s="139"/>
      <c r="AV277" s="139"/>
      <c r="AW277" s="139"/>
      <c r="AX277" s="139"/>
      <c r="AY277" s="139"/>
      <c r="AZ277" s="139"/>
      <c r="BA277" s="139"/>
      <c r="BB277" s="139"/>
      <c r="BC277" s="139"/>
      <c r="BD277" s="139"/>
      <c r="BE277" s="139"/>
      <c r="BF277" s="139"/>
      <c r="BG277" s="139"/>
      <c r="BH277" s="139"/>
      <c r="BI277" s="139"/>
      <c r="BJ277" s="139"/>
      <c r="BK277" s="139"/>
      <c r="BL277" s="139"/>
      <c r="BM277" s="139"/>
      <c r="BN277" s="139"/>
      <c r="BO277" s="139"/>
      <c r="BP277" s="139"/>
      <c r="BQ277" s="139"/>
      <c r="BR277" s="139"/>
      <c r="BS277" s="139"/>
      <c r="BT277" s="139"/>
      <c r="BU277" s="139"/>
      <c r="BV277" s="139"/>
      <c r="BW277" s="139"/>
      <c r="BX277" s="139"/>
      <c r="BY277" s="139"/>
      <c r="BZ277" s="139"/>
      <c r="CA277" s="139"/>
      <c r="CB277" s="139"/>
      <c r="CC277" s="139"/>
      <c r="CD277" s="139"/>
      <c r="CE277" s="139"/>
      <c r="CF277" s="139"/>
      <c r="CG277" s="139"/>
      <c r="CH277" s="139"/>
      <c r="CI277" s="139"/>
      <c r="CJ277" s="139"/>
      <c r="CK277" s="139"/>
      <c r="CL277" s="139"/>
      <c r="CM277" s="139"/>
      <c r="CN277" s="139"/>
      <c r="CO277" s="139"/>
      <c r="CP277" s="139"/>
      <c r="CQ277" s="139"/>
      <c r="CR277" s="139"/>
      <c r="CS277" s="139"/>
      <c r="CT277" s="139"/>
      <c r="CU277" s="139"/>
      <c r="CV277" s="139"/>
      <c r="CW277" s="139"/>
      <c r="CX277" s="139"/>
      <c r="CY277" s="139"/>
      <c r="CZ277" s="139"/>
      <c r="DA277" s="139"/>
      <c r="DB277" s="139"/>
      <c r="DC277" s="139"/>
      <c r="DD277" s="139"/>
      <c r="DE277" s="139"/>
      <c r="DF277" s="139"/>
      <c r="DG277" s="139"/>
      <c r="DH277" s="139"/>
      <c r="DI277" s="139"/>
      <c r="DJ277" s="139"/>
      <c r="DK277" s="139"/>
      <c r="DL277" s="139"/>
      <c r="DM277" s="139"/>
      <c r="DN277" s="139"/>
      <c r="DO277" s="139"/>
      <c r="DP277" s="139"/>
      <c r="DQ277" s="139"/>
      <c r="DR277" s="139"/>
      <c r="DS277" s="139"/>
      <c r="DT277" s="139"/>
      <c r="DU277" s="139"/>
      <c r="DV277" s="139"/>
      <c r="DW277" s="139"/>
      <c r="DX277" s="139"/>
      <c r="DY277" s="139"/>
      <c r="DZ277" s="139"/>
      <c r="EA277" s="139"/>
      <c r="EB277" s="139"/>
      <c r="EC277" s="139"/>
      <c r="ED277" s="139"/>
      <c r="EE277" s="139"/>
      <c r="EF277" s="139"/>
      <c r="EG277" s="139"/>
      <c r="EH277" s="139"/>
      <c r="EI277" s="139"/>
      <c r="EJ277" s="139"/>
      <c r="EK277" s="139"/>
      <c r="EL277" s="139"/>
      <c r="EM277" s="139"/>
      <c r="EN277" s="139"/>
      <c r="EO277" s="139"/>
      <c r="EP277" s="139"/>
      <c r="EQ277" s="139"/>
      <c r="ER277" s="139"/>
      <c r="ES277" s="139"/>
      <c r="ET277" s="139"/>
      <c r="EU277" s="139"/>
      <c r="EV277" s="139"/>
      <c r="EW277" s="139"/>
      <c r="EX277" s="139"/>
      <c r="EY277" s="139"/>
      <c r="EZ277" s="139"/>
      <c r="FA277" s="139"/>
      <c r="FB277" s="139"/>
      <c r="FC277" s="139"/>
      <c r="FD277" s="139"/>
      <c r="FE277" s="139"/>
      <c r="FF277" s="139"/>
      <c r="FG277" s="139"/>
      <c r="FH277" s="139"/>
      <c r="FI277" s="139"/>
      <c r="FJ277" s="139"/>
      <c r="FK277" s="139"/>
      <c r="FL277" s="139"/>
      <c r="FM277" s="139"/>
      <c r="FN277" s="139"/>
      <c r="FO277" s="139"/>
      <c r="FP277" s="139"/>
      <c r="FQ277" s="139"/>
      <c r="FR277" s="139"/>
      <c r="FS277" s="139"/>
      <c r="FT277" s="139"/>
      <c r="FU277" s="139"/>
      <c r="FV277" s="139"/>
      <c r="FW277" s="139"/>
      <c r="FX277" s="139"/>
      <c r="FY277" s="139"/>
      <c r="FZ277" s="139"/>
      <c r="GA277" s="139"/>
      <c r="GB277" s="139"/>
      <c r="GC277" s="139"/>
      <c r="GD277" s="139"/>
      <c r="GE277" s="139"/>
      <c r="GF277" s="139"/>
      <c r="GG277" s="139"/>
      <c r="GH277" s="139"/>
      <c r="GI277" s="139"/>
      <c r="GJ277" s="139"/>
      <c r="GK277" s="139"/>
      <c r="GL277" s="139"/>
      <c r="GM277" s="139"/>
      <c r="GN277" s="139"/>
      <c r="GO277" s="139"/>
      <c r="GP277" s="139"/>
      <c r="GQ277" s="139"/>
      <c r="GR277" s="139"/>
      <c r="GS277" s="139"/>
      <c r="GT277" s="139"/>
      <c r="GU277" s="139"/>
      <c r="GV277" s="139"/>
      <c r="GW277" s="139"/>
      <c r="GX277" s="139"/>
      <c r="GY277" s="139"/>
      <c r="GZ277" s="139"/>
      <c r="HA277" s="139"/>
      <c r="HB277" s="139"/>
      <c r="HC277" s="139"/>
      <c r="HD277" s="139"/>
      <c r="HE277" s="139"/>
      <c r="HF277" s="139"/>
      <c r="HG277" s="139"/>
      <c r="HH277" s="139"/>
      <c r="HI277" s="139"/>
      <c r="HJ277" s="139"/>
      <c r="HK277" s="139"/>
      <c r="HL277" s="139"/>
      <c r="HM277" s="139"/>
      <c r="HN277" s="139"/>
      <c r="HO277" s="139"/>
      <c r="HP277" s="139"/>
      <c r="HQ277" s="139"/>
      <c r="HR277" s="139"/>
      <c r="HS277" s="139"/>
      <c r="HT277" s="139"/>
      <c r="HU277" s="139"/>
      <c r="HV277" s="139"/>
      <c r="HW277" s="139"/>
      <c r="HX277" s="139"/>
      <c r="HY277" s="139"/>
      <c r="HZ277" s="139"/>
      <c r="IA277" s="139"/>
      <c r="IB277" s="139"/>
      <c r="IC277" s="139"/>
      <c r="ID277" s="139"/>
      <c r="IE277" s="139"/>
      <c r="IF277" s="139"/>
      <c r="IG277" s="139"/>
      <c r="IH277" s="139"/>
      <c r="II277" s="139"/>
      <c r="IJ277" s="139"/>
      <c r="IK277" s="139"/>
      <c r="IL277" s="139"/>
      <c r="IM277" s="139"/>
      <c r="IN277" s="139"/>
      <c r="IO277" s="139"/>
      <c r="IP277" s="139"/>
      <c r="IQ277" s="139"/>
      <c r="IR277" s="139"/>
      <c r="IS277" s="139"/>
      <c r="IT277" s="139"/>
      <c r="IU277" s="139"/>
      <c r="IV277" s="139"/>
      <c r="IW277" s="139"/>
      <c r="IX277" s="139"/>
    </row>
    <row r="278" spans="2:258" x14ac:dyDescent="0.3">
      <c r="B278" s="5" t="s">
        <v>114</v>
      </c>
      <c r="C278" s="1009" t="s">
        <v>217</v>
      </c>
      <c r="D278" s="968">
        <v>962690.8</v>
      </c>
      <c r="E278" s="968">
        <v>510420.3</v>
      </c>
      <c r="F278" s="968">
        <v>12316051.699999999</v>
      </c>
      <c r="G278" s="968">
        <v>4637800.3</v>
      </c>
      <c r="H278" s="968">
        <v>68227.399999999994</v>
      </c>
      <c r="I278" s="968">
        <v>1331374.2</v>
      </c>
      <c r="J278" s="968">
        <v>212467.1</v>
      </c>
      <c r="K278" s="968">
        <v>8647738.3000000007</v>
      </c>
      <c r="L278" s="968">
        <v>5644692.2000000002</v>
      </c>
      <c r="M278" s="968">
        <v>5100397.5</v>
      </c>
      <c r="N278" s="968">
        <v>4276718.5999999996</v>
      </c>
      <c r="O278" s="10">
        <v>984556.7</v>
      </c>
      <c r="P278" s="270">
        <f t="shared" si="41"/>
        <v>31133698.100000001</v>
      </c>
      <c r="Q278" s="968">
        <f t="shared" si="42"/>
        <v>13559437</v>
      </c>
      <c r="R278" s="16">
        <f t="shared" si="31"/>
        <v>44693135.100000001</v>
      </c>
      <c r="S278" s="268">
        <f>(Q278*'Emission &amp; Conversion Factors'!$J$251)+(P278*'Emission &amp; Conversion Factors'!$J$240)</f>
        <v>455639549.54210007</v>
      </c>
      <c r="T278" s="283">
        <f t="shared" si="32"/>
        <v>39988.395859592412</v>
      </c>
      <c r="U278" s="968">
        <f t="shared" si="33"/>
        <v>912058.56415110792</v>
      </c>
      <c r="V278" s="16">
        <f t="shared" si="34"/>
        <v>3186953.9730523648</v>
      </c>
      <c r="W278" s="16">
        <f t="shared" si="35"/>
        <v>1929137.1578324584</v>
      </c>
      <c r="X278" s="968">
        <f t="shared" si="36"/>
        <v>941141.03386717499</v>
      </c>
      <c r="Y278" s="968">
        <f t="shared" si="37"/>
        <v>3816670.22704332</v>
      </c>
      <c r="Z278" s="968">
        <f t="shared" si="38"/>
        <v>1373338.847703174</v>
      </c>
      <c r="AA278" s="993">
        <f t="shared" si="39"/>
        <v>13733.388477031735</v>
      </c>
      <c r="AB278" s="507">
        <f t="shared" si="40"/>
        <v>12213021.587986223</v>
      </c>
      <c r="AE278" s="139"/>
      <c r="AF278" s="139"/>
      <c r="AG278" s="139"/>
      <c r="AH278" s="139"/>
      <c r="AI278" s="139"/>
      <c r="AJ278" s="139"/>
      <c r="AK278" s="139"/>
      <c r="AL278" s="139"/>
      <c r="AM278" s="139"/>
      <c r="AN278" s="139"/>
      <c r="AO278" s="139"/>
      <c r="AP278" s="139"/>
      <c r="AQ278" s="139"/>
      <c r="AR278" s="139"/>
      <c r="AS278" s="139"/>
      <c r="AT278" s="139"/>
      <c r="AU278" s="139"/>
      <c r="AV278" s="139"/>
      <c r="AW278" s="139"/>
      <c r="AX278" s="139"/>
      <c r="AY278" s="139"/>
      <c r="AZ278" s="139"/>
      <c r="BA278" s="139"/>
      <c r="BB278" s="139"/>
      <c r="BC278" s="139"/>
      <c r="BD278" s="139"/>
      <c r="BE278" s="139"/>
      <c r="BF278" s="139"/>
      <c r="BG278" s="139"/>
      <c r="BH278" s="139"/>
      <c r="BI278" s="139"/>
      <c r="BJ278" s="139"/>
      <c r="BK278" s="139"/>
      <c r="BL278" s="139"/>
      <c r="BM278" s="139"/>
      <c r="BN278" s="139"/>
      <c r="BO278" s="139"/>
      <c r="BP278" s="139"/>
      <c r="BQ278" s="139"/>
      <c r="BR278" s="139"/>
      <c r="BS278" s="139"/>
      <c r="BT278" s="139"/>
      <c r="BU278" s="139"/>
      <c r="BV278" s="139"/>
      <c r="BW278" s="139"/>
      <c r="BX278" s="139"/>
      <c r="BY278" s="139"/>
      <c r="BZ278" s="139"/>
      <c r="CA278" s="139"/>
      <c r="CB278" s="139"/>
      <c r="CC278" s="139"/>
      <c r="CD278" s="139"/>
      <c r="CE278" s="139"/>
      <c r="CF278" s="139"/>
      <c r="CG278" s="139"/>
      <c r="CH278" s="139"/>
      <c r="CI278" s="139"/>
      <c r="CJ278" s="139"/>
      <c r="CK278" s="139"/>
      <c r="CL278" s="139"/>
      <c r="CM278" s="139"/>
      <c r="CN278" s="139"/>
      <c r="CO278" s="139"/>
      <c r="CP278" s="139"/>
      <c r="CQ278" s="139"/>
      <c r="CR278" s="139"/>
      <c r="CS278" s="139"/>
      <c r="CT278" s="139"/>
      <c r="CU278" s="139"/>
      <c r="CV278" s="139"/>
      <c r="CW278" s="139"/>
      <c r="CX278" s="139"/>
      <c r="CY278" s="139"/>
      <c r="CZ278" s="139"/>
      <c r="DA278" s="139"/>
      <c r="DB278" s="139"/>
      <c r="DC278" s="139"/>
      <c r="DD278" s="139"/>
      <c r="DE278" s="139"/>
      <c r="DF278" s="139"/>
      <c r="DG278" s="139"/>
      <c r="DH278" s="139"/>
      <c r="DI278" s="139"/>
      <c r="DJ278" s="139"/>
      <c r="DK278" s="139"/>
      <c r="DL278" s="139"/>
      <c r="DM278" s="139"/>
      <c r="DN278" s="139"/>
      <c r="DO278" s="139"/>
      <c r="DP278" s="139"/>
      <c r="DQ278" s="139"/>
      <c r="DR278" s="139"/>
      <c r="DS278" s="139"/>
      <c r="DT278" s="139"/>
      <c r="DU278" s="139"/>
      <c r="DV278" s="139"/>
      <c r="DW278" s="139"/>
      <c r="DX278" s="139"/>
      <c r="DY278" s="139"/>
      <c r="DZ278" s="139"/>
      <c r="EA278" s="139"/>
      <c r="EB278" s="139"/>
      <c r="EC278" s="139"/>
      <c r="ED278" s="139"/>
      <c r="EE278" s="139"/>
      <c r="EF278" s="139"/>
      <c r="EG278" s="139"/>
      <c r="EH278" s="139"/>
      <c r="EI278" s="139"/>
      <c r="EJ278" s="139"/>
      <c r="EK278" s="139"/>
      <c r="EL278" s="139"/>
      <c r="EM278" s="139"/>
      <c r="EN278" s="139"/>
      <c r="EO278" s="139"/>
      <c r="EP278" s="139"/>
      <c r="EQ278" s="139"/>
      <c r="ER278" s="139"/>
      <c r="ES278" s="139"/>
      <c r="ET278" s="139"/>
      <c r="EU278" s="139"/>
      <c r="EV278" s="139"/>
      <c r="EW278" s="139"/>
      <c r="EX278" s="139"/>
      <c r="EY278" s="139"/>
      <c r="EZ278" s="139"/>
      <c r="FA278" s="139"/>
      <c r="FB278" s="139"/>
      <c r="FC278" s="139"/>
      <c r="FD278" s="139"/>
      <c r="FE278" s="139"/>
      <c r="FF278" s="139"/>
      <c r="FG278" s="139"/>
      <c r="FH278" s="139"/>
      <c r="FI278" s="139"/>
      <c r="FJ278" s="139"/>
      <c r="FK278" s="139"/>
      <c r="FL278" s="139"/>
      <c r="FM278" s="139"/>
      <c r="FN278" s="139"/>
      <c r="FO278" s="139"/>
      <c r="FP278" s="139"/>
      <c r="FQ278" s="139"/>
      <c r="FR278" s="139"/>
      <c r="FS278" s="139"/>
      <c r="FT278" s="139"/>
      <c r="FU278" s="139"/>
      <c r="FV278" s="139"/>
      <c r="FW278" s="139"/>
      <c r="FX278" s="139"/>
      <c r="FY278" s="139"/>
      <c r="FZ278" s="139"/>
      <c r="GA278" s="139"/>
      <c r="GB278" s="139"/>
      <c r="GC278" s="139"/>
      <c r="GD278" s="139"/>
      <c r="GE278" s="139"/>
      <c r="GF278" s="139"/>
      <c r="GG278" s="139"/>
      <c r="GH278" s="139"/>
      <c r="GI278" s="139"/>
      <c r="GJ278" s="139"/>
      <c r="GK278" s="139"/>
      <c r="GL278" s="139"/>
      <c r="GM278" s="139"/>
      <c r="GN278" s="139"/>
      <c r="GO278" s="139"/>
      <c r="GP278" s="139"/>
      <c r="GQ278" s="139"/>
      <c r="GR278" s="139"/>
      <c r="GS278" s="139"/>
      <c r="GT278" s="139"/>
      <c r="GU278" s="139"/>
      <c r="GV278" s="139"/>
      <c r="GW278" s="139"/>
      <c r="GX278" s="139"/>
      <c r="GY278" s="139"/>
      <c r="GZ278" s="139"/>
      <c r="HA278" s="139"/>
      <c r="HB278" s="139"/>
      <c r="HC278" s="139"/>
      <c r="HD278" s="139"/>
      <c r="HE278" s="139"/>
      <c r="HF278" s="139"/>
      <c r="HG278" s="139"/>
      <c r="HH278" s="139"/>
      <c r="HI278" s="139"/>
      <c r="HJ278" s="139"/>
      <c r="HK278" s="139"/>
      <c r="HL278" s="139"/>
      <c r="HM278" s="139"/>
      <c r="HN278" s="139"/>
      <c r="HO278" s="139"/>
      <c r="HP278" s="139"/>
      <c r="HQ278" s="139"/>
      <c r="HR278" s="139"/>
      <c r="HS278" s="139"/>
      <c r="HT278" s="139"/>
      <c r="HU278" s="139"/>
      <c r="HV278" s="139"/>
      <c r="HW278" s="139"/>
      <c r="HX278" s="139"/>
      <c r="HY278" s="139"/>
      <c r="HZ278" s="139"/>
      <c r="IA278" s="139"/>
      <c r="IB278" s="139"/>
      <c r="IC278" s="139"/>
      <c r="ID278" s="139"/>
      <c r="IE278" s="139"/>
      <c r="IF278" s="139"/>
      <c r="IG278" s="139"/>
      <c r="IH278" s="139"/>
      <c r="II278" s="139"/>
      <c r="IJ278" s="139"/>
      <c r="IK278" s="139"/>
      <c r="IL278" s="139"/>
      <c r="IM278" s="139"/>
      <c r="IN278" s="139"/>
      <c r="IO278" s="139"/>
      <c r="IP278" s="139"/>
      <c r="IQ278" s="139"/>
      <c r="IR278" s="139"/>
      <c r="IS278" s="139"/>
      <c r="IT278" s="139"/>
      <c r="IU278" s="139"/>
      <c r="IV278" s="139"/>
      <c r="IW278" s="139"/>
      <c r="IX278" s="139"/>
    </row>
    <row r="279" spans="2:258" x14ac:dyDescent="0.3">
      <c r="B279" s="5" t="s">
        <v>115</v>
      </c>
      <c r="C279" s="1009" t="s">
        <v>218</v>
      </c>
      <c r="D279" s="968">
        <v>1052497.1000000001</v>
      </c>
      <c r="E279" s="968">
        <v>679107.9</v>
      </c>
      <c r="F279" s="968">
        <v>14370322.1</v>
      </c>
      <c r="G279" s="968">
        <v>5363769</v>
      </c>
      <c r="H279" s="968">
        <v>67503.399999999994</v>
      </c>
      <c r="I279" s="968">
        <v>1329687.5</v>
      </c>
      <c r="J279" s="968">
        <v>199753.2</v>
      </c>
      <c r="K279" s="968">
        <v>8129801.5</v>
      </c>
      <c r="L279" s="968">
        <v>3495813.7</v>
      </c>
      <c r="M279" s="968">
        <v>3591394.6</v>
      </c>
      <c r="N279" s="968">
        <v>3998528.3</v>
      </c>
      <c r="O279" s="10">
        <v>987880.8</v>
      </c>
      <c r="P279" s="270">
        <f t="shared" si="41"/>
        <v>27575983.300000004</v>
      </c>
      <c r="Q279" s="968">
        <f t="shared" si="42"/>
        <v>15690075.799999999</v>
      </c>
      <c r="R279" s="16">
        <f t="shared" si="31"/>
        <v>43266059.099999994</v>
      </c>
      <c r="S279" s="268">
        <f>(Q279*'Emission &amp; Conversion Factors'!$J$251)+(P279*'Emission &amp; Conversion Factors'!$J$240)</f>
        <v>438250264.3957001</v>
      </c>
      <c r="T279" s="283">
        <f t="shared" si="32"/>
        <v>46047.243717106416</v>
      </c>
      <c r="U279" s="968">
        <f t="shared" si="33"/>
        <v>1337793.6069390913</v>
      </c>
      <c r="V279" s="16">
        <f t="shared" si="34"/>
        <v>3836462.4633778655</v>
      </c>
      <c r="W279" s="16">
        <f t="shared" si="35"/>
        <v>2163412.6083229994</v>
      </c>
      <c r="X279" s="968">
        <f t="shared" si="36"/>
        <v>898325.17567407608</v>
      </c>
      <c r="Y279" s="968">
        <f t="shared" si="37"/>
        <v>2467970.6939607039</v>
      </c>
      <c r="Z279" s="968">
        <f t="shared" si="38"/>
        <v>1322444.5257000558</v>
      </c>
      <c r="AA279" s="993">
        <f t="shared" si="39"/>
        <v>14137.311667532671</v>
      </c>
      <c r="AB279" s="507">
        <f t="shared" si="40"/>
        <v>12086593.629359432</v>
      </c>
      <c r="AE279" s="139"/>
      <c r="AF279" s="139"/>
      <c r="AG279" s="139"/>
      <c r="AH279" s="139"/>
      <c r="AI279" s="139"/>
      <c r="AJ279" s="139"/>
      <c r="AK279" s="139"/>
      <c r="AL279" s="139"/>
      <c r="AM279" s="139"/>
      <c r="AN279" s="139"/>
      <c r="AO279" s="139"/>
      <c r="AP279" s="139"/>
      <c r="AQ279" s="139"/>
      <c r="AR279" s="139"/>
      <c r="AS279" s="139"/>
      <c r="AT279" s="139"/>
      <c r="AU279" s="139"/>
      <c r="AV279" s="139"/>
      <c r="AW279" s="139"/>
      <c r="AX279" s="139"/>
      <c r="AY279" s="139"/>
      <c r="AZ279" s="139"/>
      <c r="BA279" s="139"/>
      <c r="BB279" s="139"/>
      <c r="BC279" s="139"/>
      <c r="BD279" s="139"/>
      <c r="BE279" s="139"/>
      <c r="BF279" s="139"/>
      <c r="BG279" s="139"/>
      <c r="BH279" s="139"/>
      <c r="BI279" s="139"/>
      <c r="BJ279" s="139"/>
      <c r="BK279" s="139"/>
      <c r="BL279" s="139"/>
      <c r="BM279" s="139"/>
      <c r="BN279" s="139"/>
      <c r="BO279" s="139"/>
      <c r="BP279" s="139"/>
      <c r="BQ279" s="139"/>
      <c r="BR279" s="139"/>
      <c r="BS279" s="139"/>
      <c r="BT279" s="139"/>
      <c r="BU279" s="139"/>
      <c r="BV279" s="139"/>
      <c r="BW279" s="139"/>
      <c r="BX279" s="139"/>
      <c r="BY279" s="139"/>
      <c r="BZ279" s="139"/>
      <c r="CA279" s="139"/>
      <c r="CB279" s="139"/>
      <c r="CC279" s="139"/>
      <c r="CD279" s="139"/>
      <c r="CE279" s="139"/>
      <c r="CF279" s="139"/>
      <c r="CG279" s="139"/>
      <c r="CH279" s="139"/>
      <c r="CI279" s="139"/>
      <c r="CJ279" s="139"/>
      <c r="CK279" s="139"/>
      <c r="CL279" s="139"/>
      <c r="CM279" s="139"/>
      <c r="CN279" s="139"/>
      <c r="CO279" s="139"/>
      <c r="CP279" s="139"/>
      <c r="CQ279" s="139"/>
      <c r="CR279" s="139"/>
      <c r="CS279" s="139"/>
      <c r="CT279" s="139"/>
      <c r="CU279" s="139"/>
      <c r="CV279" s="139"/>
      <c r="CW279" s="139"/>
      <c r="CX279" s="139"/>
      <c r="CY279" s="139"/>
      <c r="CZ279" s="139"/>
      <c r="DA279" s="139"/>
      <c r="DB279" s="139"/>
      <c r="DC279" s="139"/>
      <c r="DD279" s="139"/>
      <c r="DE279" s="139"/>
      <c r="DF279" s="139"/>
      <c r="DG279" s="139"/>
      <c r="DH279" s="139"/>
      <c r="DI279" s="139"/>
      <c r="DJ279" s="139"/>
      <c r="DK279" s="139"/>
      <c r="DL279" s="139"/>
      <c r="DM279" s="139"/>
      <c r="DN279" s="139"/>
      <c r="DO279" s="139"/>
      <c r="DP279" s="139"/>
      <c r="DQ279" s="139"/>
      <c r="DR279" s="139"/>
      <c r="DS279" s="139"/>
      <c r="DT279" s="139"/>
      <c r="DU279" s="139"/>
      <c r="DV279" s="139"/>
      <c r="DW279" s="139"/>
      <c r="DX279" s="139"/>
      <c r="DY279" s="139"/>
      <c r="DZ279" s="139"/>
      <c r="EA279" s="139"/>
      <c r="EB279" s="139"/>
      <c r="EC279" s="139"/>
      <c r="ED279" s="139"/>
      <c r="EE279" s="139"/>
      <c r="EF279" s="139"/>
      <c r="EG279" s="139"/>
      <c r="EH279" s="139"/>
      <c r="EI279" s="139"/>
      <c r="EJ279" s="139"/>
      <c r="EK279" s="139"/>
      <c r="EL279" s="139"/>
      <c r="EM279" s="139"/>
      <c r="EN279" s="139"/>
      <c r="EO279" s="139"/>
      <c r="EP279" s="139"/>
      <c r="EQ279" s="139"/>
      <c r="ER279" s="139"/>
      <c r="ES279" s="139"/>
      <c r="ET279" s="139"/>
      <c r="EU279" s="139"/>
      <c r="EV279" s="139"/>
      <c r="EW279" s="139"/>
      <c r="EX279" s="139"/>
      <c r="EY279" s="139"/>
      <c r="EZ279" s="139"/>
      <c r="FA279" s="139"/>
      <c r="FB279" s="139"/>
      <c r="FC279" s="139"/>
      <c r="FD279" s="139"/>
      <c r="FE279" s="139"/>
      <c r="FF279" s="139"/>
      <c r="FG279" s="139"/>
      <c r="FH279" s="139"/>
      <c r="FI279" s="139"/>
      <c r="FJ279" s="139"/>
      <c r="FK279" s="139"/>
      <c r="FL279" s="139"/>
      <c r="FM279" s="139"/>
      <c r="FN279" s="139"/>
      <c r="FO279" s="139"/>
      <c r="FP279" s="139"/>
      <c r="FQ279" s="139"/>
      <c r="FR279" s="139"/>
      <c r="FS279" s="139"/>
      <c r="FT279" s="139"/>
      <c r="FU279" s="139"/>
      <c r="FV279" s="139"/>
      <c r="FW279" s="139"/>
      <c r="FX279" s="139"/>
      <c r="FY279" s="139"/>
      <c r="FZ279" s="139"/>
      <c r="GA279" s="139"/>
      <c r="GB279" s="139"/>
      <c r="GC279" s="139"/>
      <c r="GD279" s="139"/>
      <c r="GE279" s="139"/>
      <c r="GF279" s="139"/>
      <c r="GG279" s="139"/>
      <c r="GH279" s="139"/>
      <c r="GI279" s="139"/>
      <c r="GJ279" s="139"/>
      <c r="GK279" s="139"/>
      <c r="GL279" s="139"/>
      <c r="GM279" s="139"/>
      <c r="GN279" s="139"/>
      <c r="GO279" s="139"/>
      <c r="GP279" s="139"/>
      <c r="GQ279" s="139"/>
      <c r="GR279" s="139"/>
      <c r="GS279" s="139"/>
      <c r="GT279" s="139"/>
      <c r="GU279" s="139"/>
      <c r="GV279" s="139"/>
      <c r="GW279" s="139"/>
      <c r="GX279" s="139"/>
      <c r="GY279" s="139"/>
      <c r="GZ279" s="139"/>
      <c r="HA279" s="139"/>
      <c r="HB279" s="139"/>
      <c r="HC279" s="139"/>
      <c r="HD279" s="139"/>
      <c r="HE279" s="139"/>
      <c r="HF279" s="139"/>
      <c r="HG279" s="139"/>
      <c r="HH279" s="139"/>
      <c r="HI279" s="139"/>
      <c r="HJ279" s="139"/>
      <c r="HK279" s="139"/>
      <c r="HL279" s="139"/>
      <c r="HM279" s="139"/>
      <c r="HN279" s="139"/>
      <c r="HO279" s="139"/>
      <c r="HP279" s="139"/>
      <c r="HQ279" s="139"/>
      <c r="HR279" s="139"/>
      <c r="HS279" s="139"/>
      <c r="HT279" s="139"/>
      <c r="HU279" s="139"/>
      <c r="HV279" s="139"/>
      <c r="HW279" s="139"/>
      <c r="HX279" s="139"/>
      <c r="HY279" s="139"/>
      <c r="HZ279" s="139"/>
      <c r="IA279" s="139"/>
      <c r="IB279" s="139"/>
      <c r="IC279" s="139"/>
      <c r="ID279" s="139"/>
      <c r="IE279" s="139"/>
      <c r="IF279" s="139"/>
      <c r="IG279" s="139"/>
      <c r="IH279" s="139"/>
      <c r="II279" s="139"/>
      <c r="IJ279" s="139"/>
      <c r="IK279" s="139"/>
      <c r="IL279" s="139"/>
      <c r="IM279" s="139"/>
      <c r="IN279" s="139"/>
      <c r="IO279" s="139"/>
      <c r="IP279" s="139"/>
      <c r="IQ279" s="139"/>
      <c r="IR279" s="139"/>
      <c r="IS279" s="139"/>
      <c r="IT279" s="139"/>
      <c r="IU279" s="139"/>
      <c r="IV279" s="139"/>
      <c r="IW279" s="139"/>
      <c r="IX279" s="139"/>
    </row>
    <row r="280" spans="2:258" x14ac:dyDescent="0.3">
      <c r="B280" s="5" t="s">
        <v>116</v>
      </c>
      <c r="C280" s="1009" t="s">
        <v>219</v>
      </c>
      <c r="D280" s="968">
        <v>1154973.8</v>
      </c>
      <c r="E280" s="968">
        <v>317802.40000000002</v>
      </c>
      <c r="F280" s="968">
        <v>16099423.4</v>
      </c>
      <c r="G280" s="968">
        <v>6057892.7000000002</v>
      </c>
      <c r="H280" s="968">
        <v>35411.1</v>
      </c>
      <c r="I280" s="968">
        <v>684276.4</v>
      </c>
      <c r="J280" s="968">
        <v>232137.5</v>
      </c>
      <c r="K280" s="968">
        <v>9390524.6999999993</v>
      </c>
      <c r="L280" s="968">
        <v>4162261.9</v>
      </c>
      <c r="M280" s="968">
        <v>3946063</v>
      </c>
      <c r="N280" s="968">
        <v>3803801.7</v>
      </c>
      <c r="O280" s="10">
        <v>797050.7</v>
      </c>
      <c r="P280" s="270">
        <f t="shared" si="41"/>
        <v>29159673.499999996</v>
      </c>
      <c r="Q280" s="968">
        <f t="shared" si="42"/>
        <v>17521945.800000001</v>
      </c>
      <c r="R280" s="16">
        <f t="shared" si="31"/>
        <v>46681619.300000004</v>
      </c>
      <c r="S280" s="268">
        <f>(Q280*'Emission &amp; Conversion Factors'!$J$251)+(P280*'Emission &amp; Conversion Factors'!$J$240)</f>
        <v>472189816.90189999</v>
      </c>
      <c r="T280" s="283">
        <f t="shared" si="32"/>
        <v>48874.706050612949</v>
      </c>
      <c r="U280" s="968">
        <f t="shared" si="33"/>
        <v>610327.94084691047</v>
      </c>
      <c r="V280" s="16">
        <f t="shared" si="34"/>
        <v>4351464.5312665571</v>
      </c>
      <c r="W280" s="16">
        <f t="shared" si="35"/>
        <v>1059490.5286839483</v>
      </c>
      <c r="X280" s="968">
        <f t="shared" si="36"/>
        <v>1060702.2982554513</v>
      </c>
      <c r="Y280" s="968">
        <f t="shared" si="37"/>
        <v>3101726.1798566682</v>
      </c>
      <c r="Z280" s="968">
        <f t="shared" si="38"/>
        <v>1282052.2066499628</v>
      </c>
      <c r="AA280" s="993">
        <f t="shared" si="39"/>
        <v>11309.849334026134</v>
      </c>
      <c r="AB280" s="507">
        <f t="shared" si="40"/>
        <v>11525948.240944138</v>
      </c>
      <c r="AE280" s="139"/>
      <c r="AF280" s="139"/>
      <c r="AG280" s="139"/>
      <c r="AH280" s="139"/>
      <c r="AI280" s="139"/>
      <c r="AJ280" s="139"/>
      <c r="AK280" s="139"/>
      <c r="AL280" s="139"/>
      <c r="AM280" s="139"/>
      <c r="AN280" s="139"/>
      <c r="AO280" s="139"/>
      <c r="AP280" s="139"/>
      <c r="AQ280" s="139"/>
      <c r="AR280" s="139"/>
      <c r="AS280" s="139"/>
      <c r="AT280" s="139"/>
      <c r="AU280" s="139"/>
      <c r="AV280" s="139"/>
      <c r="AW280" s="139"/>
      <c r="AX280" s="139"/>
      <c r="AY280" s="139"/>
      <c r="AZ280" s="139"/>
      <c r="BA280" s="139"/>
      <c r="BB280" s="139"/>
      <c r="BC280" s="139"/>
      <c r="BD280" s="139"/>
      <c r="BE280" s="139"/>
      <c r="BF280" s="139"/>
      <c r="BG280" s="139"/>
      <c r="BH280" s="139"/>
      <c r="BI280" s="139"/>
      <c r="BJ280" s="139"/>
      <c r="BK280" s="139"/>
      <c r="BL280" s="139"/>
      <c r="BM280" s="139"/>
      <c r="BN280" s="139"/>
      <c r="BO280" s="139"/>
      <c r="BP280" s="139"/>
      <c r="BQ280" s="139"/>
      <c r="BR280" s="139"/>
      <c r="BS280" s="139"/>
      <c r="BT280" s="139"/>
      <c r="BU280" s="139"/>
      <c r="BV280" s="139"/>
      <c r="BW280" s="139"/>
      <c r="BX280" s="139"/>
      <c r="BY280" s="139"/>
      <c r="BZ280" s="139"/>
      <c r="CA280" s="139"/>
      <c r="CB280" s="139"/>
      <c r="CC280" s="139"/>
      <c r="CD280" s="139"/>
      <c r="CE280" s="139"/>
      <c r="CF280" s="139"/>
      <c r="CG280" s="139"/>
      <c r="CH280" s="139"/>
      <c r="CI280" s="139"/>
      <c r="CJ280" s="139"/>
      <c r="CK280" s="139"/>
      <c r="CL280" s="139"/>
      <c r="CM280" s="139"/>
      <c r="CN280" s="139"/>
      <c r="CO280" s="139"/>
      <c r="CP280" s="139"/>
      <c r="CQ280" s="139"/>
      <c r="CR280" s="139"/>
      <c r="CS280" s="139"/>
      <c r="CT280" s="139"/>
      <c r="CU280" s="139"/>
      <c r="CV280" s="139"/>
      <c r="CW280" s="139"/>
      <c r="CX280" s="139"/>
      <c r="CY280" s="139"/>
      <c r="CZ280" s="139"/>
      <c r="DA280" s="139"/>
      <c r="DB280" s="139"/>
      <c r="DC280" s="139"/>
      <c r="DD280" s="139"/>
      <c r="DE280" s="139"/>
      <c r="DF280" s="139"/>
      <c r="DG280" s="139"/>
      <c r="DH280" s="139"/>
      <c r="DI280" s="139"/>
      <c r="DJ280" s="139"/>
      <c r="DK280" s="139"/>
      <c r="DL280" s="139"/>
      <c r="DM280" s="139"/>
      <c r="DN280" s="139"/>
      <c r="DO280" s="139"/>
      <c r="DP280" s="139"/>
      <c r="DQ280" s="139"/>
      <c r="DR280" s="139"/>
      <c r="DS280" s="139"/>
      <c r="DT280" s="139"/>
      <c r="DU280" s="139"/>
      <c r="DV280" s="139"/>
      <c r="DW280" s="139"/>
      <c r="DX280" s="139"/>
      <c r="DY280" s="139"/>
      <c r="DZ280" s="139"/>
      <c r="EA280" s="139"/>
      <c r="EB280" s="139"/>
      <c r="EC280" s="139"/>
      <c r="ED280" s="139"/>
      <c r="EE280" s="139"/>
      <c r="EF280" s="139"/>
      <c r="EG280" s="139"/>
      <c r="EH280" s="139"/>
      <c r="EI280" s="139"/>
      <c r="EJ280" s="139"/>
      <c r="EK280" s="139"/>
      <c r="EL280" s="139"/>
      <c r="EM280" s="139"/>
      <c r="EN280" s="139"/>
      <c r="EO280" s="139"/>
      <c r="EP280" s="139"/>
      <c r="EQ280" s="139"/>
      <c r="ER280" s="139"/>
      <c r="ES280" s="139"/>
      <c r="ET280" s="139"/>
      <c r="EU280" s="139"/>
      <c r="EV280" s="139"/>
      <c r="EW280" s="139"/>
      <c r="EX280" s="139"/>
      <c r="EY280" s="139"/>
      <c r="EZ280" s="139"/>
      <c r="FA280" s="139"/>
      <c r="FB280" s="139"/>
      <c r="FC280" s="139"/>
      <c r="FD280" s="139"/>
      <c r="FE280" s="139"/>
      <c r="FF280" s="139"/>
      <c r="FG280" s="139"/>
      <c r="FH280" s="139"/>
      <c r="FI280" s="139"/>
      <c r="FJ280" s="139"/>
      <c r="FK280" s="139"/>
      <c r="FL280" s="139"/>
      <c r="FM280" s="139"/>
      <c r="FN280" s="139"/>
      <c r="FO280" s="139"/>
      <c r="FP280" s="139"/>
      <c r="FQ280" s="139"/>
      <c r="FR280" s="139"/>
      <c r="FS280" s="139"/>
      <c r="FT280" s="139"/>
      <c r="FU280" s="139"/>
      <c r="FV280" s="139"/>
      <c r="FW280" s="139"/>
      <c r="FX280" s="139"/>
      <c r="FY280" s="139"/>
      <c r="FZ280" s="139"/>
      <c r="GA280" s="139"/>
      <c r="GB280" s="139"/>
      <c r="GC280" s="139"/>
      <c r="GD280" s="139"/>
      <c r="GE280" s="139"/>
      <c r="GF280" s="139"/>
      <c r="GG280" s="139"/>
      <c r="GH280" s="139"/>
      <c r="GI280" s="139"/>
      <c r="GJ280" s="139"/>
      <c r="GK280" s="139"/>
      <c r="GL280" s="139"/>
      <c r="GM280" s="139"/>
      <c r="GN280" s="139"/>
      <c r="GO280" s="139"/>
      <c r="GP280" s="139"/>
      <c r="GQ280" s="139"/>
      <c r="GR280" s="139"/>
      <c r="GS280" s="139"/>
      <c r="GT280" s="139"/>
      <c r="GU280" s="139"/>
      <c r="GV280" s="139"/>
      <c r="GW280" s="139"/>
      <c r="GX280" s="139"/>
      <c r="GY280" s="139"/>
      <c r="GZ280" s="139"/>
      <c r="HA280" s="139"/>
      <c r="HB280" s="139"/>
      <c r="HC280" s="139"/>
      <c r="HD280" s="139"/>
      <c r="HE280" s="139"/>
      <c r="HF280" s="139"/>
      <c r="HG280" s="139"/>
      <c r="HH280" s="139"/>
      <c r="HI280" s="139"/>
      <c r="HJ280" s="139"/>
      <c r="HK280" s="139"/>
      <c r="HL280" s="139"/>
      <c r="HM280" s="139"/>
      <c r="HN280" s="139"/>
      <c r="HO280" s="139"/>
      <c r="HP280" s="139"/>
      <c r="HQ280" s="139"/>
      <c r="HR280" s="139"/>
      <c r="HS280" s="139"/>
      <c r="HT280" s="139"/>
      <c r="HU280" s="139"/>
      <c r="HV280" s="139"/>
      <c r="HW280" s="139"/>
      <c r="HX280" s="139"/>
      <c r="HY280" s="139"/>
      <c r="HZ280" s="139"/>
      <c r="IA280" s="139"/>
      <c r="IB280" s="139"/>
      <c r="IC280" s="139"/>
      <c r="ID280" s="139"/>
      <c r="IE280" s="139"/>
      <c r="IF280" s="139"/>
      <c r="IG280" s="139"/>
      <c r="IH280" s="139"/>
      <c r="II280" s="139"/>
      <c r="IJ280" s="139"/>
      <c r="IK280" s="139"/>
      <c r="IL280" s="139"/>
      <c r="IM280" s="139"/>
      <c r="IN280" s="139"/>
      <c r="IO280" s="139"/>
      <c r="IP280" s="139"/>
      <c r="IQ280" s="139"/>
      <c r="IR280" s="139"/>
      <c r="IS280" s="139"/>
      <c r="IT280" s="139"/>
      <c r="IU280" s="139"/>
      <c r="IV280" s="139"/>
      <c r="IW280" s="139"/>
      <c r="IX280" s="139"/>
    </row>
    <row r="281" spans="2:258" x14ac:dyDescent="0.3">
      <c r="B281" s="5" t="s">
        <v>117</v>
      </c>
      <c r="C281" s="1009" t="s">
        <v>220</v>
      </c>
      <c r="D281" s="968">
        <v>553668.80000000005</v>
      </c>
      <c r="E281" s="968">
        <v>210473.5</v>
      </c>
      <c r="F281" s="968">
        <v>19463022.300000001</v>
      </c>
      <c r="G281" s="968">
        <v>9466558.0999999996</v>
      </c>
      <c r="H281" s="968">
        <v>31546.1</v>
      </c>
      <c r="I281" s="968">
        <v>670955.30000000005</v>
      </c>
      <c r="J281" s="968">
        <v>158442</v>
      </c>
      <c r="K281" s="968">
        <v>9316882.0999999996</v>
      </c>
      <c r="L281" s="968">
        <v>3487094.2</v>
      </c>
      <c r="M281" s="968">
        <v>2081924.8</v>
      </c>
      <c r="N281" s="968">
        <v>2364069.2999999998</v>
      </c>
      <c r="O281" s="10">
        <v>1478166.7</v>
      </c>
      <c r="P281" s="270">
        <f t="shared" si="41"/>
        <v>29076124</v>
      </c>
      <c r="Q281" s="968">
        <f t="shared" si="42"/>
        <v>20206679.200000003</v>
      </c>
      <c r="R281" s="16">
        <f t="shared" si="31"/>
        <v>49282803.200000003</v>
      </c>
      <c r="S281" s="268">
        <f>(Q281*'Emission &amp; Conversion Factors'!$J$251)+(P281*'Emission &amp; Conversion Factors'!$J$240)</f>
        <v>496608199.94560003</v>
      </c>
      <c r="T281" s="283">
        <f t="shared" si="32"/>
        <v>23023.621858553208</v>
      </c>
      <c r="U281" s="968">
        <f t="shared" si="33"/>
        <v>390189.80202390172</v>
      </c>
      <c r="V281" s="16">
        <f t="shared" si="34"/>
        <v>4848290.055582704</v>
      </c>
      <c r="W281" s="16">
        <f t="shared" si="35"/>
        <v>983149.04567927204</v>
      </c>
      <c r="X281" s="968">
        <f t="shared" si="36"/>
        <v>639006.48737247661</v>
      </c>
      <c r="Y281" s="968">
        <f t="shared" si="37"/>
        <v>2542696.4842033763</v>
      </c>
      <c r="Z281" s="968">
        <f t="shared" si="38"/>
        <v>969415.65720224031</v>
      </c>
      <c r="AA281" s="993">
        <f t="shared" si="39"/>
        <v>10098.079762523335</v>
      </c>
      <c r="AB281" s="507">
        <f t="shared" si="40"/>
        <v>10405869.233685048</v>
      </c>
      <c r="AE281" s="139"/>
      <c r="AF281" s="139"/>
      <c r="AG281" s="139"/>
      <c r="AH281" s="139"/>
      <c r="AI281" s="139"/>
      <c r="AJ281" s="139"/>
      <c r="AK281" s="139"/>
      <c r="AL281" s="139"/>
      <c r="AM281" s="139"/>
      <c r="AN281" s="139"/>
      <c r="AO281" s="139"/>
      <c r="AP281" s="139"/>
      <c r="AQ281" s="139"/>
      <c r="AR281" s="139"/>
      <c r="AS281" s="139"/>
      <c r="AT281" s="139"/>
      <c r="AU281" s="139"/>
      <c r="AV281" s="139"/>
      <c r="AW281" s="139"/>
      <c r="AX281" s="139"/>
      <c r="AY281" s="139"/>
      <c r="AZ281" s="139"/>
      <c r="BA281" s="139"/>
      <c r="BB281" s="139"/>
      <c r="BC281" s="139"/>
      <c r="BD281" s="139"/>
      <c r="BE281" s="139"/>
      <c r="BF281" s="139"/>
      <c r="BG281" s="139"/>
      <c r="BH281" s="139"/>
      <c r="BI281" s="139"/>
      <c r="BJ281" s="139"/>
      <c r="BK281" s="139"/>
      <c r="BL281" s="139"/>
      <c r="BM281" s="139"/>
      <c r="BN281" s="139"/>
      <c r="BO281" s="139"/>
      <c r="BP281" s="139"/>
      <c r="BQ281" s="139"/>
      <c r="BR281" s="139"/>
      <c r="BS281" s="139"/>
      <c r="BT281" s="139"/>
      <c r="BU281" s="139"/>
      <c r="BV281" s="139"/>
      <c r="BW281" s="139"/>
      <c r="BX281" s="139"/>
      <c r="BY281" s="139"/>
      <c r="BZ281" s="139"/>
      <c r="CA281" s="139"/>
      <c r="CB281" s="139"/>
      <c r="CC281" s="139"/>
      <c r="CD281" s="139"/>
      <c r="CE281" s="139"/>
      <c r="CF281" s="139"/>
      <c r="CG281" s="139"/>
      <c r="CH281" s="139"/>
      <c r="CI281" s="139"/>
      <c r="CJ281" s="139"/>
      <c r="CK281" s="139"/>
      <c r="CL281" s="139"/>
      <c r="CM281" s="139"/>
      <c r="CN281" s="139"/>
      <c r="CO281" s="139"/>
      <c r="CP281" s="139"/>
      <c r="CQ281" s="139"/>
      <c r="CR281" s="139"/>
      <c r="CS281" s="139"/>
      <c r="CT281" s="139"/>
      <c r="CU281" s="139"/>
      <c r="CV281" s="139"/>
      <c r="CW281" s="139"/>
      <c r="CX281" s="139"/>
      <c r="CY281" s="139"/>
      <c r="CZ281" s="139"/>
      <c r="DA281" s="139"/>
      <c r="DB281" s="139"/>
      <c r="DC281" s="139"/>
      <c r="DD281" s="139"/>
      <c r="DE281" s="139"/>
      <c r="DF281" s="139"/>
      <c r="DG281" s="139"/>
      <c r="DH281" s="139"/>
      <c r="DI281" s="139"/>
      <c r="DJ281" s="139"/>
      <c r="DK281" s="139"/>
      <c r="DL281" s="139"/>
      <c r="DM281" s="139"/>
      <c r="DN281" s="139"/>
      <c r="DO281" s="139"/>
      <c r="DP281" s="139"/>
      <c r="DQ281" s="139"/>
      <c r="DR281" s="139"/>
      <c r="DS281" s="139"/>
      <c r="DT281" s="139"/>
      <c r="DU281" s="139"/>
      <c r="DV281" s="139"/>
      <c r="DW281" s="139"/>
      <c r="DX281" s="139"/>
      <c r="DY281" s="139"/>
      <c r="DZ281" s="139"/>
      <c r="EA281" s="139"/>
      <c r="EB281" s="139"/>
      <c r="EC281" s="139"/>
      <c r="ED281" s="139"/>
      <c r="EE281" s="139"/>
      <c r="EF281" s="139"/>
      <c r="EG281" s="139"/>
      <c r="EH281" s="139"/>
      <c r="EI281" s="139"/>
      <c r="EJ281" s="139"/>
      <c r="EK281" s="139"/>
      <c r="EL281" s="139"/>
      <c r="EM281" s="139"/>
      <c r="EN281" s="139"/>
      <c r="EO281" s="139"/>
      <c r="EP281" s="139"/>
      <c r="EQ281" s="139"/>
      <c r="ER281" s="139"/>
      <c r="ES281" s="139"/>
      <c r="ET281" s="139"/>
      <c r="EU281" s="139"/>
      <c r="EV281" s="139"/>
      <c r="EW281" s="139"/>
      <c r="EX281" s="139"/>
      <c r="EY281" s="139"/>
      <c r="EZ281" s="139"/>
      <c r="FA281" s="139"/>
      <c r="FB281" s="139"/>
      <c r="FC281" s="139"/>
      <c r="FD281" s="139"/>
      <c r="FE281" s="139"/>
      <c r="FF281" s="139"/>
      <c r="FG281" s="139"/>
      <c r="FH281" s="139"/>
      <c r="FI281" s="139"/>
      <c r="FJ281" s="139"/>
      <c r="FK281" s="139"/>
      <c r="FL281" s="139"/>
      <c r="FM281" s="139"/>
      <c r="FN281" s="139"/>
      <c r="FO281" s="139"/>
      <c r="FP281" s="139"/>
      <c r="FQ281" s="139"/>
      <c r="FR281" s="139"/>
      <c r="FS281" s="139"/>
      <c r="FT281" s="139"/>
      <c r="FU281" s="139"/>
      <c r="FV281" s="139"/>
      <c r="FW281" s="139"/>
      <c r="FX281" s="139"/>
      <c r="FY281" s="139"/>
      <c r="FZ281" s="139"/>
      <c r="GA281" s="139"/>
      <c r="GB281" s="139"/>
      <c r="GC281" s="139"/>
      <c r="GD281" s="139"/>
      <c r="GE281" s="139"/>
      <c r="GF281" s="139"/>
      <c r="GG281" s="139"/>
      <c r="GH281" s="139"/>
      <c r="GI281" s="139"/>
      <c r="GJ281" s="139"/>
      <c r="GK281" s="139"/>
      <c r="GL281" s="139"/>
      <c r="GM281" s="139"/>
      <c r="GN281" s="139"/>
      <c r="GO281" s="139"/>
      <c r="GP281" s="139"/>
      <c r="GQ281" s="139"/>
      <c r="GR281" s="139"/>
      <c r="GS281" s="139"/>
      <c r="GT281" s="139"/>
      <c r="GU281" s="139"/>
      <c r="GV281" s="139"/>
      <c r="GW281" s="139"/>
      <c r="GX281" s="139"/>
      <c r="GY281" s="139"/>
      <c r="GZ281" s="139"/>
      <c r="HA281" s="139"/>
      <c r="HB281" s="139"/>
      <c r="HC281" s="139"/>
      <c r="HD281" s="139"/>
      <c r="HE281" s="139"/>
      <c r="HF281" s="139"/>
      <c r="HG281" s="139"/>
      <c r="HH281" s="139"/>
      <c r="HI281" s="139"/>
      <c r="HJ281" s="139"/>
      <c r="HK281" s="139"/>
      <c r="HL281" s="139"/>
      <c r="HM281" s="139"/>
      <c r="HN281" s="139"/>
      <c r="HO281" s="139"/>
      <c r="HP281" s="139"/>
      <c r="HQ281" s="139"/>
      <c r="HR281" s="139"/>
      <c r="HS281" s="139"/>
      <c r="HT281" s="139"/>
      <c r="HU281" s="139"/>
      <c r="HV281" s="139"/>
      <c r="HW281" s="139"/>
      <c r="HX281" s="139"/>
      <c r="HY281" s="139"/>
      <c r="HZ281" s="139"/>
      <c r="IA281" s="139"/>
      <c r="IB281" s="139"/>
      <c r="IC281" s="139"/>
      <c r="ID281" s="139"/>
      <c r="IE281" s="139"/>
      <c r="IF281" s="139"/>
      <c r="IG281" s="139"/>
      <c r="IH281" s="139"/>
      <c r="II281" s="139"/>
      <c r="IJ281" s="139"/>
      <c r="IK281" s="139"/>
      <c r="IL281" s="139"/>
      <c r="IM281" s="139"/>
      <c r="IN281" s="139"/>
      <c r="IO281" s="139"/>
      <c r="IP281" s="139"/>
      <c r="IQ281" s="139"/>
      <c r="IR281" s="139"/>
      <c r="IS281" s="139"/>
      <c r="IT281" s="139"/>
      <c r="IU281" s="139"/>
      <c r="IV281" s="139"/>
      <c r="IW281" s="139"/>
      <c r="IX281" s="139"/>
    </row>
    <row r="282" spans="2:258" x14ac:dyDescent="0.3">
      <c r="B282" s="5" t="s">
        <v>118</v>
      </c>
      <c r="C282" s="1009" t="s">
        <v>221</v>
      </c>
      <c r="D282" s="968">
        <v>1032512.8</v>
      </c>
      <c r="E282" s="968">
        <v>478347.8</v>
      </c>
      <c r="F282" s="968">
        <v>39728152.600000001</v>
      </c>
      <c r="G282" s="968">
        <v>23038994.699999999</v>
      </c>
      <c r="H282" s="968">
        <v>461554.2</v>
      </c>
      <c r="I282" s="968">
        <v>1474220.6</v>
      </c>
      <c r="J282" s="968">
        <v>565403.1</v>
      </c>
      <c r="K282" s="968">
        <v>28551260.300000001</v>
      </c>
      <c r="L282" s="968">
        <v>5465140.5999999996</v>
      </c>
      <c r="M282" s="968">
        <v>4153404</v>
      </c>
      <c r="N282" s="968">
        <v>16175782.300000001</v>
      </c>
      <c r="O282" s="10">
        <v>33482033.300000001</v>
      </c>
      <c r="P282" s="270">
        <f t="shared" si="41"/>
        <v>112819183.59999999</v>
      </c>
      <c r="Q282" s="968">
        <f t="shared" si="42"/>
        <v>41787622.700000003</v>
      </c>
      <c r="R282" s="16">
        <f t="shared" si="31"/>
        <v>154606806.30000001</v>
      </c>
      <c r="S282" s="268">
        <f>(Q282*'Emission &amp; Conversion Factors'!$J$251)+(P282*'Emission &amp; Conversion Factors'!$J$240)</f>
        <v>1581863591.1937001</v>
      </c>
      <c r="T282" s="283">
        <f t="shared" si="32"/>
        <v>42008.011812097073</v>
      </c>
      <c r="U282" s="968">
        <f t="shared" si="33"/>
        <v>893074.17419756379</v>
      </c>
      <c r="V282" s="16">
        <f t="shared" si="34"/>
        <v>12959067.720841449</v>
      </c>
      <c r="W282" s="16">
        <f t="shared" si="35"/>
        <v>1685571.4739603952</v>
      </c>
      <c r="X282" s="968">
        <f t="shared" si="36"/>
        <v>1806344.5079201744</v>
      </c>
      <c r="Y282" s="968">
        <f t="shared" si="37"/>
        <v>4466986.5637498228</v>
      </c>
      <c r="Z282" s="968">
        <f t="shared" si="38"/>
        <v>4416092.241746706</v>
      </c>
      <c r="AA282" s="993">
        <f t="shared" si="39"/>
        <v>409174.1919774455</v>
      </c>
      <c r="AB282" s="507">
        <f t="shared" si="40"/>
        <v>26678318.886205655</v>
      </c>
      <c r="AE282" s="139"/>
      <c r="AF282" s="139"/>
      <c r="AG282" s="139"/>
      <c r="AH282" s="139"/>
      <c r="AI282" s="139"/>
      <c r="AJ282" s="139"/>
      <c r="AK282" s="139"/>
      <c r="AL282" s="139"/>
      <c r="AM282" s="139"/>
      <c r="AN282" s="139"/>
      <c r="AO282" s="139"/>
      <c r="AP282" s="139"/>
      <c r="AQ282" s="139"/>
      <c r="AR282" s="139"/>
      <c r="AS282" s="139"/>
      <c r="AT282" s="139"/>
      <c r="AU282" s="139"/>
      <c r="AV282" s="139"/>
      <c r="AW282" s="139"/>
      <c r="AX282" s="139"/>
      <c r="AY282" s="139"/>
      <c r="AZ282" s="139"/>
      <c r="BA282" s="139"/>
      <c r="BB282" s="139"/>
      <c r="BC282" s="139"/>
      <c r="BD282" s="139"/>
      <c r="BE282" s="139"/>
      <c r="BF282" s="139"/>
      <c r="BG282" s="139"/>
      <c r="BH282" s="139"/>
      <c r="BI282" s="139"/>
      <c r="BJ282" s="139"/>
      <c r="BK282" s="139"/>
      <c r="BL282" s="139"/>
      <c r="BM282" s="139"/>
      <c r="BN282" s="139"/>
      <c r="BO282" s="139"/>
      <c r="BP282" s="139"/>
      <c r="BQ282" s="139"/>
      <c r="BR282" s="139"/>
      <c r="BS282" s="139"/>
      <c r="BT282" s="139"/>
      <c r="BU282" s="139"/>
      <c r="BV282" s="139"/>
      <c r="BW282" s="139"/>
      <c r="BX282" s="139"/>
      <c r="BY282" s="139"/>
      <c r="BZ282" s="139"/>
      <c r="CA282" s="139"/>
      <c r="CB282" s="139"/>
      <c r="CC282" s="139"/>
      <c r="CD282" s="139"/>
      <c r="CE282" s="139"/>
      <c r="CF282" s="139"/>
      <c r="CG282" s="139"/>
      <c r="CH282" s="139"/>
      <c r="CI282" s="139"/>
      <c r="CJ282" s="139"/>
      <c r="CK282" s="139"/>
      <c r="CL282" s="139"/>
      <c r="CM282" s="139"/>
      <c r="CN282" s="139"/>
      <c r="CO282" s="139"/>
      <c r="CP282" s="139"/>
      <c r="CQ282" s="139"/>
      <c r="CR282" s="139"/>
      <c r="CS282" s="139"/>
      <c r="CT282" s="139"/>
      <c r="CU282" s="139"/>
      <c r="CV282" s="139"/>
      <c r="CW282" s="139"/>
      <c r="CX282" s="139"/>
      <c r="CY282" s="139"/>
      <c r="CZ282" s="139"/>
      <c r="DA282" s="139"/>
      <c r="DB282" s="139"/>
      <c r="DC282" s="139"/>
      <c r="DD282" s="139"/>
      <c r="DE282" s="139"/>
      <c r="DF282" s="139"/>
      <c r="DG282" s="139"/>
      <c r="DH282" s="139"/>
      <c r="DI282" s="139"/>
      <c r="DJ282" s="139"/>
      <c r="DK282" s="139"/>
      <c r="DL282" s="139"/>
      <c r="DM282" s="139"/>
      <c r="DN282" s="139"/>
      <c r="DO282" s="139"/>
      <c r="DP282" s="139"/>
      <c r="DQ282" s="139"/>
      <c r="DR282" s="139"/>
      <c r="DS282" s="139"/>
      <c r="DT282" s="139"/>
      <c r="DU282" s="139"/>
      <c r="DV282" s="139"/>
      <c r="DW282" s="139"/>
      <c r="DX282" s="139"/>
      <c r="DY282" s="139"/>
      <c r="DZ282" s="139"/>
      <c r="EA282" s="139"/>
      <c r="EB282" s="139"/>
      <c r="EC282" s="139"/>
      <c r="ED282" s="139"/>
      <c r="EE282" s="139"/>
      <c r="EF282" s="139"/>
      <c r="EG282" s="139"/>
      <c r="EH282" s="139"/>
      <c r="EI282" s="139"/>
      <c r="EJ282" s="139"/>
      <c r="EK282" s="139"/>
      <c r="EL282" s="139"/>
      <c r="EM282" s="139"/>
      <c r="EN282" s="139"/>
      <c r="EO282" s="139"/>
      <c r="EP282" s="139"/>
      <c r="EQ282" s="139"/>
      <c r="ER282" s="139"/>
      <c r="ES282" s="139"/>
      <c r="ET282" s="139"/>
      <c r="EU282" s="139"/>
      <c r="EV282" s="139"/>
      <c r="EW282" s="139"/>
      <c r="EX282" s="139"/>
      <c r="EY282" s="139"/>
      <c r="EZ282" s="139"/>
      <c r="FA282" s="139"/>
      <c r="FB282" s="139"/>
      <c r="FC282" s="139"/>
      <c r="FD282" s="139"/>
      <c r="FE282" s="139"/>
      <c r="FF282" s="139"/>
      <c r="FG282" s="139"/>
      <c r="FH282" s="139"/>
      <c r="FI282" s="139"/>
      <c r="FJ282" s="139"/>
      <c r="FK282" s="139"/>
      <c r="FL282" s="139"/>
      <c r="FM282" s="139"/>
      <c r="FN282" s="139"/>
      <c r="FO282" s="139"/>
      <c r="FP282" s="139"/>
      <c r="FQ282" s="139"/>
      <c r="FR282" s="139"/>
      <c r="FS282" s="139"/>
      <c r="FT282" s="139"/>
      <c r="FU282" s="139"/>
      <c r="FV282" s="139"/>
      <c r="FW282" s="139"/>
      <c r="FX282" s="139"/>
      <c r="FY282" s="139"/>
      <c r="FZ282" s="139"/>
      <c r="GA282" s="139"/>
      <c r="GB282" s="139"/>
      <c r="GC282" s="139"/>
      <c r="GD282" s="139"/>
      <c r="GE282" s="139"/>
      <c r="GF282" s="139"/>
      <c r="GG282" s="139"/>
      <c r="GH282" s="139"/>
      <c r="GI282" s="139"/>
      <c r="GJ282" s="139"/>
      <c r="GK282" s="139"/>
      <c r="GL282" s="139"/>
      <c r="GM282" s="139"/>
      <c r="GN282" s="139"/>
      <c r="GO282" s="139"/>
      <c r="GP282" s="139"/>
      <c r="GQ282" s="139"/>
      <c r="GR282" s="139"/>
      <c r="GS282" s="139"/>
      <c r="GT282" s="139"/>
      <c r="GU282" s="139"/>
      <c r="GV282" s="139"/>
      <c r="GW282" s="139"/>
      <c r="GX282" s="139"/>
      <c r="GY282" s="139"/>
      <c r="GZ282" s="139"/>
      <c r="HA282" s="139"/>
      <c r="HB282" s="139"/>
      <c r="HC282" s="139"/>
      <c r="HD282" s="139"/>
      <c r="HE282" s="139"/>
      <c r="HF282" s="139"/>
      <c r="HG282" s="139"/>
      <c r="HH282" s="139"/>
      <c r="HI282" s="139"/>
      <c r="HJ282" s="139"/>
      <c r="HK282" s="139"/>
      <c r="HL282" s="139"/>
      <c r="HM282" s="139"/>
      <c r="HN282" s="139"/>
      <c r="HO282" s="139"/>
      <c r="HP282" s="139"/>
      <c r="HQ282" s="139"/>
      <c r="HR282" s="139"/>
      <c r="HS282" s="139"/>
      <c r="HT282" s="139"/>
      <c r="HU282" s="139"/>
      <c r="HV282" s="139"/>
      <c r="HW282" s="139"/>
      <c r="HX282" s="139"/>
      <c r="HY282" s="139"/>
      <c r="HZ282" s="139"/>
      <c r="IA282" s="139"/>
      <c r="IB282" s="139"/>
      <c r="IC282" s="139"/>
      <c r="ID282" s="139"/>
      <c r="IE282" s="139"/>
      <c r="IF282" s="139"/>
      <c r="IG282" s="139"/>
      <c r="IH282" s="139"/>
      <c r="II282" s="139"/>
      <c r="IJ282" s="139"/>
      <c r="IK282" s="139"/>
      <c r="IL282" s="139"/>
      <c r="IM282" s="139"/>
      <c r="IN282" s="139"/>
      <c r="IO282" s="139"/>
      <c r="IP282" s="139"/>
      <c r="IQ282" s="139"/>
      <c r="IR282" s="139"/>
      <c r="IS282" s="139"/>
      <c r="IT282" s="139"/>
      <c r="IU282" s="139"/>
      <c r="IV282" s="139"/>
      <c r="IW282" s="139"/>
      <c r="IX282" s="139"/>
    </row>
    <row r="283" spans="2:258" x14ac:dyDescent="0.3">
      <c r="B283" s="5" t="s">
        <v>119</v>
      </c>
      <c r="C283" s="1009" t="s">
        <v>222</v>
      </c>
      <c r="D283" s="968">
        <v>1538351.6</v>
      </c>
      <c r="E283" s="968">
        <v>836030.1</v>
      </c>
      <c r="F283" s="968">
        <v>57076377.5</v>
      </c>
      <c r="G283" s="968">
        <v>29788425.199999999</v>
      </c>
      <c r="H283" s="968">
        <v>539999.30000000005</v>
      </c>
      <c r="I283" s="968">
        <v>4994564.7</v>
      </c>
      <c r="J283" s="968">
        <v>539842.30000000005</v>
      </c>
      <c r="K283" s="968">
        <v>30707369.100000001</v>
      </c>
      <c r="L283" s="968">
        <v>7300093.0999999996</v>
      </c>
      <c r="M283" s="968">
        <v>6560452.2000000002</v>
      </c>
      <c r="N283" s="968">
        <v>15365935.9</v>
      </c>
      <c r="O283" s="10">
        <v>12597668.300000001</v>
      </c>
      <c r="P283" s="270">
        <f t="shared" si="41"/>
        <v>108150538.59999999</v>
      </c>
      <c r="Q283" s="968">
        <f t="shared" si="42"/>
        <v>59694570.699999996</v>
      </c>
      <c r="R283" s="16">
        <f t="shared" si="31"/>
        <v>167845109.30000001</v>
      </c>
      <c r="S283" s="268">
        <f>(Q283*'Emission &amp; Conversion Factors'!$J$251)+(P283*'Emission &amp; Conversion Factors'!$J$240)</f>
        <v>1701435261.7026999</v>
      </c>
      <c r="T283" s="283">
        <f t="shared" si="32"/>
        <v>69474.788766160549</v>
      </c>
      <c r="U283" s="968">
        <f t="shared" si="33"/>
        <v>1675069.4710073711</v>
      </c>
      <c r="V283" s="16">
        <f t="shared" si="34"/>
        <v>16003032.884456482</v>
      </c>
      <c r="W283" s="16">
        <f t="shared" si="35"/>
        <v>6287064.4601470297</v>
      </c>
      <c r="X283" s="968">
        <f t="shared" si="36"/>
        <v>2253487.4798047077</v>
      </c>
      <c r="Y283" s="968">
        <f t="shared" si="37"/>
        <v>6500739.8279220238</v>
      </c>
      <c r="Z283" s="968">
        <f t="shared" si="38"/>
        <v>6011588.8442253927</v>
      </c>
      <c r="AA283" s="993">
        <f t="shared" si="39"/>
        <v>118753.41800727442</v>
      </c>
      <c r="AB283" s="507">
        <f t="shared" si="40"/>
        <v>38919211.174336441</v>
      </c>
      <c r="AE283" s="139"/>
      <c r="AF283" s="139"/>
      <c r="AG283" s="139"/>
      <c r="AH283" s="139"/>
      <c r="AI283" s="139"/>
      <c r="AJ283" s="139"/>
      <c r="AK283" s="139"/>
      <c r="AL283" s="139"/>
      <c r="AM283" s="139"/>
      <c r="AN283" s="139"/>
      <c r="AO283" s="139"/>
      <c r="AP283" s="139"/>
      <c r="AQ283" s="139"/>
      <c r="AR283" s="139"/>
      <c r="AS283" s="139"/>
      <c r="AT283" s="139"/>
      <c r="AU283" s="139"/>
      <c r="AV283" s="139"/>
      <c r="AW283" s="139"/>
      <c r="AX283" s="139"/>
      <c r="AY283" s="139"/>
      <c r="AZ283" s="139"/>
      <c r="BA283" s="139"/>
      <c r="BB283" s="139"/>
      <c r="BC283" s="139"/>
      <c r="BD283" s="139"/>
      <c r="BE283" s="139"/>
      <c r="BF283" s="139"/>
      <c r="BG283" s="139"/>
      <c r="BH283" s="139"/>
      <c r="BI283" s="139"/>
      <c r="BJ283" s="139"/>
      <c r="BK283" s="139"/>
      <c r="BL283" s="139"/>
      <c r="BM283" s="139"/>
      <c r="BN283" s="139"/>
      <c r="BO283" s="139"/>
      <c r="BP283" s="139"/>
      <c r="BQ283" s="139"/>
      <c r="BR283" s="139"/>
      <c r="BS283" s="139"/>
      <c r="BT283" s="139"/>
      <c r="BU283" s="139"/>
      <c r="BV283" s="139"/>
      <c r="BW283" s="139"/>
      <c r="BX283" s="139"/>
      <c r="BY283" s="139"/>
      <c r="BZ283" s="139"/>
      <c r="CA283" s="139"/>
      <c r="CB283" s="139"/>
      <c r="CC283" s="139"/>
      <c r="CD283" s="139"/>
      <c r="CE283" s="139"/>
      <c r="CF283" s="139"/>
      <c r="CG283" s="139"/>
      <c r="CH283" s="139"/>
      <c r="CI283" s="139"/>
      <c r="CJ283" s="139"/>
      <c r="CK283" s="139"/>
      <c r="CL283" s="139"/>
      <c r="CM283" s="139"/>
      <c r="CN283" s="139"/>
      <c r="CO283" s="139"/>
      <c r="CP283" s="139"/>
      <c r="CQ283" s="139"/>
      <c r="CR283" s="139"/>
      <c r="CS283" s="139"/>
      <c r="CT283" s="139"/>
      <c r="CU283" s="139"/>
      <c r="CV283" s="139"/>
      <c r="CW283" s="139"/>
      <c r="CX283" s="139"/>
      <c r="CY283" s="139"/>
      <c r="CZ283" s="139"/>
      <c r="DA283" s="139"/>
      <c r="DB283" s="139"/>
      <c r="DC283" s="139"/>
      <c r="DD283" s="139"/>
      <c r="DE283" s="139"/>
      <c r="DF283" s="139"/>
      <c r="DG283" s="139"/>
      <c r="DH283" s="139"/>
      <c r="DI283" s="139"/>
      <c r="DJ283" s="139"/>
      <c r="DK283" s="139"/>
      <c r="DL283" s="139"/>
      <c r="DM283" s="139"/>
      <c r="DN283" s="139"/>
      <c r="DO283" s="139"/>
      <c r="DP283" s="139"/>
      <c r="DQ283" s="139"/>
      <c r="DR283" s="139"/>
      <c r="DS283" s="139"/>
      <c r="DT283" s="139"/>
      <c r="DU283" s="139"/>
      <c r="DV283" s="139"/>
      <c r="DW283" s="139"/>
      <c r="DX283" s="139"/>
      <c r="DY283" s="139"/>
      <c r="DZ283" s="139"/>
      <c r="EA283" s="139"/>
      <c r="EB283" s="139"/>
      <c r="EC283" s="139"/>
      <c r="ED283" s="139"/>
      <c r="EE283" s="139"/>
      <c r="EF283" s="139"/>
      <c r="EG283" s="139"/>
      <c r="EH283" s="139"/>
      <c r="EI283" s="139"/>
      <c r="EJ283" s="139"/>
      <c r="EK283" s="139"/>
      <c r="EL283" s="139"/>
      <c r="EM283" s="139"/>
      <c r="EN283" s="139"/>
      <c r="EO283" s="139"/>
      <c r="EP283" s="139"/>
      <c r="EQ283" s="139"/>
      <c r="ER283" s="139"/>
      <c r="ES283" s="139"/>
      <c r="ET283" s="139"/>
      <c r="EU283" s="139"/>
      <c r="EV283" s="139"/>
      <c r="EW283" s="139"/>
      <c r="EX283" s="139"/>
      <c r="EY283" s="139"/>
      <c r="EZ283" s="139"/>
      <c r="FA283" s="139"/>
      <c r="FB283" s="139"/>
      <c r="FC283" s="139"/>
      <c r="FD283" s="139"/>
      <c r="FE283" s="139"/>
      <c r="FF283" s="139"/>
      <c r="FG283" s="139"/>
      <c r="FH283" s="139"/>
      <c r="FI283" s="139"/>
      <c r="FJ283" s="139"/>
      <c r="FK283" s="139"/>
      <c r="FL283" s="139"/>
      <c r="FM283" s="139"/>
      <c r="FN283" s="139"/>
      <c r="FO283" s="139"/>
      <c r="FP283" s="139"/>
      <c r="FQ283" s="139"/>
      <c r="FR283" s="139"/>
      <c r="FS283" s="139"/>
      <c r="FT283" s="139"/>
      <c r="FU283" s="139"/>
      <c r="FV283" s="139"/>
      <c r="FW283" s="139"/>
      <c r="FX283" s="139"/>
      <c r="FY283" s="139"/>
      <c r="FZ283" s="139"/>
      <c r="GA283" s="139"/>
      <c r="GB283" s="139"/>
      <c r="GC283" s="139"/>
      <c r="GD283" s="139"/>
      <c r="GE283" s="139"/>
      <c r="GF283" s="139"/>
      <c r="GG283" s="139"/>
      <c r="GH283" s="139"/>
      <c r="GI283" s="139"/>
      <c r="GJ283" s="139"/>
      <c r="GK283" s="139"/>
      <c r="GL283" s="139"/>
      <c r="GM283" s="139"/>
      <c r="GN283" s="139"/>
      <c r="GO283" s="139"/>
      <c r="GP283" s="139"/>
      <c r="GQ283" s="139"/>
      <c r="GR283" s="139"/>
      <c r="GS283" s="139"/>
      <c r="GT283" s="139"/>
      <c r="GU283" s="139"/>
      <c r="GV283" s="139"/>
      <c r="GW283" s="139"/>
      <c r="GX283" s="139"/>
      <c r="GY283" s="139"/>
      <c r="GZ283" s="139"/>
      <c r="HA283" s="139"/>
      <c r="HB283" s="139"/>
      <c r="HC283" s="139"/>
      <c r="HD283" s="139"/>
      <c r="HE283" s="139"/>
      <c r="HF283" s="139"/>
      <c r="HG283" s="139"/>
      <c r="HH283" s="139"/>
      <c r="HI283" s="139"/>
      <c r="HJ283" s="139"/>
      <c r="HK283" s="139"/>
      <c r="HL283" s="139"/>
      <c r="HM283" s="139"/>
      <c r="HN283" s="139"/>
      <c r="HO283" s="139"/>
      <c r="HP283" s="139"/>
      <c r="HQ283" s="139"/>
      <c r="HR283" s="139"/>
      <c r="HS283" s="139"/>
      <c r="HT283" s="139"/>
      <c r="HU283" s="139"/>
      <c r="HV283" s="139"/>
      <c r="HW283" s="139"/>
      <c r="HX283" s="139"/>
      <c r="HY283" s="139"/>
      <c r="HZ283" s="139"/>
      <c r="IA283" s="139"/>
      <c r="IB283" s="139"/>
      <c r="IC283" s="139"/>
      <c r="ID283" s="139"/>
      <c r="IE283" s="139"/>
      <c r="IF283" s="139"/>
      <c r="IG283" s="139"/>
      <c r="IH283" s="139"/>
      <c r="II283" s="139"/>
      <c r="IJ283" s="139"/>
      <c r="IK283" s="139"/>
      <c r="IL283" s="139"/>
      <c r="IM283" s="139"/>
      <c r="IN283" s="139"/>
      <c r="IO283" s="139"/>
      <c r="IP283" s="139"/>
      <c r="IQ283" s="139"/>
      <c r="IR283" s="139"/>
      <c r="IS283" s="139"/>
      <c r="IT283" s="139"/>
      <c r="IU283" s="139"/>
      <c r="IV283" s="139"/>
      <c r="IW283" s="139"/>
      <c r="IX283" s="139"/>
    </row>
    <row r="284" spans="2:258" x14ac:dyDescent="0.3">
      <c r="B284" s="5" t="s">
        <v>120</v>
      </c>
      <c r="C284" s="1009" t="s">
        <v>223</v>
      </c>
      <c r="D284" s="968">
        <v>1403246.1</v>
      </c>
      <c r="E284" s="968">
        <v>1304819.1000000001</v>
      </c>
      <c r="F284" s="968">
        <v>43555069</v>
      </c>
      <c r="G284" s="968">
        <v>20707800.699999999</v>
      </c>
      <c r="H284" s="968">
        <v>185633.8</v>
      </c>
      <c r="I284" s="968">
        <v>4208442.4000000004</v>
      </c>
      <c r="J284" s="968">
        <v>388896.7</v>
      </c>
      <c r="K284" s="968">
        <v>21926650.800000001</v>
      </c>
      <c r="L284" s="968">
        <v>6705590.7999999998</v>
      </c>
      <c r="M284" s="968">
        <v>5360175.4000000004</v>
      </c>
      <c r="N284" s="968">
        <v>9698661.5</v>
      </c>
      <c r="O284" s="10">
        <v>5338730.9000000004</v>
      </c>
      <c r="P284" s="270">
        <f t="shared" si="41"/>
        <v>75250871.600000009</v>
      </c>
      <c r="Q284" s="968">
        <f t="shared" si="42"/>
        <v>45532845.600000001</v>
      </c>
      <c r="R284" s="16">
        <f t="shared" si="31"/>
        <v>120783717.20000002</v>
      </c>
      <c r="S284" s="268">
        <f>(Q284*'Emission &amp; Conversion Factors'!$J$251)+(P284*'Emission &amp; Conversion Factors'!$J$240)</f>
        <v>1221522932.9084001</v>
      </c>
      <c r="T284" s="283">
        <f t="shared" si="32"/>
        <v>65031.633670650299</v>
      </c>
      <c r="U284" s="968">
        <f t="shared" si="33"/>
        <v>2698610.8357367367</v>
      </c>
      <c r="V284" s="16">
        <f t="shared" si="34"/>
        <v>11301770.870216118</v>
      </c>
      <c r="W284" s="16">
        <f t="shared" si="35"/>
        <v>5982102.4513188247</v>
      </c>
      <c r="X284" s="968">
        <f t="shared" si="36"/>
        <v>1754238.4163455542</v>
      </c>
      <c r="Y284" s="968">
        <f t="shared" si="37"/>
        <v>5112455.8221703144</v>
      </c>
      <c r="Z284" s="968">
        <f t="shared" si="38"/>
        <v>3811823.1487573092</v>
      </c>
      <c r="AA284" s="993">
        <f t="shared" si="39"/>
        <v>40392.319050093342</v>
      </c>
      <c r="AB284" s="507">
        <f t="shared" si="40"/>
        <v>30766425.4972656</v>
      </c>
      <c r="AE284" s="139"/>
      <c r="AF284" s="139"/>
      <c r="AG284" s="139"/>
      <c r="AH284" s="139"/>
      <c r="AI284" s="139"/>
      <c r="AJ284" s="139"/>
      <c r="AK284" s="139"/>
      <c r="AL284" s="139"/>
      <c r="AM284" s="139"/>
      <c r="AN284" s="139"/>
      <c r="AO284" s="139"/>
      <c r="AP284" s="139"/>
      <c r="AQ284" s="139"/>
      <c r="AR284" s="139"/>
      <c r="AS284" s="139"/>
      <c r="AT284" s="139"/>
      <c r="AU284" s="139"/>
      <c r="AV284" s="139"/>
      <c r="AW284" s="139"/>
      <c r="AX284" s="139"/>
      <c r="AY284" s="139"/>
      <c r="AZ284" s="139"/>
      <c r="BA284" s="139"/>
      <c r="BB284" s="139"/>
      <c r="BC284" s="139"/>
      <c r="BD284" s="139"/>
      <c r="BE284" s="139"/>
      <c r="BF284" s="139"/>
      <c r="BG284" s="139"/>
      <c r="BH284" s="139"/>
      <c r="BI284" s="139"/>
      <c r="BJ284" s="139"/>
      <c r="BK284" s="139"/>
      <c r="BL284" s="139"/>
      <c r="BM284" s="139"/>
      <c r="BN284" s="139"/>
      <c r="BO284" s="139"/>
      <c r="BP284" s="139"/>
      <c r="BQ284" s="139"/>
      <c r="BR284" s="139"/>
      <c r="BS284" s="139"/>
      <c r="BT284" s="139"/>
      <c r="BU284" s="139"/>
      <c r="BV284" s="139"/>
      <c r="BW284" s="139"/>
      <c r="BX284" s="139"/>
      <c r="BY284" s="139"/>
      <c r="BZ284" s="139"/>
      <c r="CA284" s="139"/>
      <c r="CB284" s="139"/>
      <c r="CC284" s="139"/>
      <c r="CD284" s="139"/>
      <c r="CE284" s="139"/>
      <c r="CF284" s="139"/>
      <c r="CG284" s="139"/>
      <c r="CH284" s="139"/>
      <c r="CI284" s="139"/>
      <c r="CJ284" s="139"/>
      <c r="CK284" s="139"/>
      <c r="CL284" s="139"/>
      <c r="CM284" s="139"/>
      <c r="CN284" s="139"/>
      <c r="CO284" s="139"/>
      <c r="CP284" s="139"/>
      <c r="CQ284" s="139"/>
      <c r="CR284" s="139"/>
      <c r="CS284" s="139"/>
      <c r="CT284" s="139"/>
      <c r="CU284" s="139"/>
      <c r="CV284" s="139"/>
      <c r="CW284" s="139"/>
      <c r="CX284" s="139"/>
      <c r="CY284" s="139"/>
      <c r="CZ284" s="139"/>
      <c r="DA284" s="139"/>
      <c r="DB284" s="139"/>
      <c r="DC284" s="139"/>
      <c r="DD284" s="139"/>
      <c r="DE284" s="139"/>
      <c r="DF284" s="139"/>
      <c r="DG284" s="139"/>
      <c r="DH284" s="139"/>
      <c r="DI284" s="139"/>
      <c r="DJ284" s="139"/>
      <c r="DK284" s="139"/>
      <c r="DL284" s="139"/>
      <c r="DM284" s="139"/>
      <c r="DN284" s="139"/>
      <c r="DO284" s="139"/>
      <c r="DP284" s="139"/>
      <c r="DQ284" s="139"/>
      <c r="DR284" s="139"/>
      <c r="DS284" s="139"/>
      <c r="DT284" s="139"/>
      <c r="DU284" s="139"/>
      <c r="DV284" s="139"/>
      <c r="DW284" s="139"/>
      <c r="DX284" s="139"/>
      <c r="DY284" s="139"/>
      <c r="DZ284" s="139"/>
      <c r="EA284" s="139"/>
      <c r="EB284" s="139"/>
      <c r="EC284" s="139"/>
      <c r="ED284" s="139"/>
      <c r="EE284" s="139"/>
      <c r="EF284" s="139"/>
      <c r="EG284" s="139"/>
      <c r="EH284" s="139"/>
      <c r="EI284" s="139"/>
      <c r="EJ284" s="139"/>
      <c r="EK284" s="139"/>
      <c r="EL284" s="139"/>
      <c r="EM284" s="139"/>
      <c r="EN284" s="139"/>
      <c r="EO284" s="139"/>
      <c r="EP284" s="139"/>
      <c r="EQ284" s="139"/>
      <c r="ER284" s="139"/>
      <c r="ES284" s="139"/>
      <c r="ET284" s="139"/>
      <c r="EU284" s="139"/>
      <c r="EV284" s="139"/>
      <c r="EW284" s="139"/>
      <c r="EX284" s="139"/>
      <c r="EY284" s="139"/>
      <c r="EZ284" s="139"/>
      <c r="FA284" s="139"/>
      <c r="FB284" s="139"/>
      <c r="FC284" s="139"/>
      <c r="FD284" s="139"/>
      <c r="FE284" s="139"/>
      <c r="FF284" s="139"/>
      <c r="FG284" s="139"/>
      <c r="FH284" s="139"/>
      <c r="FI284" s="139"/>
      <c r="FJ284" s="139"/>
      <c r="FK284" s="139"/>
      <c r="FL284" s="139"/>
      <c r="FM284" s="139"/>
      <c r="FN284" s="139"/>
      <c r="FO284" s="139"/>
      <c r="FP284" s="139"/>
      <c r="FQ284" s="139"/>
      <c r="FR284" s="139"/>
      <c r="FS284" s="139"/>
      <c r="FT284" s="139"/>
      <c r="FU284" s="139"/>
      <c r="FV284" s="139"/>
      <c r="FW284" s="139"/>
      <c r="FX284" s="139"/>
      <c r="FY284" s="139"/>
      <c r="FZ284" s="139"/>
      <c r="GA284" s="139"/>
      <c r="GB284" s="139"/>
      <c r="GC284" s="139"/>
      <c r="GD284" s="139"/>
      <c r="GE284" s="139"/>
      <c r="GF284" s="139"/>
      <c r="GG284" s="139"/>
      <c r="GH284" s="139"/>
      <c r="GI284" s="139"/>
      <c r="GJ284" s="139"/>
      <c r="GK284" s="139"/>
      <c r="GL284" s="139"/>
      <c r="GM284" s="139"/>
      <c r="GN284" s="139"/>
      <c r="GO284" s="139"/>
      <c r="GP284" s="139"/>
      <c r="GQ284" s="139"/>
      <c r="GR284" s="139"/>
      <c r="GS284" s="139"/>
      <c r="GT284" s="139"/>
      <c r="GU284" s="139"/>
      <c r="GV284" s="139"/>
      <c r="GW284" s="139"/>
      <c r="GX284" s="139"/>
      <c r="GY284" s="139"/>
      <c r="GZ284" s="139"/>
      <c r="HA284" s="139"/>
      <c r="HB284" s="139"/>
      <c r="HC284" s="139"/>
      <c r="HD284" s="139"/>
      <c r="HE284" s="139"/>
      <c r="HF284" s="139"/>
      <c r="HG284" s="139"/>
      <c r="HH284" s="139"/>
      <c r="HI284" s="139"/>
      <c r="HJ284" s="139"/>
      <c r="HK284" s="139"/>
      <c r="HL284" s="139"/>
      <c r="HM284" s="139"/>
      <c r="HN284" s="139"/>
      <c r="HO284" s="139"/>
      <c r="HP284" s="139"/>
      <c r="HQ284" s="139"/>
      <c r="HR284" s="139"/>
      <c r="HS284" s="139"/>
      <c r="HT284" s="139"/>
      <c r="HU284" s="139"/>
      <c r="HV284" s="139"/>
      <c r="HW284" s="139"/>
      <c r="HX284" s="139"/>
      <c r="HY284" s="139"/>
      <c r="HZ284" s="139"/>
      <c r="IA284" s="139"/>
      <c r="IB284" s="139"/>
      <c r="IC284" s="139"/>
      <c r="ID284" s="139"/>
      <c r="IE284" s="139"/>
      <c r="IF284" s="139"/>
      <c r="IG284" s="139"/>
      <c r="IH284" s="139"/>
      <c r="II284" s="139"/>
      <c r="IJ284" s="139"/>
      <c r="IK284" s="139"/>
      <c r="IL284" s="139"/>
      <c r="IM284" s="139"/>
      <c r="IN284" s="139"/>
      <c r="IO284" s="139"/>
      <c r="IP284" s="139"/>
      <c r="IQ284" s="139"/>
      <c r="IR284" s="139"/>
      <c r="IS284" s="139"/>
      <c r="IT284" s="139"/>
      <c r="IU284" s="139"/>
      <c r="IV284" s="139"/>
      <c r="IW284" s="139"/>
      <c r="IX284" s="139"/>
    </row>
    <row r="285" spans="2:258" x14ac:dyDescent="0.3">
      <c r="B285" s="5" t="s">
        <v>121</v>
      </c>
      <c r="C285" s="1009" t="s">
        <v>224</v>
      </c>
      <c r="D285" s="968">
        <v>1151204.8999999999</v>
      </c>
      <c r="E285" s="968">
        <v>974253.8</v>
      </c>
      <c r="F285" s="968">
        <v>9157970.6999999993</v>
      </c>
      <c r="G285" s="968">
        <v>3533391.9</v>
      </c>
      <c r="H285" s="968">
        <v>102370.8</v>
      </c>
      <c r="I285" s="968">
        <v>2085083.4</v>
      </c>
      <c r="J285" s="968">
        <v>185626</v>
      </c>
      <c r="K285" s="968">
        <v>7598431</v>
      </c>
      <c r="L285" s="968">
        <v>4892184.5999999996</v>
      </c>
      <c r="M285" s="968">
        <v>4002432.5</v>
      </c>
      <c r="N285" s="968">
        <v>3026612.5</v>
      </c>
      <c r="O285" s="10">
        <v>669521.5</v>
      </c>
      <c r="P285" s="270">
        <f t="shared" si="41"/>
        <v>26781911.199999999</v>
      </c>
      <c r="Q285" s="968">
        <f t="shared" si="42"/>
        <v>10597172.4</v>
      </c>
      <c r="R285" s="16">
        <f t="shared" si="31"/>
        <v>37379083.600000001</v>
      </c>
      <c r="S285" s="268">
        <f>(Q285*'Emission &amp; Conversion Factors'!$J$251)+(P285*'Emission &amp; Conversion Factors'!$J$240)</f>
        <v>381897462.37240005</v>
      </c>
      <c r="T285" s="283">
        <f t="shared" si="32"/>
        <v>48470.782860112013</v>
      </c>
      <c r="U285" s="968">
        <f t="shared" si="33"/>
        <v>1635888.9215287806</v>
      </c>
      <c r="V285" s="16">
        <f t="shared" si="34"/>
        <v>2501496.3187722801</v>
      </c>
      <c r="W285" s="16">
        <f t="shared" si="35"/>
        <v>3066584.8622830869</v>
      </c>
      <c r="X285" s="968">
        <f t="shared" si="36"/>
        <v>845411.23771845375</v>
      </c>
      <c r="Y285" s="968">
        <f t="shared" si="37"/>
        <v>3195840.2832433856</v>
      </c>
      <c r="Z285" s="968">
        <f t="shared" si="38"/>
        <v>865607.39724350034</v>
      </c>
      <c r="AA285" s="993">
        <f t="shared" si="39"/>
        <v>10905.926143525203</v>
      </c>
      <c r="AB285" s="507">
        <f t="shared" si="40"/>
        <v>12170205.729793124</v>
      </c>
      <c r="AE285" s="139"/>
      <c r="AF285" s="139"/>
      <c r="AG285" s="139"/>
      <c r="AH285" s="139"/>
      <c r="AI285" s="139"/>
      <c r="AJ285" s="139"/>
      <c r="AK285" s="139"/>
      <c r="AL285" s="139"/>
      <c r="AM285" s="139"/>
      <c r="AN285" s="139"/>
      <c r="AO285" s="139"/>
      <c r="AP285" s="139"/>
      <c r="AQ285" s="139"/>
      <c r="AR285" s="139"/>
      <c r="AS285" s="139"/>
      <c r="AT285" s="139"/>
      <c r="AU285" s="139"/>
      <c r="AV285" s="139"/>
      <c r="AW285" s="139"/>
      <c r="AX285" s="139"/>
      <c r="AY285" s="139"/>
      <c r="AZ285" s="139"/>
      <c r="BA285" s="139"/>
      <c r="BB285" s="139"/>
      <c r="BC285" s="139"/>
      <c r="BD285" s="139"/>
      <c r="BE285" s="139"/>
      <c r="BF285" s="139"/>
      <c r="BG285" s="139"/>
      <c r="BH285" s="139"/>
      <c r="BI285" s="139"/>
      <c r="BJ285" s="139"/>
      <c r="BK285" s="139"/>
      <c r="BL285" s="139"/>
      <c r="BM285" s="139"/>
      <c r="BN285" s="139"/>
      <c r="BO285" s="139"/>
      <c r="BP285" s="139"/>
      <c r="BQ285" s="139"/>
      <c r="BR285" s="139"/>
      <c r="BS285" s="139"/>
      <c r="BT285" s="139"/>
      <c r="BU285" s="139"/>
      <c r="BV285" s="139"/>
      <c r="BW285" s="139"/>
      <c r="BX285" s="139"/>
      <c r="BY285" s="139"/>
      <c r="BZ285" s="139"/>
      <c r="CA285" s="139"/>
      <c r="CB285" s="139"/>
      <c r="CC285" s="139"/>
      <c r="CD285" s="139"/>
      <c r="CE285" s="139"/>
      <c r="CF285" s="139"/>
      <c r="CG285" s="139"/>
      <c r="CH285" s="139"/>
      <c r="CI285" s="139"/>
      <c r="CJ285" s="139"/>
      <c r="CK285" s="139"/>
      <c r="CL285" s="139"/>
      <c r="CM285" s="139"/>
      <c r="CN285" s="139"/>
      <c r="CO285" s="139"/>
      <c r="CP285" s="139"/>
      <c r="CQ285" s="139"/>
      <c r="CR285" s="139"/>
      <c r="CS285" s="139"/>
      <c r="CT285" s="139"/>
      <c r="CU285" s="139"/>
      <c r="CV285" s="139"/>
      <c r="CW285" s="139"/>
      <c r="CX285" s="139"/>
      <c r="CY285" s="139"/>
      <c r="CZ285" s="139"/>
      <c r="DA285" s="139"/>
      <c r="DB285" s="139"/>
      <c r="DC285" s="139"/>
      <c r="DD285" s="139"/>
      <c r="DE285" s="139"/>
      <c r="DF285" s="139"/>
      <c r="DG285" s="139"/>
      <c r="DH285" s="139"/>
      <c r="DI285" s="139"/>
      <c r="DJ285" s="139"/>
      <c r="DK285" s="139"/>
      <c r="DL285" s="139"/>
      <c r="DM285" s="139"/>
      <c r="DN285" s="139"/>
      <c r="DO285" s="139"/>
      <c r="DP285" s="139"/>
      <c r="DQ285" s="139"/>
      <c r="DR285" s="139"/>
      <c r="DS285" s="139"/>
      <c r="DT285" s="139"/>
      <c r="DU285" s="139"/>
      <c r="DV285" s="139"/>
      <c r="DW285" s="139"/>
      <c r="DX285" s="139"/>
      <c r="DY285" s="139"/>
      <c r="DZ285" s="139"/>
      <c r="EA285" s="139"/>
      <c r="EB285" s="139"/>
      <c r="EC285" s="139"/>
      <c r="ED285" s="139"/>
      <c r="EE285" s="139"/>
      <c r="EF285" s="139"/>
      <c r="EG285" s="139"/>
      <c r="EH285" s="139"/>
      <c r="EI285" s="139"/>
      <c r="EJ285" s="139"/>
      <c r="EK285" s="139"/>
      <c r="EL285" s="139"/>
      <c r="EM285" s="139"/>
      <c r="EN285" s="139"/>
      <c r="EO285" s="139"/>
      <c r="EP285" s="139"/>
      <c r="EQ285" s="139"/>
      <c r="ER285" s="139"/>
      <c r="ES285" s="139"/>
      <c r="ET285" s="139"/>
      <c r="EU285" s="139"/>
      <c r="EV285" s="139"/>
      <c r="EW285" s="139"/>
      <c r="EX285" s="139"/>
      <c r="EY285" s="139"/>
      <c r="EZ285" s="139"/>
      <c r="FA285" s="139"/>
      <c r="FB285" s="139"/>
      <c r="FC285" s="139"/>
      <c r="FD285" s="139"/>
      <c r="FE285" s="139"/>
      <c r="FF285" s="139"/>
      <c r="FG285" s="139"/>
      <c r="FH285" s="139"/>
      <c r="FI285" s="139"/>
      <c r="FJ285" s="139"/>
      <c r="FK285" s="139"/>
      <c r="FL285" s="139"/>
      <c r="FM285" s="139"/>
      <c r="FN285" s="139"/>
      <c r="FO285" s="139"/>
      <c r="FP285" s="139"/>
      <c r="FQ285" s="139"/>
      <c r="FR285" s="139"/>
      <c r="FS285" s="139"/>
      <c r="FT285" s="139"/>
      <c r="FU285" s="139"/>
      <c r="FV285" s="139"/>
      <c r="FW285" s="139"/>
      <c r="FX285" s="139"/>
      <c r="FY285" s="139"/>
      <c r="FZ285" s="139"/>
      <c r="GA285" s="139"/>
      <c r="GB285" s="139"/>
      <c r="GC285" s="139"/>
      <c r="GD285" s="139"/>
      <c r="GE285" s="139"/>
      <c r="GF285" s="139"/>
      <c r="GG285" s="139"/>
      <c r="GH285" s="139"/>
      <c r="GI285" s="139"/>
      <c r="GJ285" s="139"/>
      <c r="GK285" s="139"/>
      <c r="GL285" s="139"/>
      <c r="GM285" s="139"/>
      <c r="GN285" s="139"/>
      <c r="GO285" s="139"/>
      <c r="GP285" s="139"/>
      <c r="GQ285" s="139"/>
      <c r="GR285" s="139"/>
      <c r="GS285" s="139"/>
      <c r="GT285" s="139"/>
      <c r="GU285" s="139"/>
      <c r="GV285" s="139"/>
      <c r="GW285" s="139"/>
      <c r="GX285" s="139"/>
      <c r="GY285" s="139"/>
      <c r="GZ285" s="139"/>
      <c r="HA285" s="139"/>
      <c r="HB285" s="139"/>
      <c r="HC285" s="139"/>
      <c r="HD285" s="139"/>
      <c r="HE285" s="139"/>
      <c r="HF285" s="139"/>
      <c r="HG285" s="139"/>
      <c r="HH285" s="139"/>
      <c r="HI285" s="139"/>
      <c r="HJ285" s="139"/>
      <c r="HK285" s="139"/>
      <c r="HL285" s="139"/>
      <c r="HM285" s="139"/>
      <c r="HN285" s="139"/>
      <c r="HO285" s="139"/>
      <c r="HP285" s="139"/>
      <c r="HQ285" s="139"/>
      <c r="HR285" s="139"/>
      <c r="HS285" s="139"/>
      <c r="HT285" s="139"/>
      <c r="HU285" s="139"/>
      <c r="HV285" s="139"/>
      <c r="HW285" s="139"/>
      <c r="HX285" s="139"/>
      <c r="HY285" s="139"/>
      <c r="HZ285" s="139"/>
      <c r="IA285" s="139"/>
      <c r="IB285" s="139"/>
      <c r="IC285" s="139"/>
      <c r="ID285" s="139"/>
      <c r="IE285" s="139"/>
      <c r="IF285" s="139"/>
      <c r="IG285" s="139"/>
      <c r="IH285" s="139"/>
      <c r="II285" s="139"/>
      <c r="IJ285" s="139"/>
      <c r="IK285" s="139"/>
      <c r="IL285" s="139"/>
      <c r="IM285" s="139"/>
      <c r="IN285" s="139"/>
      <c r="IO285" s="139"/>
      <c r="IP285" s="139"/>
      <c r="IQ285" s="139"/>
      <c r="IR285" s="139"/>
      <c r="IS285" s="139"/>
      <c r="IT285" s="139"/>
      <c r="IU285" s="139"/>
      <c r="IV285" s="139"/>
      <c r="IW285" s="139"/>
      <c r="IX285" s="139"/>
    </row>
    <row r="286" spans="2:258" x14ac:dyDescent="0.3">
      <c r="B286" s="5" t="s">
        <v>122</v>
      </c>
      <c r="C286" s="1009" t="s">
        <v>225</v>
      </c>
      <c r="D286" s="968">
        <v>1191601</v>
      </c>
      <c r="E286" s="968">
        <v>1805327</v>
      </c>
      <c r="F286" s="968">
        <v>14412230.9</v>
      </c>
      <c r="G286" s="968">
        <v>5341144.0999999996</v>
      </c>
      <c r="H286" s="968">
        <v>124814.9</v>
      </c>
      <c r="I286" s="968">
        <v>2446034.6</v>
      </c>
      <c r="J286" s="968">
        <v>220079.6</v>
      </c>
      <c r="K286" s="968">
        <v>8921842.5</v>
      </c>
      <c r="L286" s="968">
        <v>4406007.3</v>
      </c>
      <c r="M286" s="968">
        <v>4978867.2</v>
      </c>
      <c r="N286" s="968">
        <v>4052532.1</v>
      </c>
      <c r="O286" s="10">
        <v>967285.1</v>
      </c>
      <c r="P286" s="270">
        <f t="shared" si="41"/>
        <v>32919039.900000002</v>
      </c>
      <c r="Q286" s="968">
        <f t="shared" si="42"/>
        <v>15948726.4</v>
      </c>
      <c r="R286" s="16">
        <f t="shared" si="31"/>
        <v>48867766.300000004</v>
      </c>
      <c r="S286" s="268">
        <f>(Q286*'Emission &amp; Conversion Factors'!$J$251)+(P286*'Emission &amp; Conversion Factors'!$J$240)</f>
        <v>496955258.05410004</v>
      </c>
      <c r="T286" s="283">
        <f t="shared" si="32"/>
        <v>47259.013288609218</v>
      </c>
      <c r="U286" s="968">
        <f t="shared" si="33"/>
        <v>2969239.373372362</v>
      </c>
      <c r="V286" s="16">
        <f t="shared" si="34"/>
        <v>3429711.8105434258</v>
      </c>
      <c r="W286" s="16">
        <f t="shared" si="35"/>
        <v>3269758.2271050569</v>
      </c>
      <c r="X286" s="968">
        <f t="shared" si="36"/>
        <v>912058.56415110792</v>
      </c>
      <c r="Y286" s="968">
        <f t="shared" si="37"/>
        <v>3085165.3290461297</v>
      </c>
      <c r="Z286" s="968">
        <f t="shared" si="38"/>
        <v>1236812.8093138584</v>
      </c>
      <c r="AA286" s="993">
        <f t="shared" si="39"/>
        <v>12925.542096029871</v>
      </c>
      <c r="AB286" s="507">
        <f t="shared" si="40"/>
        <v>14962930.668916581</v>
      </c>
      <c r="AE286" s="139"/>
      <c r="AF286" s="139"/>
      <c r="AG286" s="139"/>
      <c r="AH286" s="139"/>
      <c r="AI286" s="139"/>
      <c r="AJ286" s="139"/>
      <c r="AK286" s="139"/>
      <c r="AL286" s="139"/>
      <c r="AM286" s="139"/>
      <c r="AN286" s="139"/>
      <c r="AO286" s="139"/>
      <c r="AP286" s="139"/>
      <c r="AQ286" s="139"/>
      <c r="AR286" s="139"/>
      <c r="AS286" s="139"/>
      <c r="AT286" s="139"/>
      <c r="AU286" s="139"/>
      <c r="AV286" s="139"/>
      <c r="AW286" s="139"/>
      <c r="AX286" s="139"/>
      <c r="AY286" s="139"/>
      <c r="AZ286" s="139"/>
      <c r="BA286" s="139"/>
      <c r="BB286" s="139"/>
      <c r="BC286" s="139"/>
      <c r="BD286" s="139"/>
      <c r="BE286" s="139"/>
      <c r="BF286" s="139"/>
      <c r="BG286" s="139"/>
      <c r="BH286" s="139"/>
      <c r="BI286" s="139"/>
      <c r="BJ286" s="139"/>
      <c r="BK286" s="139"/>
      <c r="BL286" s="139"/>
      <c r="BM286" s="139"/>
      <c r="BN286" s="139"/>
      <c r="BO286" s="139"/>
      <c r="BP286" s="139"/>
      <c r="BQ286" s="139"/>
      <c r="BR286" s="139"/>
      <c r="BS286" s="139"/>
      <c r="BT286" s="139"/>
      <c r="BU286" s="139"/>
      <c r="BV286" s="139"/>
      <c r="BW286" s="139"/>
      <c r="BX286" s="139"/>
      <c r="BY286" s="139"/>
      <c r="BZ286" s="139"/>
      <c r="CA286" s="139"/>
      <c r="CB286" s="139"/>
      <c r="CC286" s="139"/>
      <c r="CD286" s="139"/>
      <c r="CE286" s="139"/>
      <c r="CF286" s="139"/>
      <c r="CG286" s="139"/>
      <c r="CH286" s="139"/>
      <c r="CI286" s="139"/>
      <c r="CJ286" s="139"/>
      <c r="CK286" s="139"/>
      <c r="CL286" s="139"/>
      <c r="CM286" s="139"/>
      <c r="CN286" s="139"/>
      <c r="CO286" s="139"/>
      <c r="CP286" s="139"/>
      <c r="CQ286" s="139"/>
      <c r="CR286" s="139"/>
      <c r="CS286" s="139"/>
      <c r="CT286" s="139"/>
      <c r="CU286" s="139"/>
      <c r="CV286" s="139"/>
      <c r="CW286" s="139"/>
      <c r="CX286" s="139"/>
      <c r="CY286" s="139"/>
      <c r="CZ286" s="139"/>
      <c r="DA286" s="139"/>
      <c r="DB286" s="139"/>
      <c r="DC286" s="139"/>
      <c r="DD286" s="139"/>
      <c r="DE286" s="139"/>
      <c r="DF286" s="139"/>
      <c r="DG286" s="139"/>
      <c r="DH286" s="139"/>
      <c r="DI286" s="139"/>
      <c r="DJ286" s="139"/>
      <c r="DK286" s="139"/>
      <c r="DL286" s="139"/>
      <c r="DM286" s="139"/>
      <c r="DN286" s="139"/>
      <c r="DO286" s="139"/>
      <c r="DP286" s="139"/>
      <c r="DQ286" s="139"/>
      <c r="DR286" s="139"/>
      <c r="DS286" s="139"/>
      <c r="DT286" s="139"/>
      <c r="DU286" s="139"/>
      <c r="DV286" s="139"/>
      <c r="DW286" s="139"/>
      <c r="DX286" s="139"/>
      <c r="DY286" s="139"/>
      <c r="DZ286" s="139"/>
      <c r="EA286" s="139"/>
      <c r="EB286" s="139"/>
      <c r="EC286" s="139"/>
      <c r="ED286" s="139"/>
      <c r="EE286" s="139"/>
      <c r="EF286" s="139"/>
      <c r="EG286" s="139"/>
      <c r="EH286" s="139"/>
      <c r="EI286" s="139"/>
      <c r="EJ286" s="139"/>
      <c r="EK286" s="139"/>
      <c r="EL286" s="139"/>
      <c r="EM286" s="139"/>
      <c r="EN286" s="139"/>
      <c r="EO286" s="139"/>
      <c r="EP286" s="139"/>
      <c r="EQ286" s="139"/>
      <c r="ER286" s="139"/>
      <c r="ES286" s="139"/>
      <c r="ET286" s="139"/>
      <c r="EU286" s="139"/>
      <c r="EV286" s="139"/>
      <c r="EW286" s="139"/>
      <c r="EX286" s="139"/>
      <c r="EY286" s="139"/>
      <c r="EZ286" s="139"/>
      <c r="FA286" s="139"/>
      <c r="FB286" s="139"/>
      <c r="FC286" s="139"/>
      <c r="FD286" s="139"/>
      <c r="FE286" s="139"/>
      <c r="FF286" s="139"/>
      <c r="FG286" s="139"/>
      <c r="FH286" s="139"/>
      <c r="FI286" s="139"/>
      <c r="FJ286" s="139"/>
      <c r="FK286" s="139"/>
      <c r="FL286" s="139"/>
      <c r="FM286" s="139"/>
      <c r="FN286" s="139"/>
      <c r="FO286" s="139"/>
      <c r="FP286" s="139"/>
      <c r="FQ286" s="139"/>
      <c r="FR286" s="139"/>
      <c r="FS286" s="139"/>
      <c r="FT286" s="139"/>
      <c r="FU286" s="139"/>
      <c r="FV286" s="139"/>
      <c r="FW286" s="139"/>
      <c r="FX286" s="139"/>
      <c r="FY286" s="139"/>
      <c r="FZ286" s="139"/>
      <c r="GA286" s="139"/>
      <c r="GB286" s="139"/>
      <c r="GC286" s="139"/>
      <c r="GD286" s="139"/>
      <c r="GE286" s="139"/>
      <c r="GF286" s="139"/>
      <c r="GG286" s="139"/>
      <c r="GH286" s="139"/>
      <c r="GI286" s="139"/>
      <c r="GJ286" s="139"/>
      <c r="GK286" s="139"/>
      <c r="GL286" s="139"/>
      <c r="GM286" s="139"/>
      <c r="GN286" s="139"/>
      <c r="GO286" s="139"/>
      <c r="GP286" s="139"/>
      <c r="GQ286" s="139"/>
      <c r="GR286" s="139"/>
      <c r="GS286" s="139"/>
      <c r="GT286" s="139"/>
      <c r="GU286" s="139"/>
      <c r="GV286" s="139"/>
      <c r="GW286" s="139"/>
      <c r="GX286" s="139"/>
      <c r="GY286" s="139"/>
      <c r="GZ286" s="139"/>
      <c r="HA286" s="139"/>
      <c r="HB286" s="139"/>
      <c r="HC286" s="139"/>
      <c r="HD286" s="139"/>
      <c r="HE286" s="139"/>
      <c r="HF286" s="139"/>
      <c r="HG286" s="139"/>
      <c r="HH286" s="139"/>
      <c r="HI286" s="139"/>
      <c r="HJ286" s="139"/>
      <c r="HK286" s="139"/>
      <c r="HL286" s="139"/>
      <c r="HM286" s="139"/>
      <c r="HN286" s="139"/>
      <c r="HO286" s="139"/>
      <c r="HP286" s="139"/>
      <c r="HQ286" s="139"/>
      <c r="HR286" s="139"/>
      <c r="HS286" s="139"/>
      <c r="HT286" s="139"/>
      <c r="HU286" s="139"/>
      <c r="HV286" s="139"/>
      <c r="HW286" s="139"/>
      <c r="HX286" s="139"/>
      <c r="HY286" s="139"/>
      <c r="HZ286" s="139"/>
      <c r="IA286" s="139"/>
      <c r="IB286" s="139"/>
      <c r="IC286" s="139"/>
      <c r="ID286" s="139"/>
      <c r="IE286" s="139"/>
      <c r="IF286" s="139"/>
      <c r="IG286" s="139"/>
      <c r="IH286" s="139"/>
      <c r="II286" s="139"/>
      <c r="IJ286" s="139"/>
      <c r="IK286" s="139"/>
      <c r="IL286" s="139"/>
      <c r="IM286" s="139"/>
      <c r="IN286" s="139"/>
      <c r="IO286" s="139"/>
      <c r="IP286" s="139"/>
      <c r="IQ286" s="139"/>
      <c r="IR286" s="139"/>
      <c r="IS286" s="139"/>
      <c r="IT286" s="139"/>
      <c r="IU286" s="139"/>
      <c r="IV286" s="139"/>
      <c r="IW286" s="139"/>
      <c r="IX286" s="139"/>
    </row>
    <row r="287" spans="2:258" x14ac:dyDescent="0.3">
      <c r="B287" s="5" t="s">
        <v>226</v>
      </c>
      <c r="C287" s="1009" t="s">
        <v>227</v>
      </c>
      <c r="D287" s="968">
        <v>702416</v>
      </c>
      <c r="E287" s="968">
        <v>360560.1</v>
      </c>
      <c r="F287" s="968">
        <v>25494802.5</v>
      </c>
      <c r="G287" s="968">
        <v>12661963.9</v>
      </c>
      <c r="H287" s="968">
        <v>53201.2</v>
      </c>
      <c r="I287" s="968">
        <v>1225929.7</v>
      </c>
      <c r="J287" s="968">
        <v>206201.5</v>
      </c>
      <c r="K287" s="968">
        <v>12457067.4</v>
      </c>
      <c r="L287" s="968">
        <v>3628621.6</v>
      </c>
      <c r="M287" s="968">
        <v>2051061.3</v>
      </c>
      <c r="N287" s="968">
        <v>3870080.8</v>
      </c>
      <c r="O287" s="10">
        <v>2155209.5</v>
      </c>
      <c r="P287" s="270">
        <f t="shared" si="41"/>
        <v>38410494.299999997</v>
      </c>
      <c r="Q287" s="968">
        <f t="shared" si="42"/>
        <v>26456621.199999999</v>
      </c>
      <c r="R287" s="16">
        <f t="shared" si="31"/>
        <v>64867115.5</v>
      </c>
      <c r="S287" s="268">
        <f>(Q287*'Emission &amp; Conversion Factors'!$J$251)+(P287*'Emission &amp; Conversion Factors'!$J$240)</f>
        <v>653801657.04089999</v>
      </c>
      <c r="T287" s="283">
        <f t="shared" si="32"/>
        <v>33929.548002078409</v>
      </c>
      <c r="U287" s="968">
        <f t="shared" si="33"/>
        <v>752912.82709373999</v>
      </c>
      <c r="V287" s="16">
        <f t="shared" si="34"/>
        <v>6762885.9785571285</v>
      </c>
      <c r="W287" s="16">
        <f t="shared" si="35"/>
        <v>1728387.3321534942</v>
      </c>
      <c r="X287" s="968">
        <f t="shared" si="36"/>
        <v>990419.66310828878</v>
      </c>
      <c r="Y287" s="968">
        <f t="shared" si="37"/>
        <v>2732944.3069293159</v>
      </c>
      <c r="Z287" s="968">
        <f t="shared" si="38"/>
        <v>1595092.6792881859</v>
      </c>
      <c r="AA287" s="993">
        <f t="shared" si="39"/>
        <v>15753.004429536404</v>
      </c>
      <c r="AB287" s="507">
        <f t="shared" si="40"/>
        <v>14612325.339561768</v>
      </c>
      <c r="AE287" s="139"/>
      <c r="AF287" s="139"/>
      <c r="AG287" s="139"/>
      <c r="AH287" s="139"/>
      <c r="AI287" s="139"/>
      <c r="AJ287" s="139"/>
      <c r="AK287" s="139"/>
      <c r="AL287" s="139"/>
      <c r="AM287" s="139"/>
      <c r="AN287" s="139"/>
      <c r="AO287" s="139"/>
      <c r="AP287" s="139"/>
      <c r="AQ287" s="139"/>
      <c r="AR287" s="139"/>
      <c r="AS287" s="139"/>
      <c r="AT287" s="139"/>
      <c r="AU287" s="139"/>
      <c r="AV287" s="139"/>
      <c r="AW287" s="139"/>
      <c r="AX287" s="139"/>
      <c r="AY287" s="139"/>
      <c r="AZ287" s="139"/>
      <c r="BA287" s="139"/>
      <c r="BB287" s="139"/>
      <c r="BC287" s="139"/>
      <c r="BD287" s="139"/>
      <c r="BE287" s="139"/>
      <c r="BF287" s="139"/>
      <c r="BG287" s="139"/>
      <c r="BH287" s="139"/>
      <c r="BI287" s="139"/>
      <c r="BJ287" s="139"/>
      <c r="BK287" s="139"/>
      <c r="BL287" s="139"/>
      <c r="BM287" s="139"/>
      <c r="BN287" s="139"/>
      <c r="BO287" s="139"/>
      <c r="BP287" s="139"/>
      <c r="BQ287" s="139"/>
      <c r="BR287" s="139"/>
      <c r="BS287" s="139"/>
      <c r="BT287" s="139"/>
      <c r="BU287" s="139"/>
      <c r="BV287" s="139"/>
      <c r="BW287" s="139"/>
      <c r="BX287" s="139"/>
      <c r="BY287" s="139"/>
      <c r="BZ287" s="139"/>
      <c r="CA287" s="139"/>
      <c r="CB287" s="139"/>
      <c r="CC287" s="139"/>
      <c r="CD287" s="139"/>
      <c r="CE287" s="139"/>
      <c r="CF287" s="139"/>
      <c r="CG287" s="139"/>
      <c r="CH287" s="139"/>
      <c r="CI287" s="139"/>
      <c r="CJ287" s="139"/>
      <c r="CK287" s="139"/>
      <c r="CL287" s="139"/>
      <c r="CM287" s="139"/>
      <c r="CN287" s="139"/>
      <c r="CO287" s="139"/>
      <c r="CP287" s="139"/>
      <c r="CQ287" s="139"/>
      <c r="CR287" s="139"/>
      <c r="CS287" s="139"/>
      <c r="CT287" s="139"/>
      <c r="CU287" s="139"/>
      <c r="CV287" s="139"/>
      <c r="CW287" s="139"/>
      <c r="CX287" s="139"/>
      <c r="CY287" s="139"/>
      <c r="CZ287" s="139"/>
      <c r="DA287" s="139"/>
      <c r="DB287" s="139"/>
      <c r="DC287" s="139"/>
      <c r="DD287" s="139"/>
      <c r="DE287" s="139"/>
      <c r="DF287" s="139"/>
      <c r="DG287" s="139"/>
      <c r="DH287" s="139"/>
      <c r="DI287" s="139"/>
      <c r="DJ287" s="139"/>
      <c r="DK287" s="139"/>
      <c r="DL287" s="139"/>
      <c r="DM287" s="139"/>
      <c r="DN287" s="139"/>
      <c r="DO287" s="139"/>
      <c r="DP287" s="139"/>
      <c r="DQ287" s="139"/>
      <c r="DR287" s="139"/>
      <c r="DS287" s="139"/>
      <c r="DT287" s="139"/>
      <c r="DU287" s="139"/>
      <c r="DV287" s="139"/>
      <c r="DW287" s="139"/>
      <c r="DX287" s="139"/>
      <c r="DY287" s="139"/>
      <c r="DZ287" s="139"/>
      <c r="EA287" s="139"/>
      <c r="EB287" s="139"/>
      <c r="EC287" s="139"/>
      <c r="ED287" s="139"/>
      <c r="EE287" s="139"/>
      <c r="EF287" s="139"/>
      <c r="EG287" s="139"/>
      <c r="EH287" s="139"/>
      <c r="EI287" s="139"/>
      <c r="EJ287" s="139"/>
      <c r="EK287" s="139"/>
      <c r="EL287" s="139"/>
      <c r="EM287" s="139"/>
      <c r="EN287" s="139"/>
      <c r="EO287" s="139"/>
      <c r="EP287" s="139"/>
      <c r="EQ287" s="139"/>
      <c r="ER287" s="139"/>
      <c r="ES287" s="139"/>
      <c r="ET287" s="139"/>
      <c r="EU287" s="139"/>
      <c r="EV287" s="139"/>
      <c r="EW287" s="139"/>
      <c r="EX287" s="139"/>
      <c r="EY287" s="139"/>
      <c r="EZ287" s="139"/>
      <c r="FA287" s="139"/>
      <c r="FB287" s="139"/>
      <c r="FC287" s="139"/>
      <c r="FD287" s="139"/>
      <c r="FE287" s="139"/>
      <c r="FF287" s="139"/>
      <c r="FG287" s="139"/>
      <c r="FH287" s="139"/>
      <c r="FI287" s="139"/>
      <c r="FJ287" s="139"/>
      <c r="FK287" s="139"/>
      <c r="FL287" s="139"/>
      <c r="FM287" s="139"/>
      <c r="FN287" s="139"/>
      <c r="FO287" s="139"/>
      <c r="FP287" s="139"/>
      <c r="FQ287" s="139"/>
      <c r="FR287" s="139"/>
      <c r="FS287" s="139"/>
      <c r="FT287" s="139"/>
      <c r="FU287" s="139"/>
      <c r="FV287" s="139"/>
      <c r="FW287" s="139"/>
      <c r="FX287" s="139"/>
      <c r="FY287" s="139"/>
      <c r="FZ287" s="139"/>
      <c r="GA287" s="139"/>
      <c r="GB287" s="139"/>
      <c r="GC287" s="139"/>
      <c r="GD287" s="139"/>
      <c r="GE287" s="139"/>
      <c r="GF287" s="139"/>
      <c r="GG287" s="139"/>
      <c r="GH287" s="139"/>
      <c r="GI287" s="139"/>
      <c r="GJ287" s="139"/>
      <c r="GK287" s="139"/>
      <c r="GL287" s="139"/>
      <c r="GM287" s="139"/>
      <c r="GN287" s="139"/>
      <c r="GO287" s="139"/>
      <c r="GP287" s="139"/>
      <c r="GQ287" s="139"/>
      <c r="GR287" s="139"/>
      <c r="GS287" s="139"/>
      <c r="GT287" s="139"/>
      <c r="GU287" s="139"/>
      <c r="GV287" s="139"/>
      <c r="GW287" s="139"/>
      <c r="GX287" s="139"/>
      <c r="GY287" s="139"/>
      <c r="GZ287" s="139"/>
      <c r="HA287" s="139"/>
      <c r="HB287" s="139"/>
      <c r="HC287" s="139"/>
      <c r="HD287" s="139"/>
      <c r="HE287" s="139"/>
      <c r="HF287" s="139"/>
      <c r="HG287" s="139"/>
      <c r="HH287" s="139"/>
      <c r="HI287" s="139"/>
      <c r="HJ287" s="139"/>
      <c r="HK287" s="139"/>
      <c r="HL287" s="139"/>
      <c r="HM287" s="139"/>
      <c r="HN287" s="139"/>
      <c r="HO287" s="139"/>
      <c r="HP287" s="139"/>
      <c r="HQ287" s="139"/>
      <c r="HR287" s="139"/>
      <c r="HS287" s="139"/>
      <c r="HT287" s="139"/>
      <c r="HU287" s="139"/>
      <c r="HV287" s="139"/>
      <c r="HW287" s="139"/>
      <c r="HX287" s="139"/>
      <c r="HY287" s="139"/>
      <c r="HZ287" s="139"/>
      <c r="IA287" s="139"/>
      <c r="IB287" s="139"/>
      <c r="IC287" s="139"/>
      <c r="ID287" s="139"/>
      <c r="IE287" s="139"/>
      <c r="IF287" s="139"/>
      <c r="IG287" s="139"/>
      <c r="IH287" s="139"/>
      <c r="II287" s="139"/>
      <c r="IJ287" s="139"/>
      <c r="IK287" s="139"/>
      <c r="IL287" s="139"/>
      <c r="IM287" s="139"/>
      <c r="IN287" s="139"/>
      <c r="IO287" s="139"/>
      <c r="IP287" s="139"/>
      <c r="IQ287" s="139"/>
      <c r="IR287" s="139"/>
      <c r="IS287" s="139"/>
      <c r="IT287" s="139"/>
      <c r="IU287" s="139"/>
      <c r="IV287" s="139"/>
      <c r="IW287" s="139"/>
      <c r="IX287" s="139"/>
    </row>
    <row r="288" spans="2:258" x14ac:dyDescent="0.3">
      <c r="B288" s="5" t="s">
        <v>124</v>
      </c>
      <c r="C288" s="1009" t="s">
        <v>228</v>
      </c>
      <c r="D288" s="968">
        <v>1433974.5</v>
      </c>
      <c r="E288" s="968">
        <v>1001733.8</v>
      </c>
      <c r="F288" s="968">
        <v>19546119.199999999</v>
      </c>
      <c r="G288" s="968">
        <v>8366049.9000000004</v>
      </c>
      <c r="H288" s="968">
        <v>130318.6</v>
      </c>
      <c r="I288" s="968">
        <v>2678424</v>
      </c>
      <c r="J288" s="968">
        <v>321844.7</v>
      </c>
      <c r="K288" s="968">
        <v>15000090.800000001</v>
      </c>
      <c r="L288" s="968">
        <v>9645075.8000000007</v>
      </c>
      <c r="M288" s="968">
        <v>5692335.5999999996</v>
      </c>
      <c r="N288" s="968">
        <v>5948416</v>
      </c>
      <c r="O288" s="10">
        <v>1872154.9</v>
      </c>
      <c r="P288" s="270">
        <f t="shared" si="41"/>
        <v>50204280.800000004</v>
      </c>
      <c r="Q288" s="968">
        <f t="shared" si="42"/>
        <v>21432257</v>
      </c>
      <c r="R288" s="16">
        <f t="shared" si="31"/>
        <v>71636537.800000012</v>
      </c>
      <c r="S288" s="268">
        <f>(Q288*'Emission &amp; Conversion Factors'!$J$251)+(P288*'Emission &amp; Conversion Factors'!$J$240)</f>
        <v>730657438.81580007</v>
      </c>
      <c r="T288" s="283">
        <f t="shared" si="32"/>
        <v>62204.171337143751</v>
      </c>
      <c r="U288" s="968">
        <f t="shared" si="33"/>
        <v>1704959.7871044404</v>
      </c>
      <c r="V288" s="16">
        <f t="shared" si="34"/>
        <v>5265542.7113701683</v>
      </c>
      <c r="W288" s="16">
        <f t="shared" si="35"/>
        <v>4111534.156109002</v>
      </c>
      <c r="X288" s="968">
        <f t="shared" si="36"/>
        <v>1468664.7206613941</v>
      </c>
      <c r="Y288" s="968">
        <f t="shared" si="37"/>
        <v>6257174.1440499602</v>
      </c>
      <c r="Z288" s="968">
        <f t="shared" si="38"/>
        <v>1814019.0485396923</v>
      </c>
      <c r="AA288" s="993">
        <f t="shared" si="39"/>
        <v>22215.775477551339</v>
      </c>
      <c r="AB288" s="507">
        <f t="shared" si="40"/>
        <v>20706314.51464935</v>
      </c>
      <c r="AE288" s="139"/>
      <c r="AF288" s="139"/>
      <c r="AG288" s="139"/>
      <c r="AH288" s="139"/>
      <c r="AI288" s="139"/>
      <c r="AJ288" s="139"/>
      <c r="AK288" s="139"/>
      <c r="AL288" s="139"/>
      <c r="AM288" s="139"/>
      <c r="AN288" s="139"/>
      <c r="AO288" s="139"/>
      <c r="AP288" s="139"/>
      <c r="AQ288" s="139"/>
      <c r="AR288" s="139"/>
      <c r="AS288" s="139"/>
      <c r="AT288" s="139"/>
      <c r="AU288" s="139"/>
      <c r="AV288" s="139"/>
      <c r="AW288" s="139"/>
      <c r="AX288" s="139"/>
      <c r="AY288" s="139"/>
      <c r="AZ288" s="139"/>
      <c r="BA288" s="139"/>
      <c r="BB288" s="139"/>
      <c r="BC288" s="139"/>
      <c r="BD288" s="139"/>
      <c r="BE288" s="139"/>
      <c r="BF288" s="139"/>
      <c r="BG288" s="139"/>
      <c r="BH288" s="139"/>
      <c r="BI288" s="139"/>
      <c r="BJ288" s="139"/>
      <c r="BK288" s="139"/>
      <c r="BL288" s="139"/>
      <c r="BM288" s="139"/>
      <c r="BN288" s="139"/>
      <c r="BO288" s="139"/>
      <c r="BP288" s="139"/>
      <c r="BQ288" s="139"/>
      <c r="BR288" s="139"/>
      <c r="BS288" s="139"/>
      <c r="BT288" s="139"/>
      <c r="BU288" s="139"/>
      <c r="BV288" s="139"/>
      <c r="BW288" s="139"/>
      <c r="BX288" s="139"/>
      <c r="BY288" s="139"/>
      <c r="BZ288" s="139"/>
      <c r="CA288" s="139"/>
      <c r="CB288" s="139"/>
      <c r="CC288" s="139"/>
      <c r="CD288" s="139"/>
      <c r="CE288" s="139"/>
      <c r="CF288" s="139"/>
      <c r="CG288" s="139"/>
      <c r="CH288" s="139"/>
      <c r="CI288" s="139"/>
      <c r="CJ288" s="139"/>
      <c r="CK288" s="139"/>
      <c r="CL288" s="139"/>
      <c r="CM288" s="139"/>
      <c r="CN288" s="139"/>
      <c r="CO288" s="139"/>
      <c r="CP288" s="139"/>
      <c r="CQ288" s="139"/>
      <c r="CR288" s="139"/>
      <c r="CS288" s="139"/>
      <c r="CT288" s="139"/>
      <c r="CU288" s="139"/>
      <c r="CV288" s="139"/>
      <c r="CW288" s="139"/>
      <c r="CX288" s="139"/>
      <c r="CY288" s="139"/>
      <c r="CZ288" s="139"/>
      <c r="DA288" s="139"/>
      <c r="DB288" s="139"/>
      <c r="DC288" s="139"/>
      <c r="DD288" s="139"/>
      <c r="DE288" s="139"/>
      <c r="DF288" s="139"/>
      <c r="DG288" s="139"/>
      <c r="DH288" s="139"/>
      <c r="DI288" s="139"/>
      <c r="DJ288" s="139"/>
      <c r="DK288" s="139"/>
      <c r="DL288" s="139"/>
      <c r="DM288" s="139"/>
      <c r="DN288" s="139"/>
      <c r="DO288" s="139"/>
      <c r="DP288" s="139"/>
      <c r="DQ288" s="139"/>
      <c r="DR288" s="139"/>
      <c r="DS288" s="139"/>
      <c r="DT288" s="139"/>
      <c r="DU288" s="139"/>
      <c r="DV288" s="139"/>
      <c r="DW288" s="139"/>
      <c r="DX288" s="139"/>
      <c r="DY288" s="139"/>
      <c r="DZ288" s="139"/>
      <c r="EA288" s="139"/>
      <c r="EB288" s="139"/>
      <c r="EC288" s="139"/>
      <c r="ED288" s="139"/>
      <c r="EE288" s="139"/>
      <c r="EF288" s="139"/>
      <c r="EG288" s="139"/>
      <c r="EH288" s="139"/>
      <c r="EI288" s="139"/>
      <c r="EJ288" s="139"/>
      <c r="EK288" s="139"/>
      <c r="EL288" s="139"/>
      <c r="EM288" s="139"/>
      <c r="EN288" s="139"/>
      <c r="EO288" s="139"/>
      <c r="EP288" s="139"/>
      <c r="EQ288" s="139"/>
      <c r="ER288" s="139"/>
      <c r="ES288" s="139"/>
      <c r="ET288" s="139"/>
      <c r="EU288" s="139"/>
      <c r="EV288" s="139"/>
      <c r="EW288" s="139"/>
      <c r="EX288" s="139"/>
      <c r="EY288" s="139"/>
      <c r="EZ288" s="139"/>
      <c r="FA288" s="139"/>
      <c r="FB288" s="139"/>
      <c r="FC288" s="139"/>
      <c r="FD288" s="139"/>
      <c r="FE288" s="139"/>
      <c r="FF288" s="139"/>
      <c r="FG288" s="139"/>
      <c r="FH288" s="139"/>
      <c r="FI288" s="139"/>
      <c r="FJ288" s="139"/>
      <c r="FK288" s="139"/>
      <c r="FL288" s="139"/>
      <c r="FM288" s="139"/>
      <c r="FN288" s="139"/>
      <c r="FO288" s="139"/>
      <c r="FP288" s="139"/>
      <c r="FQ288" s="139"/>
      <c r="FR288" s="139"/>
      <c r="FS288" s="139"/>
      <c r="FT288" s="139"/>
      <c r="FU288" s="139"/>
      <c r="FV288" s="139"/>
      <c r="FW288" s="139"/>
      <c r="FX288" s="139"/>
      <c r="FY288" s="139"/>
      <c r="FZ288" s="139"/>
      <c r="GA288" s="139"/>
      <c r="GB288" s="139"/>
      <c r="GC288" s="139"/>
      <c r="GD288" s="139"/>
      <c r="GE288" s="139"/>
      <c r="GF288" s="139"/>
      <c r="GG288" s="139"/>
      <c r="GH288" s="139"/>
      <c r="GI288" s="139"/>
      <c r="GJ288" s="139"/>
      <c r="GK288" s="139"/>
      <c r="GL288" s="139"/>
      <c r="GM288" s="139"/>
      <c r="GN288" s="139"/>
      <c r="GO288" s="139"/>
      <c r="GP288" s="139"/>
      <c r="GQ288" s="139"/>
      <c r="GR288" s="139"/>
      <c r="GS288" s="139"/>
      <c r="GT288" s="139"/>
      <c r="GU288" s="139"/>
      <c r="GV288" s="139"/>
      <c r="GW288" s="139"/>
      <c r="GX288" s="139"/>
      <c r="GY288" s="139"/>
      <c r="GZ288" s="139"/>
      <c r="HA288" s="139"/>
      <c r="HB288" s="139"/>
      <c r="HC288" s="139"/>
      <c r="HD288" s="139"/>
      <c r="HE288" s="139"/>
      <c r="HF288" s="139"/>
      <c r="HG288" s="139"/>
      <c r="HH288" s="139"/>
      <c r="HI288" s="139"/>
      <c r="HJ288" s="139"/>
      <c r="HK288" s="139"/>
      <c r="HL288" s="139"/>
      <c r="HM288" s="139"/>
      <c r="HN288" s="139"/>
      <c r="HO288" s="139"/>
      <c r="HP288" s="139"/>
      <c r="HQ288" s="139"/>
      <c r="HR288" s="139"/>
      <c r="HS288" s="139"/>
      <c r="HT288" s="139"/>
      <c r="HU288" s="139"/>
      <c r="HV288" s="139"/>
      <c r="HW288" s="139"/>
      <c r="HX288" s="139"/>
      <c r="HY288" s="139"/>
      <c r="HZ288" s="139"/>
      <c r="IA288" s="139"/>
      <c r="IB288" s="139"/>
      <c r="IC288" s="139"/>
      <c r="ID288" s="139"/>
      <c r="IE288" s="139"/>
      <c r="IF288" s="139"/>
      <c r="IG288" s="139"/>
      <c r="IH288" s="139"/>
      <c r="II288" s="139"/>
      <c r="IJ288" s="139"/>
      <c r="IK288" s="139"/>
      <c r="IL288" s="139"/>
      <c r="IM288" s="139"/>
      <c r="IN288" s="139"/>
      <c r="IO288" s="139"/>
      <c r="IP288" s="139"/>
      <c r="IQ288" s="139"/>
      <c r="IR288" s="139"/>
      <c r="IS288" s="139"/>
      <c r="IT288" s="139"/>
      <c r="IU288" s="139"/>
      <c r="IV288" s="139"/>
      <c r="IW288" s="139"/>
      <c r="IX288" s="139"/>
    </row>
    <row r="289" spans="2:258" x14ac:dyDescent="0.3">
      <c r="B289" s="5" t="s">
        <v>125</v>
      </c>
      <c r="C289" s="1009" t="s">
        <v>229</v>
      </c>
      <c r="D289" s="968">
        <v>1111782</v>
      </c>
      <c r="E289" s="968">
        <v>404746.7</v>
      </c>
      <c r="F289" s="968">
        <v>21348574.100000001</v>
      </c>
      <c r="G289" s="968">
        <v>9123868.5</v>
      </c>
      <c r="H289" s="968">
        <v>50450.5</v>
      </c>
      <c r="I289" s="968">
        <v>1005424.7</v>
      </c>
      <c r="J289" s="968">
        <v>285936.40000000002</v>
      </c>
      <c r="K289" s="968">
        <v>13495202.6</v>
      </c>
      <c r="L289" s="968">
        <v>7065732.0999999996</v>
      </c>
      <c r="M289" s="968">
        <v>5381704.5999999996</v>
      </c>
      <c r="N289" s="968">
        <v>6262490.4000000004</v>
      </c>
      <c r="O289" s="10">
        <v>1974063.1</v>
      </c>
      <c r="P289" s="270">
        <f t="shared" si="41"/>
        <v>44713232.700000003</v>
      </c>
      <c r="Q289" s="968">
        <f t="shared" si="42"/>
        <v>22796743</v>
      </c>
      <c r="R289" s="16">
        <f t="shared" si="31"/>
        <v>67509975.700000003</v>
      </c>
      <c r="S289" s="268">
        <f>(Q289*'Emission &amp; Conversion Factors'!$J$251)+(P289*'Emission &amp; Conversion Factors'!$J$240)</f>
        <v>685688762.85270011</v>
      </c>
      <c r="T289" s="283">
        <f t="shared" si="32"/>
        <v>46451.166907607345</v>
      </c>
      <c r="U289" s="968">
        <f t="shared" si="33"/>
        <v>757759.905379751</v>
      </c>
      <c r="V289" s="16">
        <f t="shared" si="34"/>
        <v>5461041.5355726201</v>
      </c>
      <c r="W289" s="16">
        <f t="shared" si="35"/>
        <v>1512288.4252354945</v>
      </c>
      <c r="X289" s="968">
        <f t="shared" si="36"/>
        <v>1220251.9585033201</v>
      </c>
      <c r="Y289" s="968">
        <f t="shared" si="37"/>
        <v>5007031.8694495708</v>
      </c>
      <c r="Z289" s="968">
        <f t="shared" si="38"/>
        <v>1989321.7132170971</v>
      </c>
      <c r="AA289" s="993">
        <f t="shared" si="39"/>
        <v>17772.620382041074</v>
      </c>
      <c r="AB289" s="507">
        <f t="shared" si="40"/>
        <v>16011919.194647502</v>
      </c>
      <c r="AE289" s="139"/>
      <c r="AF289" s="139"/>
      <c r="AG289" s="139"/>
      <c r="AH289" s="139"/>
      <c r="AI289" s="139"/>
      <c r="AJ289" s="139"/>
      <c r="AK289" s="139"/>
      <c r="AL289" s="139"/>
      <c r="AM289" s="139"/>
      <c r="AN289" s="139"/>
      <c r="AO289" s="139"/>
      <c r="AP289" s="139"/>
      <c r="AQ289" s="139"/>
      <c r="AR289" s="139"/>
      <c r="AS289" s="139"/>
      <c r="AT289" s="139"/>
      <c r="AU289" s="139"/>
      <c r="AV289" s="139"/>
      <c r="AW289" s="139"/>
      <c r="AX289" s="139"/>
      <c r="AY289" s="139"/>
      <c r="AZ289" s="139"/>
      <c r="BA289" s="139"/>
      <c r="BB289" s="139"/>
      <c r="BC289" s="139"/>
      <c r="BD289" s="139"/>
      <c r="BE289" s="139"/>
      <c r="BF289" s="139"/>
      <c r="BG289" s="139"/>
      <c r="BH289" s="139"/>
      <c r="BI289" s="139"/>
      <c r="BJ289" s="139"/>
      <c r="BK289" s="139"/>
      <c r="BL289" s="139"/>
      <c r="BM289" s="139"/>
      <c r="BN289" s="139"/>
      <c r="BO289" s="139"/>
      <c r="BP289" s="139"/>
      <c r="BQ289" s="139"/>
      <c r="BR289" s="139"/>
      <c r="BS289" s="139"/>
      <c r="BT289" s="139"/>
      <c r="BU289" s="139"/>
      <c r="BV289" s="139"/>
      <c r="BW289" s="139"/>
      <c r="BX289" s="139"/>
      <c r="BY289" s="139"/>
      <c r="BZ289" s="139"/>
      <c r="CA289" s="139"/>
      <c r="CB289" s="139"/>
      <c r="CC289" s="139"/>
      <c r="CD289" s="139"/>
      <c r="CE289" s="139"/>
      <c r="CF289" s="139"/>
      <c r="CG289" s="139"/>
      <c r="CH289" s="139"/>
      <c r="CI289" s="139"/>
      <c r="CJ289" s="139"/>
      <c r="CK289" s="139"/>
      <c r="CL289" s="139"/>
      <c r="CM289" s="139"/>
      <c r="CN289" s="139"/>
      <c r="CO289" s="139"/>
      <c r="CP289" s="139"/>
      <c r="CQ289" s="139"/>
      <c r="CR289" s="139"/>
      <c r="CS289" s="139"/>
      <c r="CT289" s="139"/>
      <c r="CU289" s="139"/>
      <c r="CV289" s="139"/>
      <c r="CW289" s="139"/>
      <c r="CX289" s="139"/>
      <c r="CY289" s="139"/>
      <c r="CZ289" s="139"/>
      <c r="DA289" s="139"/>
      <c r="DB289" s="139"/>
      <c r="DC289" s="139"/>
      <c r="DD289" s="139"/>
      <c r="DE289" s="139"/>
      <c r="DF289" s="139"/>
      <c r="DG289" s="139"/>
      <c r="DH289" s="139"/>
      <c r="DI289" s="139"/>
      <c r="DJ289" s="139"/>
      <c r="DK289" s="139"/>
      <c r="DL289" s="139"/>
      <c r="DM289" s="139"/>
      <c r="DN289" s="139"/>
      <c r="DO289" s="139"/>
      <c r="DP289" s="139"/>
      <c r="DQ289" s="139"/>
      <c r="DR289" s="139"/>
      <c r="DS289" s="139"/>
      <c r="DT289" s="139"/>
      <c r="DU289" s="139"/>
      <c r="DV289" s="139"/>
      <c r="DW289" s="139"/>
      <c r="DX289" s="139"/>
      <c r="DY289" s="139"/>
      <c r="DZ289" s="139"/>
      <c r="EA289" s="139"/>
      <c r="EB289" s="139"/>
      <c r="EC289" s="139"/>
      <c r="ED289" s="139"/>
      <c r="EE289" s="139"/>
      <c r="EF289" s="139"/>
      <c r="EG289" s="139"/>
      <c r="EH289" s="139"/>
      <c r="EI289" s="139"/>
      <c r="EJ289" s="139"/>
      <c r="EK289" s="139"/>
      <c r="EL289" s="139"/>
      <c r="EM289" s="139"/>
      <c r="EN289" s="139"/>
      <c r="EO289" s="139"/>
      <c r="EP289" s="139"/>
      <c r="EQ289" s="139"/>
      <c r="ER289" s="139"/>
      <c r="ES289" s="139"/>
      <c r="ET289" s="139"/>
      <c r="EU289" s="139"/>
      <c r="EV289" s="139"/>
      <c r="EW289" s="139"/>
      <c r="EX289" s="139"/>
      <c r="EY289" s="139"/>
      <c r="EZ289" s="139"/>
      <c r="FA289" s="139"/>
      <c r="FB289" s="139"/>
      <c r="FC289" s="139"/>
      <c r="FD289" s="139"/>
      <c r="FE289" s="139"/>
      <c r="FF289" s="139"/>
      <c r="FG289" s="139"/>
      <c r="FH289" s="139"/>
      <c r="FI289" s="139"/>
      <c r="FJ289" s="139"/>
      <c r="FK289" s="139"/>
      <c r="FL289" s="139"/>
      <c r="FM289" s="139"/>
      <c r="FN289" s="139"/>
      <c r="FO289" s="139"/>
      <c r="FP289" s="139"/>
      <c r="FQ289" s="139"/>
      <c r="FR289" s="139"/>
      <c r="FS289" s="139"/>
      <c r="FT289" s="139"/>
      <c r="FU289" s="139"/>
      <c r="FV289" s="139"/>
      <c r="FW289" s="139"/>
      <c r="FX289" s="139"/>
      <c r="FY289" s="139"/>
      <c r="FZ289" s="139"/>
      <c r="GA289" s="139"/>
      <c r="GB289" s="139"/>
      <c r="GC289" s="139"/>
      <c r="GD289" s="139"/>
      <c r="GE289" s="139"/>
      <c r="GF289" s="139"/>
      <c r="GG289" s="139"/>
      <c r="GH289" s="139"/>
      <c r="GI289" s="139"/>
      <c r="GJ289" s="139"/>
      <c r="GK289" s="139"/>
      <c r="GL289" s="139"/>
      <c r="GM289" s="139"/>
      <c r="GN289" s="139"/>
      <c r="GO289" s="139"/>
      <c r="GP289" s="139"/>
      <c r="GQ289" s="139"/>
      <c r="GR289" s="139"/>
      <c r="GS289" s="139"/>
      <c r="GT289" s="139"/>
      <c r="GU289" s="139"/>
      <c r="GV289" s="139"/>
      <c r="GW289" s="139"/>
      <c r="GX289" s="139"/>
      <c r="GY289" s="139"/>
      <c r="GZ289" s="139"/>
      <c r="HA289" s="139"/>
      <c r="HB289" s="139"/>
      <c r="HC289" s="139"/>
      <c r="HD289" s="139"/>
      <c r="HE289" s="139"/>
      <c r="HF289" s="139"/>
      <c r="HG289" s="139"/>
      <c r="HH289" s="139"/>
      <c r="HI289" s="139"/>
      <c r="HJ289" s="139"/>
      <c r="HK289" s="139"/>
      <c r="HL289" s="139"/>
      <c r="HM289" s="139"/>
      <c r="HN289" s="139"/>
      <c r="HO289" s="139"/>
      <c r="HP289" s="139"/>
      <c r="HQ289" s="139"/>
      <c r="HR289" s="139"/>
      <c r="HS289" s="139"/>
      <c r="HT289" s="139"/>
      <c r="HU289" s="139"/>
      <c r="HV289" s="139"/>
      <c r="HW289" s="139"/>
      <c r="HX289" s="139"/>
      <c r="HY289" s="139"/>
      <c r="HZ289" s="139"/>
      <c r="IA289" s="139"/>
      <c r="IB289" s="139"/>
      <c r="IC289" s="139"/>
      <c r="ID289" s="139"/>
      <c r="IE289" s="139"/>
      <c r="IF289" s="139"/>
      <c r="IG289" s="139"/>
      <c r="IH289" s="139"/>
      <c r="II289" s="139"/>
      <c r="IJ289" s="139"/>
      <c r="IK289" s="139"/>
      <c r="IL289" s="139"/>
      <c r="IM289" s="139"/>
      <c r="IN289" s="139"/>
      <c r="IO289" s="139"/>
      <c r="IP289" s="139"/>
      <c r="IQ289" s="139"/>
      <c r="IR289" s="139"/>
      <c r="IS289" s="139"/>
      <c r="IT289" s="139"/>
      <c r="IU289" s="139"/>
      <c r="IV289" s="139"/>
      <c r="IW289" s="139"/>
      <c r="IX289" s="139"/>
    </row>
    <row r="290" spans="2:258" x14ac:dyDescent="0.3">
      <c r="B290" s="5" t="s">
        <v>126</v>
      </c>
      <c r="C290" s="1009" t="s">
        <v>230</v>
      </c>
      <c r="D290" s="968">
        <v>551750</v>
      </c>
      <c r="E290" s="968">
        <v>287846.09999999998</v>
      </c>
      <c r="F290" s="968">
        <v>18704549.699999999</v>
      </c>
      <c r="G290" s="968">
        <v>9050562.6999999993</v>
      </c>
      <c r="H290" s="968">
        <v>36744.300000000003</v>
      </c>
      <c r="I290" s="968">
        <v>780140.9</v>
      </c>
      <c r="J290" s="968">
        <v>210451</v>
      </c>
      <c r="K290" s="968">
        <v>12298594.9</v>
      </c>
      <c r="L290" s="968">
        <v>4275270.7</v>
      </c>
      <c r="M290" s="968">
        <v>2612219.2999999998</v>
      </c>
      <c r="N290" s="968">
        <v>4325352.3</v>
      </c>
      <c r="O290" s="10">
        <v>2173446.2999999998</v>
      </c>
      <c r="P290" s="270">
        <f t="shared" si="41"/>
        <v>35803433.199999996</v>
      </c>
      <c r="Q290" s="968">
        <f t="shared" si="42"/>
        <v>19503495</v>
      </c>
      <c r="R290" s="16">
        <f t="shared" si="31"/>
        <v>55306928.199999996</v>
      </c>
      <c r="S290" s="268">
        <f>(Q290*'Emission &amp; Conversion Factors'!$J$251)+(P290*'Emission &amp; Conversion Factors'!$J$240)</f>
        <v>560827388.41419995</v>
      </c>
      <c r="T290" s="283">
        <f t="shared" si="32"/>
        <v>23023.621858553208</v>
      </c>
      <c r="U290" s="968">
        <f t="shared" si="33"/>
        <v>529543.30274672376</v>
      </c>
      <c r="V290" s="16">
        <f t="shared" si="34"/>
        <v>4487990.569655871</v>
      </c>
      <c r="W290" s="16">
        <f t="shared" si="35"/>
        <v>1095843.6158290324</v>
      </c>
      <c r="X290" s="968">
        <f t="shared" si="36"/>
        <v>837332.77390843513</v>
      </c>
      <c r="Y290" s="968">
        <f t="shared" si="37"/>
        <v>2949447.137037816</v>
      </c>
      <c r="Z290" s="968">
        <f t="shared" si="38"/>
        <v>1538139.5094275547</v>
      </c>
      <c r="AA290" s="993">
        <f t="shared" si="39"/>
        <v>12521.618905528936</v>
      </c>
      <c r="AB290" s="507">
        <f t="shared" si="40"/>
        <v>11473842.149369517</v>
      </c>
      <c r="AE290" s="139"/>
      <c r="AF290" s="139"/>
      <c r="AG290" s="139"/>
      <c r="AH290" s="139"/>
      <c r="AI290" s="139"/>
      <c r="AJ290" s="139"/>
      <c r="AK290" s="139"/>
      <c r="AL290" s="139"/>
      <c r="AM290" s="139"/>
      <c r="AN290" s="139"/>
      <c r="AO290" s="139"/>
      <c r="AP290" s="139"/>
      <c r="AQ290" s="139"/>
      <c r="AR290" s="139"/>
      <c r="AS290" s="139"/>
      <c r="AT290" s="139"/>
      <c r="AU290" s="139"/>
      <c r="AV290" s="139"/>
      <c r="AW290" s="139"/>
      <c r="AX290" s="139"/>
      <c r="AY290" s="139"/>
      <c r="AZ290" s="139"/>
      <c r="BA290" s="139"/>
      <c r="BB290" s="139"/>
      <c r="BC290" s="139"/>
      <c r="BD290" s="139"/>
      <c r="BE290" s="139"/>
      <c r="BF290" s="139"/>
      <c r="BG290" s="139"/>
      <c r="BH290" s="139"/>
      <c r="BI290" s="139"/>
      <c r="BJ290" s="139"/>
      <c r="BK290" s="139"/>
      <c r="BL290" s="139"/>
      <c r="BM290" s="139"/>
      <c r="BN290" s="139"/>
      <c r="BO290" s="139"/>
      <c r="BP290" s="139"/>
      <c r="BQ290" s="139"/>
      <c r="BR290" s="139"/>
      <c r="BS290" s="139"/>
      <c r="BT290" s="139"/>
      <c r="BU290" s="139"/>
      <c r="BV290" s="139"/>
      <c r="BW290" s="139"/>
      <c r="BX290" s="139"/>
      <c r="BY290" s="139"/>
      <c r="BZ290" s="139"/>
      <c r="CA290" s="139"/>
      <c r="CB290" s="139"/>
      <c r="CC290" s="139"/>
      <c r="CD290" s="139"/>
      <c r="CE290" s="139"/>
      <c r="CF290" s="139"/>
      <c r="CG290" s="139"/>
      <c r="CH290" s="139"/>
      <c r="CI290" s="139"/>
      <c r="CJ290" s="139"/>
      <c r="CK290" s="139"/>
      <c r="CL290" s="139"/>
      <c r="CM290" s="139"/>
      <c r="CN290" s="139"/>
      <c r="CO290" s="139"/>
      <c r="CP290" s="139"/>
      <c r="CQ290" s="139"/>
      <c r="CR290" s="139"/>
      <c r="CS290" s="139"/>
      <c r="CT290" s="139"/>
      <c r="CU290" s="139"/>
      <c r="CV290" s="139"/>
      <c r="CW290" s="139"/>
      <c r="CX290" s="139"/>
      <c r="CY290" s="139"/>
      <c r="CZ290" s="139"/>
      <c r="DA290" s="139"/>
      <c r="DB290" s="139"/>
      <c r="DC290" s="139"/>
      <c r="DD290" s="139"/>
      <c r="DE290" s="139"/>
      <c r="DF290" s="139"/>
      <c r="DG290" s="139"/>
      <c r="DH290" s="139"/>
      <c r="DI290" s="139"/>
      <c r="DJ290" s="139"/>
      <c r="DK290" s="139"/>
      <c r="DL290" s="139"/>
      <c r="DM290" s="139"/>
      <c r="DN290" s="139"/>
      <c r="DO290" s="139"/>
      <c r="DP290" s="139"/>
      <c r="DQ290" s="139"/>
      <c r="DR290" s="139"/>
      <c r="DS290" s="139"/>
      <c r="DT290" s="139"/>
      <c r="DU290" s="139"/>
      <c r="DV290" s="139"/>
      <c r="DW290" s="139"/>
      <c r="DX290" s="139"/>
      <c r="DY290" s="139"/>
      <c r="DZ290" s="139"/>
      <c r="EA290" s="139"/>
      <c r="EB290" s="139"/>
      <c r="EC290" s="139"/>
      <c r="ED290" s="139"/>
      <c r="EE290" s="139"/>
      <c r="EF290" s="139"/>
      <c r="EG290" s="139"/>
      <c r="EH290" s="139"/>
      <c r="EI290" s="139"/>
      <c r="EJ290" s="139"/>
      <c r="EK290" s="139"/>
      <c r="EL290" s="139"/>
      <c r="EM290" s="139"/>
      <c r="EN290" s="139"/>
      <c r="EO290" s="139"/>
      <c r="EP290" s="139"/>
      <c r="EQ290" s="139"/>
      <c r="ER290" s="139"/>
      <c r="ES290" s="139"/>
      <c r="ET290" s="139"/>
      <c r="EU290" s="139"/>
      <c r="EV290" s="139"/>
      <c r="EW290" s="139"/>
      <c r="EX290" s="139"/>
      <c r="EY290" s="139"/>
      <c r="EZ290" s="139"/>
      <c r="FA290" s="139"/>
      <c r="FB290" s="139"/>
      <c r="FC290" s="139"/>
      <c r="FD290" s="139"/>
      <c r="FE290" s="139"/>
      <c r="FF290" s="139"/>
      <c r="FG290" s="139"/>
      <c r="FH290" s="139"/>
      <c r="FI290" s="139"/>
      <c r="FJ290" s="139"/>
      <c r="FK290" s="139"/>
      <c r="FL290" s="139"/>
      <c r="FM290" s="139"/>
      <c r="FN290" s="139"/>
      <c r="FO290" s="139"/>
      <c r="FP290" s="139"/>
      <c r="FQ290" s="139"/>
      <c r="FR290" s="139"/>
      <c r="FS290" s="139"/>
      <c r="FT290" s="139"/>
      <c r="FU290" s="139"/>
      <c r="FV290" s="139"/>
      <c r="FW290" s="139"/>
      <c r="FX290" s="139"/>
      <c r="FY290" s="139"/>
      <c r="FZ290" s="139"/>
      <c r="GA290" s="139"/>
      <c r="GB290" s="139"/>
      <c r="GC290" s="139"/>
      <c r="GD290" s="139"/>
      <c r="GE290" s="139"/>
      <c r="GF290" s="139"/>
      <c r="GG290" s="139"/>
      <c r="GH290" s="139"/>
      <c r="GI290" s="139"/>
      <c r="GJ290" s="139"/>
      <c r="GK290" s="139"/>
      <c r="GL290" s="139"/>
      <c r="GM290" s="139"/>
      <c r="GN290" s="139"/>
      <c r="GO290" s="139"/>
      <c r="GP290" s="139"/>
      <c r="GQ290" s="139"/>
      <c r="GR290" s="139"/>
      <c r="GS290" s="139"/>
      <c r="GT290" s="139"/>
      <c r="GU290" s="139"/>
      <c r="GV290" s="139"/>
      <c r="GW290" s="139"/>
      <c r="GX290" s="139"/>
      <c r="GY290" s="139"/>
      <c r="GZ290" s="139"/>
      <c r="HA290" s="139"/>
      <c r="HB290" s="139"/>
      <c r="HC290" s="139"/>
      <c r="HD290" s="139"/>
      <c r="HE290" s="139"/>
      <c r="HF290" s="139"/>
      <c r="HG290" s="139"/>
      <c r="HH290" s="139"/>
      <c r="HI290" s="139"/>
      <c r="HJ290" s="139"/>
      <c r="HK290" s="139"/>
      <c r="HL290" s="139"/>
      <c r="HM290" s="139"/>
      <c r="HN290" s="139"/>
      <c r="HO290" s="139"/>
      <c r="HP290" s="139"/>
      <c r="HQ290" s="139"/>
      <c r="HR290" s="139"/>
      <c r="HS290" s="139"/>
      <c r="HT290" s="139"/>
      <c r="HU290" s="139"/>
      <c r="HV290" s="139"/>
      <c r="HW290" s="139"/>
      <c r="HX290" s="139"/>
      <c r="HY290" s="139"/>
      <c r="HZ290" s="139"/>
      <c r="IA290" s="139"/>
      <c r="IB290" s="139"/>
      <c r="IC290" s="139"/>
      <c r="ID290" s="139"/>
      <c r="IE290" s="139"/>
      <c r="IF290" s="139"/>
      <c r="IG290" s="139"/>
      <c r="IH290" s="139"/>
      <c r="II290" s="139"/>
      <c r="IJ290" s="139"/>
      <c r="IK290" s="139"/>
      <c r="IL290" s="139"/>
      <c r="IM290" s="139"/>
      <c r="IN290" s="139"/>
      <c r="IO290" s="139"/>
      <c r="IP290" s="139"/>
      <c r="IQ290" s="139"/>
      <c r="IR290" s="139"/>
      <c r="IS290" s="139"/>
      <c r="IT290" s="139"/>
      <c r="IU290" s="139"/>
      <c r="IV290" s="139"/>
      <c r="IW290" s="139"/>
      <c r="IX290" s="139"/>
    </row>
    <row r="291" spans="2:258" x14ac:dyDescent="0.3">
      <c r="B291" s="5" t="s">
        <v>127</v>
      </c>
      <c r="C291" s="1009" t="s">
        <v>231</v>
      </c>
      <c r="D291" s="968">
        <v>1466304</v>
      </c>
      <c r="E291" s="968">
        <v>563727.30000000005</v>
      </c>
      <c r="F291" s="968">
        <v>23558887.600000001</v>
      </c>
      <c r="G291" s="968">
        <v>9691246.0999999996</v>
      </c>
      <c r="H291" s="968">
        <v>70777.100000000006</v>
      </c>
      <c r="I291" s="968">
        <v>1523381.5</v>
      </c>
      <c r="J291" s="968">
        <v>280119.7</v>
      </c>
      <c r="K291" s="968">
        <v>12629038.5</v>
      </c>
      <c r="L291" s="968">
        <v>5118857.8</v>
      </c>
      <c r="M291" s="968">
        <v>3815294.9</v>
      </c>
      <c r="N291" s="968">
        <v>10094311.1</v>
      </c>
      <c r="O291" s="10">
        <v>3665711.9</v>
      </c>
      <c r="P291" s="270">
        <f t="shared" si="41"/>
        <v>47101569.099999994</v>
      </c>
      <c r="Q291" s="968">
        <f t="shared" si="42"/>
        <v>25376088.400000002</v>
      </c>
      <c r="R291" s="16">
        <f t="shared" si="31"/>
        <v>72477657.5</v>
      </c>
      <c r="S291" s="268">
        <f>(Q291*'Emission &amp; Conversion Factors'!$J$251)+(P291*'Emission &amp; Conversion Factors'!$J$240)</f>
        <v>735145505.18529999</v>
      </c>
      <c r="T291" s="283">
        <f t="shared" si="32"/>
        <v>69878.711956661486</v>
      </c>
      <c r="U291" s="968">
        <f t="shared" si="33"/>
        <v>1270338.4341254355</v>
      </c>
      <c r="V291" s="16">
        <f t="shared" si="34"/>
        <v>6675638.569408928</v>
      </c>
      <c r="W291" s="16">
        <f t="shared" si="35"/>
        <v>2314883.8047608496</v>
      </c>
      <c r="X291" s="968">
        <f t="shared" si="36"/>
        <v>1475127.4917094088</v>
      </c>
      <c r="Y291" s="968">
        <f t="shared" si="37"/>
        <v>3529076.915406656</v>
      </c>
      <c r="Z291" s="968">
        <f t="shared" si="38"/>
        <v>3944309.955241615</v>
      </c>
      <c r="AA291" s="993">
        <f t="shared" si="39"/>
        <v>46855.090098108281</v>
      </c>
      <c r="AB291" s="507">
        <f t="shared" si="40"/>
        <v>19326108.972707663</v>
      </c>
      <c r="AE291" s="139"/>
      <c r="AF291" s="139"/>
      <c r="AG291" s="139"/>
      <c r="AH291" s="139"/>
      <c r="AI291" s="139"/>
      <c r="AJ291" s="139"/>
      <c r="AK291" s="139"/>
      <c r="AL291" s="139"/>
      <c r="AM291" s="139"/>
      <c r="AN291" s="139"/>
      <c r="AO291" s="139"/>
      <c r="AP291" s="139"/>
      <c r="AQ291" s="139"/>
      <c r="AR291" s="139"/>
      <c r="AS291" s="139"/>
      <c r="AT291" s="139"/>
      <c r="AU291" s="139"/>
      <c r="AV291" s="139"/>
      <c r="AW291" s="139"/>
      <c r="AX291" s="139"/>
      <c r="AY291" s="139"/>
      <c r="AZ291" s="139"/>
      <c r="BA291" s="139"/>
      <c r="BB291" s="139"/>
      <c r="BC291" s="139"/>
      <c r="BD291" s="139"/>
      <c r="BE291" s="139"/>
      <c r="BF291" s="139"/>
      <c r="BG291" s="139"/>
      <c r="BH291" s="139"/>
      <c r="BI291" s="139"/>
      <c r="BJ291" s="139"/>
      <c r="BK291" s="139"/>
      <c r="BL291" s="139"/>
      <c r="BM291" s="139"/>
      <c r="BN291" s="139"/>
      <c r="BO291" s="139"/>
      <c r="BP291" s="139"/>
      <c r="BQ291" s="139"/>
      <c r="BR291" s="139"/>
      <c r="BS291" s="139"/>
      <c r="BT291" s="139"/>
      <c r="BU291" s="139"/>
      <c r="BV291" s="139"/>
      <c r="BW291" s="139"/>
      <c r="BX291" s="139"/>
      <c r="BY291" s="139"/>
      <c r="BZ291" s="139"/>
      <c r="CA291" s="139"/>
      <c r="CB291" s="139"/>
      <c r="CC291" s="139"/>
      <c r="CD291" s="139"/>
      <c r="CE291" s="139"/>
      <c r="CF291" s="139"/>
      <c r="CG291" s="139"/>
      <c r="CH291" s="139"/>
      <c r="CI291" s="139"/>
      <c r="CJ291" s="139"/>
      <c r="CK291" s="139"/>
      <c r="CL291" s="139"/>
      <c r="CM291" s="139"/>
      <c r="CN291" s="139"/>
      <c r="CO291" s="139"/>
      <c r="CP291" s="139"/>
      <c r="CQ291" s="139"/>
      <c r="CR291" s="139"/>
      <c r="CS291" s="139"/>
      <c r="CT291" s="139"/>
      <c r="CU291" s="139"/>
      <c r="CV291" s="139"/>
      <c r="CW291" s="139"/>
      <c r="CX291" s="139"/>
      <c r="CY291" s="139"/>
      <c r="CZ291" s="139"/>
      <c r="DA291" s="139"/>
      <c r="DB291" s="139"/>
      <c r="DC291" s="139"/>
      <c r="DD291" s="139"/>
      <c r="DE291" s="139"/>
      <c r="DF291" s="139"/>
      <c r="DG291" s="139"/>
      <c r="DH291" s="139"/>
      <c r="DI291" s="139"/>
      <c r="DJ291" s="139"/>
      <c r="DK291" s="139"/>
      <c r="DL291" s="139"/>
      <c r="DM291" s="139"/>
      <c r="DN291" s="139"/>
      <c r="DO291" s="139"/>
      <c r="DP291" s="139"/>
      <c r="DQ291" s="139"/>
      <c r="DR291" s="139"/>
      <c r="DS291" s="139"/>
      <c r="DT291" s="139"/>
      <c r="DU291" s="139"/>
      <c r="DV291" s="139"/>
      <c r="DW291" s="139"/>
      <c r="DX291" s="139"/>
      <c r="DY291" s="139"/>
      <c r="DZ291" s="139"/>
      <c r="EA291" s="139"/>
      <c r="EB291" s="139"/>
      <c r="EC291" s="139"/>
      <c r="ED291" s="139"/>
      <c r="EE291" s="139"/>
      <c r="EF291" s="139"/>
      <c r="EG291" s="139"/>
      <c r="EH291" s="139"/>
      <c r="EI291" s="139"/>
      <c r="EJ291" s="139"/>
      <c r="EK291" s="139"/>
      <c r="EL291" s="139"/>
      <c r="EM291" s="139"/>
      <c r="EN291" s="139"/>
      <c r="EO291" s="139"/>
      <c r="EP291" s="139"/>
      <c r="EQ291" s="139"/>
      <c r="ER291" s="139"/>
      <c r="ES291" s="139"/>
      <c r="ET291" s="139"/>
      <c r="EU291" s="139"/>
      <c r="EV291" s="139"/>
      <c r="EW291" s="139"/>
      <c r="EX291" s="139"/>
      <c r="EY291" s="139"/>
      <c r="EZ291" s="139"/>
      <c r="FA291" s="139"/>
      <c r="FB291" s="139"/>
      <c r="FC291" s="139"/>
      <c r="FD291" s="139"/>
      <c r="FE291" s="139"/>
      <c r="FF291" s="139"/>
      <c r="FG291" s="139"/>
      <c r="FH291" s="139"/>
      <c r="FI291" s="139"/>
      <c r="FJ291" s="139"/>
      <c r="FK291" s="139"/>
      <c r="FL291" s="139"/>
      <c r="FM291" s="139"/>
      <c r="FN291" s="139"/>
      <c r="FO291" s="139"/>
      <c r="FP291" s="139"/>
      <c r="FQ291" s="139"/>
      <c r="FR291" s="139"/>
      <c r="FS291" s="139"/>
      <c r="FT291" s="139"/>
      <c r="FU291" s="139"/>
      <c r="FV291" s="139"/>
      <c r="FW291" s="139"/>
      <c r="FX291" s="139"/>
      <c r="FY291" s="139"/>
      <c r="FZ291" s="139"/>
      <c r="GA291" s="139"/>
      <c r="GB291" s="139"/>
      <c r="GC291" s="139"/>
      <c r="GD291" s="139"/>
      <c r="GE291" s="139"/>
      <c r="GF291" s="139"/>
      <c r="GG291" s="139"/>
      <c r="GH291" s="139"/>
      <c r="GI291" s="139"/>
      <c r="GJ291" s="139"/>
      <c r="GK291" s="139"/>
      <c r="GL291" s="139"/>
      <c r="GM291" s="139"/>
      <c r="GN291" s="139"/>
      <c r="GO291" s="139"/>
      <c r="GP291" s="139"/>
      <c r="GQ291" s="139"/>
      <c r="GR291" s="139"/>
      <c r="GS291" s="139"/>
      <c r="GT291" s="139"/>
      <c r="GU291" s="139"/>
      <c r="GV291" s="139"/>
      <c r="GW291" s="139"/>
      <c r="GX291" s="139"/>
      <c r="GY291" s="139"/>
      <c r="GZ291" s="139"/>
      <c r="HA291" s="139"/>
      <c r="HB291" s="139"/>
      <c r="HC291" s="139"/>
      <c r="HD291" s="139"/>
      <c r="HE291" s="139"/>
      <c r="HF291" s="139"/>
      <c r="HG291" s="139"/>
      <c r="HH291" s="139"/>
      <c r="HI291" s="139"/>
      <c r="HJ291" s="139"/>
      <c r="HK291" s="139"/>
      <c r="HL291" s="139"/>
      <c r="HM291" s="139"/>
      <c r="HN291" s="139"/>
      <c r="HO291" s="139"/>
      <c r="HP291" s="139"/>
      <c r="HQ291" s="139"/>
      <c r="HR291" s="139"/>
      <c r="HS291" s="139"/>
      <c r="HT291" s="139"/>
      <c r="HU291" s="139"/>
      <c r="HV291" s="139"/>
      <c r="HW291" s="139"/>
      <c r="HX291" s="139"/>
      <c r="HY291" s="139"/>
      <c r="HZ291" s="139"/>
      <c r="IA291" s="139"/>
      <c r="IB291" s="139"/>
      <c r="IC291" s="139"/>
      <c r="ID291" s="139"/>
      <c r="IE291" s="139"/>
      <c r="IF291" s="139"/>
      <c r="IG291" s="139"/>
      <c r="IH291" s="139"/>
      <c r="II291" s="139"/>
      <c r="IJ291" s="139"/>
      <c r="IK291" s="139"/>
      <c r="IL291" s="139"/>
      <c r="IM291" s="139"/>
      <c r="IN291" s="139"/>
      <c r="IO291" s="139"/>
      <c r="IP291" s="139"/>
      <c r="IQ291" s="139"/>
      <c r="IR291" s="139"/>
      <c r="IS291" s="139"/>
      <c r="IT291" s="139"/>
      <c r="IU291" s="139"/>
      <c r="IV291" s="139"/>
      <c r="IW291" s="139"/>
      <c r="IX291" s="139"/>
    </row>
    <row r="292" spans="2:258" x14ac:dyDescent="0.3">
      <c r="B292" s="5" t="s">
        <v>128</v>
      </c>
      <c r="C292" s="1009" t="s">
        <v>232</v>
      </c>
      <c r="D292" s="968">
        <v>977804</v>
      </c>
      <c r="E292" s="968">
        <v>562732</v>
      </c>
      <c r="F292" s="968">
        <v>30137945.199999999</v>
      </c>
      <c r="G292" s="968">
        <v>14423062.699999999</v>
      </c>
      <c r="H292" s="968">
        <v>62776</v>
      </c>
      <c r="I292" s="968">
        <v>1484631.6</v>
      </c>
      <c r="J292" s="968">
        <v>273374.90000000002</v>
      </c>
      <c r="K292" s="968">
        <v>15733289.5</v>
      </c>
      <c r="L292" s="968">
        <v>4256578.3</v>
      </c>
      <c r="M292" s="968">
        <v>2615137.7000000002</v>
      </c>
      <c r="N292" s="968">
        <v>6991327.7999999998</v>
      </c>
      <c r="O292" s="10">
        <v>4000491.7</v>
      </c>
      <c r="P292" s="270">
        <f t="shared" si="41"/>
        <v>50067251.300000004</v>
      </c>
      <c r="Q292" s="968">
        <f t="shared" si="42"/>
        <v>31451900.099999998</v>
      </c>
      <c r="R292" s="16">
        <f t="shared" si="31"/>
        <v>81519151.400000006</v>
      </c>
      <c r="S292" s="268">
        <f>(Q292*'Emission &amp; Conversion Factors'!$J$251)+(P292*'Emission &amp; Conversion Factors'!$J$240)</f>
        <v>823629478.08260012</v>
      </c>
      <c r="T292" s="283">
        <f t="shared" si="32"/>
        <v>47259.013288609218</v>
      </c>
      <c r="U292" s="968">
        <f t="shared" si="33"/>
        <v>1193593.0279302583</v>
      </c>
      <c r="V292" s="16">
        <f t="shared" si="34"/>
        <v>7932243.6150573306</v>
      </c>
      <c r="W292" s="16">
        <f t="shared" si="35"/>
        <v>2032137.5714101964</v>
      </c>
      <c r="X292" s="968">
        <f t="shared" si="36"/>
        <v>1327695.5271765683</v>
      </c>
      <c r="Y292" s="968">
        <f t="shared" si="37"/>
        <v>3122730.1857627165</v>
      </c>
      <c r="Z292" s="968">
        <f t="shared" si="38"/>
        <v>3247542.451627505</v>
      </c>
      <c r="AA292" s="993">
        <f t="shared" si="39"/>
        <v>35141.317573581204</v>
      </c>
      <c r="AB292" s="507">
        <f t="shared" si="40"/>
        <v>18938342.709826764</v>
      </c>
      <c r="AE292" s="139"/>
      <c r="AF292" s="139"/>
      <c r="AG292" s="139"/>
      <c r="AH292" s="139"/>
      <c r="AI292" s="139"/>
      <c r="AJ292" s="139"/>
      <c r="AK292" s="139"/>
      <c r="AL292" s="139"/>
      <c r="AM292" s="139"/>
      <c r="AN292" s="139"/>
      <c r="AO292" s="139"/>
      <c r="AP292" s="139"/>
      <c r="AQ292" s="139"/>
      <c r="AR292" s="139"/>
      <c r="AS292" s="139"/>
      <c r="AT292" s="139"/>
      <c r="AU292" s="139"/>
      <c r="AV292" s="139"/>
      <c r="AW292" s="139"/>
      <c r="AX292" s="139"/>
      <c r="AY292" s="139"/>
      <c r="AZ292" s="139"/>
      <c r="BA292" s="139"/>
      <c r="BB292" s="139"/>
      <c r="BC292" s="139"/>
      <c r="BD292" s="139"/>
      <c r="BE292" s="139"/>
      <c r="BF292" s="139"/>
      <c r="BG292" s="139"/>
      <c r="BH292" s="139"/>
      <c r="BI292" s="139"/>
      <c r="BJ292" s="139"/>
      <c r="BK292" s="139"/>
      <c r="BL292" s="139"/>
      <c r="BM292" s="139"/>
      <c r="BN292" s="139"/>
      <c r="BO292" s="139"/>
      <c r="BP292" s="139"/>
      <c r="BQ292" s="139"/>
      <c r="BR292" s="139"/>
      <c r="BS292" s="139"/>
      <c r="BT292" s="139"/>
      <c r="BU292" s="139"/>
      <c r="BV292" s="139"/>
      <c r="BW292" s="139"/>
      <c r="BX292" s="139"/>
      <c r="BY292" s="139"/>
      <c r="BZ292" s="139"/>
      <c r="CA292" s="139"/>
      <c r="CB292" s="139"/>
      <c r="CC292" s="139"/>
      <c r="CD292" s="139"/>
      <c r="CE292" s="139"/>
      <c r="CF292" s="139"/>
      <c r="CG292" s="139"/>
      <c r="CH292" s="139"/>
      <c r="CI292" s="139"/>
      <c r="CJ292" s="139"/>
      <c r="CK292" s="139"/>
      <c r="CL292" s="139"/>
      <c r="CM292" s="139"/>
      <c r="CN292" s="139"/>
      <c r="CO292" s="139"/>
      <c r="CP292" s="139"/>
      <c r="CQ292" s="139"/>
      <c r="CR292" s="139"/>
      <c r="CS292" s="139"/>
      <c r="CT292" s="139"/>
      <c r="CU292" s="139"/>
      <c r="CV292" s="139"/>
      <c r="CW292" s="139"/>
      <c r="CX292" s="139"/>
      <c r="CY292" s="139"/>
      <c r="CZ292" s="139"/>
      <c r="DA292" s="139"/>
      <c r="DB292" s="139"/>
      <c r="DC292" s="139"/>
      <c r="DD292" s="139"/>
      <c r="DE292" s="139"/>
      <c r="DF292" s="139"/>
      <c r="DG292" s="139"/>
      <c r="DH292" s="139"/>
      <c r="DI292" s="139"/>
      <c r="DJ292" s="139"/>
      <c r="DK292" s="139"/>
      <c r="DL292" s="139"/>
      <c r="DM292" s="139"/>
      <c r="DN292" s="139"/>
      <c r="DO292" s="139"/>
      <c r="DP292" s="139"/>
      <c r="DQ292" s="139"/>
      <c r="DR292" s="139"/>
      <c r="DS292" s="139"/>
      <c r="DT292" s="139"/>
      <c r="DU292" s="139"/>
      <c r="DV292" s="139"/>
      <c r="DW292" s="139"/>
      <c r="DX292" s="139"/>
      <c r="DY292" s="139"/>
      <c r="DZ292" s="139"/>
      <c r="EA292" s="139"/>
      <c r="EB292" s="139"/>
      <c r="EC292" s="139"/>
      <c r="ED292" s="139"/>
      <c r="EE292" s="139"/>
      <c r="EF292" s="139"/>
      <c r="EG292" s="139"/>
      <c r="EH292" s="139"/>
      <c r="EI292" s="139"/>
      <c r="EJ292" s="139"/>
      <c r="EK292" s="139"/>
      <c r="EL292" s="139"/>
      <c r="EM292" s="139"/>
      <c r="EN292" s="139"/>
      <c r="EO292" s="139"/>
      <c r="EP292" s="139"/>
      <c r="EQ292" s="139"/>
      <c r="ER292" s="139"/>
      <c r="ES292" s="139"/>
      <c r="ET292" s="139"/>
      <c r="EU292" s="139"/>
      <c r="EV292" s="139"/>
      <c r="EW292" s="139"/>
      <c r="EX292" s="139"/>
      <c r="EY292" s="139"/>
      <c r="EZ292" s="139"/>
      <c r="FA292" s="139"/>
      <c r="FB292" s="139"/>
      <c r="FC292" s="139"/>
      <c r="FD292" s="139"/>
      <c r="FE292" s="139"/>
      <c r="FF292" s="139"/>
      <c r="FG292" s="139"/>
      <c r="FH292" s="139"/>
      <c r="FI292" s="139"/>
      <c r="FJ292" s="139"/>
      <c r="FK292" s="139"/>
      <c r="FL292" s="139"/>
      <c r="FM292" s="139"/>
      <c r="FN292" s="139"/>
      <c r="FO292" s="139"/>
      <c r="FP292" s="139"/>
      <c r="FQ292" s="139"/>
      <c r="FR292" s="139"/>
      <c r="FS292" s="139"/>
      <c r="FT292" s="139"/>
      <c r="FU292" s="139"/>
      <c r="FV292" s="139"/>
      <c r="FW292" s="139"/>
      <c r="FX292" s="139"/>
      <c r="FY292" s="139"/>
      <c r="FZ292" s="139"/>
      <c r="GA292" s="139"/>
      <c r="GB292" s="139"/>
      <c r="GC292" s="139"/>
      <c r="GD292" s="139"/>
      <c r="GE292" s="139"/>
      <c r="GF292" s="139"/>
      <c r="GG292" s="139"/>
      <c r="GH292" s="139"/>
      <c r="GI292" s="139"/>
      <c r="GJ292" s="139"/>
      <c r="GK292" s="139"/>
      <c r="GL292" s="139"/>
      <c r="GM292" s="139"/>
      <c r="GN292" s="139"/>
      <c r="GO292" s="139"/>
      <c r="GP292" s="139"/>
      <c r="GQ292" s="139"/>
      <c r="GR292" s="139"/>
      <c r="GS292" s="139"/>
      <c r="GT292" s="139"/>
      <c r="GU292" s="139"/>
      <c r="GV292" s="139"/>
      <c r="GW292" s="139"/>
      <c r="GX292" s="139"/>
      <c r="GY292" s="139"/>
      <c r="GZ292" s="139"/>
      <c r="HA292" s="139"/>
      <c r="HB292" s="139"/>
      <c r="HC292" s="139"/>
      <c r="HD292" s="139"/>
      <c r="HE292" s="139"/>
      <c r="HF292" s="139"/>
      <c r="HG292" s="139"/>
      <c r="HH292" s="139"/>
      <c r="HI292" s="139"/>
      <c r="HJ292" s="139"/>
      <c r="HK292" s="139"/>
      <c r="HL292" s="139"/>
      <c r="HM292" s="139"/>
      <c r="HN292" s="139"/>
      <c r="HO292" s="139"/>
      <c r="HP292" s="139"/>
      <c r="HQ292" s="139"/>
      <c r="HR292" s="139"/>
      <c r="HS292" s="139"/>
      <c r="HT292" s="139"/>
      <c r="HU292" s="139"/>
      <c r="HV292" s="139"/>
      <c r="HW292" s="139"/>
      <c r="HX292" s="139"/>
      <c r="HY292" s="139"/>
      <c r="HZ292" s="139"/>
      <c r="IA292" s="139"/>
      <c r="IB292" s="139"/>
      <c r="IC292" s="139"/>
      <c r="ID292" s="139"/>
      <c r="IE292" s="139"/>
      <c r="IF292" s="139"/>
      <c r="IG292" s="139"/>
      <c r="IH292" s="139"/>
      <c r="II292" s="139"/>
      <c r="IJ292" s="139"/>
      <c r="IK292" s="139"/>
      <c r="IL292" s="139"/>
      <c r="IM292" s="139"/>
      <c r="IN292" s="139"/>
      <c r="IO292" s="139"/>
      <c r="IP292" s="139"/>
      <c r="IQ292" s="139"/>
      <c r="IR292" s="139"/>
      <c r="IS292" s="139"/>
      <c r="IT292" s="139"/>
      <c r="IU292" s="139"/>
      <c r="IV292" s="139"/>
      <c r="IW292" s="139"/>
      <c r="IX292" s="139"/>
    </row>
    <row r="293" spans="2:258" x14ac:dyDescent="0.3">
      <c r="B293" s="5" t="s">
        <v>129</v>
      </c>
      <c r="C293" s="1009" t="s">
        <v>234</v>
      </c>
      <c r="D293" s="968">
        <v>739055.5</v>
      </c>
      <c r="E293" s="968">
        <v>299251.09999999998</v>
      </c>
      <c r="F293" s="968">
        <v>23345012.800000001</v>
      </c>
      <c r="G293" s="968">
        <v>11214843.1</v>
      </c>
      <c r="H293" s="968">
        <v>41220.9</v>
      </c>
      <c r="I293" s="968">
        <v>855786.3</v>
      </c>
      <c r="J293" s="968">
        <v>204577</v>
      </c>
      <c r="K293" s="968">
        <v>11543464.6</v>
      </c>
      <c r="L293" s="968">
        <v>5471281.5999999996</v>
      </c>
      <c r="M293" s="968">
        <v>2645427.1</v>
      </c>
      <c r="N293" s="968">
        <v>3924305</v>
      </c>
      <c r="O293" s="10">
        <v>1990809.8</v>
      </c>
      <c r="P293" s="270">
        <f t="shared" si="41"/>
        <v>37945168.600000001</v>
      </c>
      <c r="Q293" s="968">
        <f t="shared" si="42"/>
        <v>24329866.199999999</v>
      </c>
      <c r="R293" s="16">
        <f t="shared" si="31"/>
        <v>62275034.799999997</v>
      </c>
      <c r="S293" s="268">
        <f>(Q293*'Emission &amp; Conversion Factors'!$J$251)+(P293*'Emission &amp; Conversion Factors'!$J$240)</f>
        <v>628860899.72920012</v>
      </c>
      <c r="T293" s="283">
        <f t="shared" si="32"/>
        <v>33525.624811577472</v>
      </c>
      <c r="U293" s="968">
        <f t="shared" si="33"/>
        <v>602653.40022739279</v>
      </c>
      <c r="V293" s="16">
        <f t="shared" si="34"/>
        <v>6388045.2577722631</v>
      </c>
      <c r="W293" s="16">
        <f t="shared" si="35"/>
        <v>1416962.5522772747</v>
      </c>
      <c r="X293" s="968">
        <f t="shared" si="36"/>
        <v>912462.48734160885</v>
      </c>
      <c r="Y293" s="968">
        <f t="shared" si="37"/>
        <v>3671661.8016534848</v>
      </c>
      <c r="Z293" s="968">
        <f t="shared" si="38"/>
        <v>1446448.9451838429</v>
      </c>
      <c r="AA293" s="993">
        <f t="shared" si="39"/>
        <v>13733.388477031735</v>
      </c>
      <c r="AB293" s="507">
        <f t="shared" si="40"/>
        <v>14485493.457744475</v>
      </c>
      <c r="AE293" s="139"/>
      <c r="AF293" s="139"/>
      <c r="AG293" s="139"/>
      <c r="AH293" s="139"/>
      <c r="AI293" s="139"/>
      <c r="AJ293" s="139"/>
      <c r="AK293" s="139"/>
      <c r="AL293" s="139"/>
      <c r="AM293" s="139"/>
      <c r="AN293" s="139"/>
      <c r="AO293" s="139"/>
      <c r="AP293" s="139"/>
      <c r="AQ293" s="139"/>
      <c r="AR293" s="139"/>
      <c r="AS293" s="139"/>
      <c r="AT293" s="139"/>
      <c r="AU293" s="139"/>
      <c r="AV293" s="139"/>
      <c r="AW293" s="139"/>
      <c r="AX293" s="139"/>
      <c r="AY293" s="139"/>
      <c r="AZ293" s="139"/>
      <c r="BA293" s="139"/>
      <c r="BB293" s="139"/>
      <c r="BC293" s="139"/>
      <c r="BD293" s="139"/>
      <c r="BE293" s="139"/>
      <c r="BF293" s="139"/>
      <c r="BG293" s="139"/>
      <c r="BH293" s="139"/>
      <c r="BI293" s="139"/>
      <c r="BJ293" s="139"/>
      <c r="BK293" s="139"/>
      <c r="BL293" s="139"/>
      <c r="BM293" s="139"/>
      <c r="BN293" s="139"/>
      <c r="BO293" s="139"/>
      <c r="BP293" s="139"/>
      <c r="BQ293" s="139"/>
      <c r="BR293" s="139"/>
      <c r="BS293" s="139"/>
      <c r="BT293" s="139"/>
      <c r="BU293" s="139"/>
      <c r="BV293" s="139"/>
      <c r="BW293" s="139"/>
      <c r="BX293" s="139"/>
      <c r="BY293" s="139"/>
      <c r="BZ293" s="139"/>
      <c r="CA293" s="139"/>
      <c r="CB293" s="139"/>
      <c r="CC293" s="139"/>
      <c r="CD293" s="139"/>
      <c r="CE293" s="139"/>
      <c r="CF293" s="139"/>
      <c r="CG293" s="139"/>
      <c r="CH293" s="139"/>
      <c r="CI293" s="139"/>
      <c r="CJ293" s="139"/>
      <c r="CK293" s="139"/>
      <c r="CL293" s="139"/>
      <c r="CM293" s="139"/>
      <c r="CN293" s="139"/>
      <c r="CO293" s="139"/>
      <c r="CP293" s="139"/>
      <c r="CQ293" s="139"/>
      <c r="CR293" s="139"/>
      <c r="CS293" s="139"/>
      <c r="CT293" s="139"/>
      <c r="CU293" s="139"/>
      <c r="CV293" s="139"/>
      <c r="CW293" s="139"/>
      <c r="CX293" s="139"/>
      <c r="CY293" s="139"/>
      <c r="CZ293" s="139"/>
      <c r="DA293" s="139"/>
      <c r="DB293" s="139"/>
      <c r="DC293" s="139"/>
      <c r="DD293" s="139"/>
      <c r="DE293" s="139"/>
      <c r="DF293" s="139"/>
      <c r="DG293" s="139"/>
      <c r="DH293" s="139"/>
      <c r="DI293" s="139"/>
      <c r="DJ293" s="139"/>
      <c r="DK293" s="139"/>
      <c r="DL293" s="139"/>
      <c r="DM293" s="139"/>
      <c r="DN293" s="139"/>
      <c r="DO293" s="139"/>
      <c r="DP293" s="139"/>
      <c r="DQ293" s="139"/>
      <c r="DR293" s="139"/>
      <c r="DS293" s="139"/>
      <c r="DT293" s="139"/>
      <c r="DU293" s="139"/>
      <c r="DV293" s="139"/>
      <c r="DW293" s="139"/>
      <c r="DX293" s="139"/>
      <c r="DY293" s="139"/>
      <c r="DZ293" s="139"/>
      <c r="EA293" s="139"/>
      <c r="EB293" s="139"/>
      <c r="EC293" s="139"/>
      <c r="ED293" s="139"/>
      <c r="EE293" s="139"/>
      <c r="EF293" s="139"/>
      <c r="EG293" s="139"/>
      <c r="EH293" s="139"/>
      <c r="EI293" s="139"/>
      <c r="EJ293" s="139"/>
      <c r="EK293" s="139"/>
      <c r="EL293" s="139"/>
      <c r="EM293" s="139"/>
      <c r="EN293" s="139"/>
      <c r="EO293" s="139"/>
      <c r="EP293" s="139"/>
      <c r="EQ293" s="139"/>
      <c r="ER293" s="139"/>
      <c r="ES293" s="139"/>
      <c r="ET293" s="139"/>
      <c r="EU293" s="139"/>
      <c r="EV293" s="139"/>
      <c r="EW293" s="139"/>
      <c r="EX293" s="139"/>
      <c r="EY293" s="139"/>
      <c r="EZ293" s="139"/>
      <c r="FA293" s="139"/>
      <c r="FB293" s="139"/>
      <c r="FC293" s="139"/>
      <c r="FD293" s="139"/>
      <c r="FE293" s="139"/>
      <c r="FF293" s="139"/>
      <c r="FG293" s="139"/>
      <c r="FH293" s="139"/>
      <c r="FI293" s="139"/>
      <c r="FJ293" s="139"/>
      <c r="FK293" s="139"/>
      <c r="FL293" s="139"/>
      <c r="FM293" s="139"/>
      <c r="FN293" s="139"/>
      <c r="FO293" s="139"/>
      <c r="FP293" s="139"/>
      <c r="FQ293" s="139"/>
      <c r="FR293" s="139"/>
      <c r="FS293" s="139"/>
      <c r="FT293" s="139"/>
      <c r="FU293" s="139"/>
      <c r="FV293" s="139"/>
      <c r="FW293" s="139"/>
      <c r="FX293" s="139"/>
      <c r="FY293" s="139"/>
      <c r="FZ293" s="139"/>
      <c r="GA293" s="139"/>
      <c r="GB293" s="139"/>
      <c r="GC293" s="139"/>
      <c r="GD293" s="139"/>
      <c r="GE293" s="139"/>
      <c r="GF293" s="139"/>
      <c r="GG293" s="139"/>
      <c r="GH293" s="139"/>
      <c r="GI293" s="139"/>
      <c r="GJ293" s="139"/>
      <c r="GK293" s="139"/>
      <c r="GL293" s="139"/>
      <c r="GM293" s="139"/>
      <c r="GN293" s="139"/>
      <c r="GO293" s="139"/>
      <c r="GP293" s="139"/>
      <c r="GQ293" s="139"/>
      <c r="GR293" s="139"/>
      <c r="GS293" s="139"/>
      <c r="GT293" s="139"/>
      <c r="GU293" s="139"/>
      <c r="GV293" s="139"/>
      <c r="GW293" s="139"/>
      <c r="GX293" s="139"/>
      <c r="GY293" s="139"/>
      <c r="GZ293" s="139"/>
      <c r="HA293" s="139"/>
      <c r="HB293" s="139"/>
      <c r="HC293" s="139"/>
      <c r="HD293" s="139"/>
      <c r="HE293" s="139"/>
      <c r="HF293" s="139"/>
      <c r="HG293" s="139"/>
      <c r="HH293" s="139"/>
      <c r="HI293" s="139"/>
      <c r="HJ293" s="139"/>
      <c r="HK293" s="139"/>
      <c r="HL293" s="139"/>
      <c r="HM293" s="139"/>
      <c r="HN293" s="139"/>
      <c r="HO293" s="139"/>
      <c r="HP293" s="139"/>
      <c r="HQ293" s="139"/>
      <c r="HR293" s="139"/>
      <c r="HS293" s="139"/>
      <c r="HT293" s="139"/>
      <c r="HU293" s="139"/>
      <c r="HV293" s="139"/>
      <c r="HW293" s="139"/>
      <c r="HX293" s="139"/>
      <c r="HY293" s="139"/>
      <c r="HZ293" s="139"/>
      <c r="IA293" s="139"/>
      <c r="IB293" s="139"/>
      <c r="IC293" s="139"/>
      <c r="ID293" s="139"/>
      <c r="IE293" s="139"/>
      <c r="IF293" s="139"/>
      <c r="IG293" s="139"/>
      <c r="IH293" s="139"/>
      <c r="II293" s="139"/>
      <c r="IJ293" s="139"/>
      <c r="IK293" s="139"/>
      <c r="IL293" s="139"/>
      <c r="IM293" s="139"/>
      <c r="IN293" s="139"/>
      <c r="IO293" s="139"/>
      <c r="IP293" s="139"/>
      <c r="IQ293" s="139"/>
      <c r="IR293" s="139"/>
      <c r="IS293" s="139"/>
      <c r="IT293" s="139"/>
      <c r="IU293" s="139"/>
      <c r="IV293" s="139"/>
      <c r="IW293" s="139"/>
      <c r="IX293" s="139"/>
    </row>
    <row r="294" spans="2:258" x14ac:dyDescent="0.3">
      <c r="B294" s="5" t="s">
        <v>130</v>
      </c>
      <c r="C294" s="1009" t="s">
        <v>235</v>
      </c>
      <c r="D294" s="968">
        <v>1793391.5</v>
      </c>
      <c r="E294" s="968">
        <v>1174396.3999999999</v>
      </c>
      <c r="F294" s="968">
        <v>18508309</v>
      </c>
      <c r="G294" s="968">
        <v>7329190</v>
      </c>
      <c r="H294" s="968">
        <v>136236</v>
      </c>
      <c r="I294" s="968">
        <v>2797393.9</v>
      </c>
      <c r="J294" s="968">
        <v>337860.9</v>
      </c>
      <c r="K294" s="968">
        <v>14226447.300000001</v>
      </c>
      <c r="L294" s="968">
        <v>8979745.3000000007</v>
      </c>
      <c r="M294" s="968">
        <v>6879440.5</v>
      </c>
      <c r="N294" s="968">
        <v>5597560.7000000002</v>
      </c>
      <c r="O294" s="10">
        <v>1276631.3</v>
      </c>
      <c r="P294" s="270">
        <f t="shared" si="41"/>
        <v>48260805.399999999</v>
      </c>
      <c r="Q294" s="968">
        <f t="shared" si="42"/>
        <v>20775797.399999999</v>
      </c>
      <c r="R294" s="16">
        <f t="shared" si="31"/>
        <v>69036602.799999997</v>
      </c>
      <c r="S294" s="268">
        <f>(Q294*'Emission &amp; Conversion Factors'!$J$251)+(P294*'Emission &amp; Conversion Factors'!$J$240)</f>
        <v>704004880.56760001</v>
      </c>
      <c r="T294" s="283">
        <f t="shared" si="32"/>
        <v>76341.483004676425</v>
      </c>
      <c r="U294" s="968">
        <f t="shared" si="33"/>
        <v>2042639.5743632203</v>
      </c>
      <c r="V294" s="16">
        <f t="shared" si="34"/>
        <v>5150424.6020774012</v>
      </c>
      <c r="W294" s="16">
        <f t="shared" si="35"/>
        <v>4290876.052691415</v>
      </c>
      <c r="X294" s="968">
        <f t="shared" si="36"/>
        <v>1615288.8388132327</v>
      </c>
      <c r="Y294" s="968">
        <f t="shared" si="37"/>
        <v>6049557.6241324805</v>
      </c>
      <c r="Z294" s="968">
        <f t="shared" si="38"/>
        <v>1633061.4591952742</v>
      </c>
      <c r="AA294" s="993">
        <f t="shared" si="39"/>
        <v>20196.159525046671</v>
      </c>
      <c r="AB294" s="507">
        <f t="shared" si="40"/>
        <v>20878385.793802746</v>
      </c>
      <c r="AE294" s="139"/>
      <c r="AF294" s="139"/>
      <c r="AG294" s="139"/>
      <c r="AH294" s="139"/>
      <c r="AI294" s="139"/>
      <c r="AJ294" s="139"/>
      <c r="AK294" s="139"/>
      <c r="AL294" s="139"/>
      <c r="AM294" s="139"/>
      <c r="AN294" s="139"/>
      <c r="AO294" s="139"/>
      <c r="AP294" s="139"/>
      <c r="AQ294" s="139"/>
      <c r="AR294" s="139"/>
      <c r="AS294" s="139"/>
      <c r="AT294" s="139"/>
      <c r="AU294" s="139"/>
      <c r="AV294" s="139"/>
      <c r="AW294" s="139"/>
      <c r="AX294" s="139"/>
      <c r="AY294" s="139"/>
      <c r="AZ294" s="139"/>
      <c r="BA294" s="139"/>
      <c r="BB294" s="139"/>
      <c r="BC294" s="139"/>
      <c r="BD294" s="139"/>
      <c r="BE294" s="139"/>
      <c r="BF294" s="139"/>
      <c r="BG294" s="139"/>
      <c r="BH294" s="139"/>
      <c r="BI294" s="139"/>
      <c r="BJ294" s="139"/>
      <c r="BK294" s="139"/>
      <c r="BL294" s="139"/>
      <c r="BM294" s="139"/>
      <c r="BN294" s="139"/>
      <c r="BO294" s="139"/>
      <c r="BP294" s="139"/>
      <c r="BQ294" s="139"/>
      <c r="BR294" s="139"/>
      <c r="BS294" s="139"/>
      <c r="BT294" s="139"/>
      <c r="BU294" s="139"/>
      <c r="BV294" s="139"/>
      <c r="BW294" s="139"/>
      <c r="BX294" s="139"/>
      <c r="BY294" s="139"/>
      <c r="BZ294" s="139"/>
      <c r="CA294" s="139"/>
      <c r="CB294" s="139"/>
      <c r="CC294" s="139"/>
      <c r="CD294" s="139"/>
      <c r="CE294" s="139"/>
      <c r="CF294" s="139"/>
      <c r="CG294" s="139"/>
      <c r="CH294" s="139"/>
      <c r="CI294" s="139"/>
      <c r="CJ294" s="139"/>
      <c r="CK294" s="139"/>
      <c r="CL294" s="139"/>
      <c r="CM294" s="139"/>
      <c r="CN294" s="139"/>
      <c r="CO294" s="139"/>
      <c r="CP294" s="139"/>
      <c r="CQ294" s="139"/>
      <c r="CR294" s="139"/>
      <c r="CS294" s="139"/>
      <c r="CT294" s="139"/>
      <c r="CU294" s="139"/>
      <c r="CV294" s="139"/>
      <c r="CW294" s="139"/>
      <c r="CX294" s="139"/>
      <c r="CY294" s="139"/>
      <c r="CZ294" s="139"/>
      <c r="DA294" s="139"/>
      <c r="DB294" s="139"/>
      <c r="DC294" s="139"/>
      <c r="DD294" s="139"/>
      <c r="DE294" s="139"/>
      <c r="DF294" s="139"/>
      <c r="DG294" s="139"/>
      <c r="DH294" s="139"/>
      <c r="DI294" s="139"/>
      <c r="DJ294" s="139"/>
      <c r="DK294" s="139"/>
      <c r="DL294" s="139"/>
      <c r="DM294" s="139"/>
      <c r="DN294" s="139"/>
      <c r="DO294" s="139"/>
      <c r="DP294" s="139"/>
      <c r="DQ294" s="139"/>
      <c r="DR294" s="139"/>
      <c r="DS294" s="139"/>
      <c r="DT294" s="139"/>
      <c r="DU294" s="139"/>
      <c r="DV294" s="139"/>
      <c r="DW294" s="139"/>
      <c r="DX294" s="139"/>
      <c r="DY294" s="139"/>
      <c r="DZ294" s="139"/>
      <c r="EA294" s="139"/>
      <c r="EB294" s="139"/>
      <c r="EC294" s="139"/>
      <c r="ED294" s="139"/>
      <c r="EE294" s="139"/>
      <c r="EF294" s="139"/>
      <c r="EG294" s="139"/>
      <c r="EH294" s="139"/>
      <c r="EI294" s="139"/>
      <c r="EJ294" s="139"/>
      <c r="EK294" s="139"/>
      <c r="EL294" s="139"/>
      <c r="EM294" s="139"/>
      <c r="EN294" s="139"/>
      <c r="EO294" s="139"/>
      <c r="EP294" s="139"/>
      <c r="EQ294" s="139"/>
      <c r="ER294" s="139"/>
      <c r="ES294" s="139"/>
      <c r="ET294" s="139"/>
      <c r="EU294" s="139"/>
      <c r="EV294" s="139"/>
      <c r="EW294" s="139"/>
      <c r="EX294" s="139"/>
      <c r="EY294" s="139"/>
      <c r="EZ294" s="139"/>
      <c r="FA294" s="139"/>
      <c r="FB294" s="139"/>
      <c r="FC294" s="139"/>
      <c r="FD294" s="139"/>
      <c r="FE294" s="139"/>
      <c r="FF294" s="139"/>
      <c r="FG294" s="139"/>
      <c r="FH294" s="139"/>
      <c r="FI294" s="139"/>
      <c r="FJ294" s="139"/>
      <c r="FK294" s="139"/>
      <c r="FL294" s="139"/>
      <c r="FM294" s="139"/>
      <c r="FN294" s="139"/>
      <c r="FO294" s="139"/>
      <c r="FP294" s="139"/>
      <c r="FQ294" s="139"/>
      <c r="FR294" s="139"/>
      <c r="FS294" s="139"/>
      <c r="FT294" s="139"/>
      <c r="FU294" s="139"/>
      <c r="FV294" s="139"/>
      <c r="FW294" s="139"/>
      <c r="FX294" s="139"/>
      <c r="FY294" s="139"/>
      <c r="FZ294" s="139"/>
      <c r="GA294" s="139"/>
      <c r="GB294" s="139"/>
      <c r="GC294" s="139"/>
      <c r="GD294" s="139"/>
      <c r="GE294" s="139"/>
      <c r="GF294" s="139"/>
      <c r="GG294" s="139"/>
      <c r="GH294" s="139"/>
      <c r="GI294" s="139"/>
      <c r="GJ294" s="139"/>
      <c r="GK294" s="139"/>
      <c r="GL294" s="139"/>
      <c r="GM294" s="139"/>
      <c r="GN294" s="139"/>
      <c r="GO294" s="139"/>
      <c r="GP294" s="139"/>
      <c r="GQ294" s="139"/>
      <c r="GR294" s="139"/>
      <c r="GS294" s="139"/>
      <c r="GT294" s="139"/>
      <c r="GU294" s="139"/>
      <c r="GV294" s="139"/>
      <c r="GW294" s="139"/>
      <c r="GX294" s="139"/>
      <c r="GY294" s="139"/>
      <c r="GZ294" s="139"/>
      <c r="HA294" s="139"/>
      <c r="HB294" s="139"/>
      <c r="HC294" s="139"/>
      <c r="HD294" s="139"/>
      <c r="HE294" s="139"/>
      <c r="HF294" s="139"/>
      <c r="HG294" s="139"/>
      <c r="HH294" s="139"/>
      <c r="HI294" s="139"/>
      <c r="HJ294" s="139"/>
      <c r="HK294" s="139"/>
      <c r="HL294" s="139"/>
      <c r="HM294" s="139"/>
      <c r="HN294" s="139"/>
      <c r="HO294" s="139"/>
      <c r="HP294" s="139"/>
      <c r="HQ294" s="139"/>
      <c r="HR294" s="139"/>
      <c r="HS294" s="139"/>
      <c r="HT294" s="139"/>
      <c r="HU294" s="139"/>
      <c r="HV294" s="139"/>
      <c r="HW294" s="139"/>
      <c r="HX294" s="139"/>
      <c r="HY294" s="139"/>
      <c r="HZ294" s="139"/>
      <c r="IA294" s="139"/>
      <c r="IB294" s="139"/>
      <c r="IC294" s="139"/>
      <c r="ID294" s="139"/>
      <c r="IE294" s="139"/>
      <c r="IF294" s="139"/>
      <c r="IG294" s="139"/>
      <c r="IH294" s="139"/>
      <c r="II294" s="139"/>
      <c r="IJ294" s="139"/>
      <c r="IK294" s="139"/>
      <c r="IL294" s="139"/>
      <c r="IM294" s="139"/>
      <c r="IN294" s="139"/>
      <c r="IO294" s="139"/>
      <c r="IP294" s="139"/>
      <c r="IQ294" s="139"/>
      <c r="IR294" s="139"/>
      <c r="IS294" s="139"/>
      <c r="IT294" s="139"/>
      <c r="IU294" s="139"/>
      <c r="IV294" s="139"/>
      <c r="IW294" s="139"/>
      <c r="IX294" s="139"/>
    </row>
    <row r="295" spans="2:258" x14ac:dyDescent="0.3">
      <c r="B295" s="5" t="s">
        <v>131</v>
      </c>
      <c r="C295" s="1009" t="s">
        <v>236</v>
      </c>
      <c r="D295" s="968">
        <v>647315.1</v>
      </c>
      <c r="E295" s="968">
        <v>260232.5</v>
      </c>
      <c r="F295" s="968">
        <v>21007502.5</v>
      </c>
      <c r="G295" s="968">
        <v>10289538.800000001</v>
      </c>
      <c r="H295" s="968">
        <v>24374.799999999999</v>
      </c>
      <c r="I295" s="968">
        <v>508394.4</v>
      </c>
      <c r="J295" s="968">
        <v>197745.8</v>
      </c>
      <c r="K295" s="968">
        <v>11564363.6</v>
      </c>
      <c r="L295" s="968">
        <v>4364858.3</v>
      </c>
      <c r="M295" s="968">
        <v>2656235.5</v>
      </c>
      <c r="N295" s="968">
        <v>3065576.1</v>
      </c>
      <c r="O295" s="10">
        <v>1156722</v>
      </c>
      <c r="P295" s="270">
        <f t="shared" si="41"/>
        <v>33865921.200000003</v>
      </c>
      <c r="Q295" s="968">
        <f t="shared" si="42"/>
        <v>21876938.200000003</v>
      </c>
      <c r="R295" s="16">
        <f t="shared" si="31"/>
        <v>55742859.399999999</v>
      </c>
      <c r="S295" s="268">
        <f>(Q295*'Emission &amp; Conversion Factors'!$J$251)+(P295*'Emission &amp; Conversion Factors'!$J$240)</f>
        <v>562788404.81580007</v>
      </c>
      <c r="T295" s="283">
        <f t="shared" si="32"/>
        <v>29082.469716067208</v>
      </c>
      <c r="U295" s="968">
        <f t="shared" si="33"/>
        <v>532774.68827073125</v>
      </c>
      <c r="V295" s="16">
        <f t="shared" si="34"/>
        <v>5608877.4232959617</v>
      </c>
      <c r="W295" s="16">
        <f t="shared" si="35"/>
        <v>838948.46667043876</v>
      </c>
      <c r="X295" s="968">
        <f t="shared" si="36"/>
        <v>866819.16681500326</v>
      </c>
      <c r="Y295" s="968">
        <f t="shared" si="37"/>
        <v>3214016.8268159274</v>
      </c>
      <c r="Z295" s="968">
        <f t="shared" si="38"/>
        <v>1137851.6276411293</v>
      </c>
      <c r="AA295" s="993">
        <f t="shared" si="39"/>
        <v>7270.6174290168028</v>
      </c>
      <c r="AB295" s="507">
        <f t="shared" si="40"/>
        <v>12235641.286654277</v>
      </c>
      <c r="AE295" s="139"/>
      <c r="AF295" s="139"/>
      <c r="AG295" s="139"/>
      <c r="AH295" s="139"/>
      <c r="AI295" s="139"/>
      <c r="AJ295" s="139"/>
      <c r="AK295" s="139"/>
      <c r="AL295" s="139"/>
      <c r="AM295" s="139"/>
      <c r="AN295" s="139"/>
      <c r="AO295" s="139"/>
      <c r="AP295" s="139"/>
      <c r="AQ295" s="139"/>
      <c r="AR295" s="139"/>
      <c r="AS295" s="139"/>
      <c r="AT295" s="139"/>
      <c r="AU295" s="139"/>
      <c r="AV295" s="139"/>
      <c r="AW295" s="139"/>
      <c r="AX295" s="139"/>
      <c r="AY295" s="139"/>
      <c r="AZ295" s="139"/>
      <c r="BA295" s="139"/>
      <c r="BB295" s="139"/>
      <c r="BC295" s="139"/>
      <c r="BD295" s="139"/>
      <c r="BE295" s="139"/>
      <c r="BF295" s="139"/>
      <c r="BG295" s="139"/>
      <c r="BH295" s="139"/>
      <c r="BI295" s="139"/>
      <c r="BJ295" s="139"/>
      <c r="BK295" s="139"/>
      <c r="BL295" s="139"/>
      <c r="BM295" s="139"/>
      <c r="BN295" s="139"/>
      <c r="BO295" s="139"/>
      <c r="BP295" s="139"/>
      <c r="BQ295" s="139"/>
      <c r="BR295" s="139"/>
      <c r="BS295" s="139"/>
      <c r="BT295" s="139"/>
      <c r="BU295" s="139"/>
      <c r="BV295" s="139"/>
      <c r="BW295" s="139"/>
      <c r="BX295" s="139"/>
      <c r="BY295" s="139"/>
      <c r="BZ295" s="139"/>
      <c r="CA295" s="139"/>
      <c r="CB295" s="139"/>
      <c r="CC295" s="139"/>
      <c r="CD295" s="139"/>
      <c r="CE295" s="139"/>
      <c r="CF295" s="139"/>
      <c r="CG295" s="139"/>
      <c r="CH295" s="139"/>
      <c r="CI295" s="139"/>
      <c r="CJ295" s="139"/>
      <c r="CK295" s="139"/>
      <c r="CL295" s="139"/>
      <c r="CM295" s="139"/>
      <c r="CN295" s="139"/>
      <c r="CO295" s="139"/>
      <c r="CP295" s="139"/>
      <c r="CQ295" s="139"/>
      <c r="CR295" s="139"/>
      <c r="CS295" s="139"/>
      <c r="CT295" s="139"/>
      <c r="CU295" s="139"/>
      <c r="CV295" s="139"/>
      <c r="CW295" s="139"/>
      <c r="CX295" s="139"/>
      <c r="CY295" s="139"/>
      <c r="CZ295" s="139"/>
      <c r="DA295" s="139"/>
      <c r="DB295" s="139"/>
      <c r="DC295" s="139"/>
      <c r="DD295" s="139"/>
      <c r="DE295" s="139"/>
      <c r="DF295" s="139"/>
      <c r="DG295" s="139"/>
      <c r="DH295" s="139"/>
      <c r="DI295" s="139"/>
      <c r="DJ295" s="139"/>
      <c r="DK295" s="139"/>
      <c r="DL295" s="139"/>
      <c r="DM295" s="139"/>
      <c r="DN295" s="139"/>
      <c r="DO295" s="139"/>
      <c r="DP295" s="139"/>
      <c r="DQ295" s="139"/>
      <c r="DR295" s="139"/>
      <c r="DS295" s="139"/>
      <c r="DT295" s="139"/>
      <c r="DU295" s="139"/>
      <c r="DV295" s="139"/>
      <c r="DW295" s="139"/>
      <c r="DX295" s="139"/>
      <c r="DY295" s="139"/>
      <c r="DZ295" s="139"/>
      <c r="EA295" s="139"/>
      <c r="EB295" s="139"/>
      <c r="EC295" s="139"/>
      <c r="ED295" s="139"/>
      <c r="EE295" s="139"/>
      <c r="EF295" s="139"/>
      <c r="EG295" s="139"/>
      <c r="EH295" s="139"/>
      <c r="EI295" s="139"/>
      <c r="EJ295" s="139"/>
      <c r="EK295" s="139"/>
      <c r="EL295" s="139"/>
      <c r="EM295" s="139"/>
      <c r="EN295" s="139"/>
      <c r="EO295" s="139"/>
      <c r="EP295" s="139"/>
      <c r="EQ295" s="139"/>
      <c r="ER295" s="139"/>
      <c r="ES295" s="139"/>
      <c r="ET295" s="139"/>
      <c r="EU295" s="139"/>
      <c r="EV295" s="139"/>
      <c r="EW295" s="139"/>
      <c r="EX295" s="139"/>
      <c r="EY295" s="139"/>
      <c r="EZ295" s="139"/>
      <c r="FA295" s="139"/>
      <c r="FB295" s="139"/>
      <c r="FC295" s="139"/>
      <c r="FD295" s="139"/>
      <c r="FE295" s="139"/>
      <c r="FF295" s="139"/>
      <c r="FG295" s="139"/>
      <c r="FH295" s="139"/>
      <c r="FI295" s="139"/>
      <c r="FJ295" s="139"/>
      <c r="FK295" s="139"/>
      <c r="FL295" s="139"/>
      <c r="FM295" s="139"/>
      <c r="FN295" s="139"/>
      <c r="FO295" s="139"/>
      <c r="FP295" s="139"/>
      <c r="FQ295" s="139"/>
      <c r="FR295" s="139"/>
      <c r="FS295" s="139"/>
      <c r="FT295" s="139"/>
      <c r="FU295" s="139"/>
      <c r="FV295" s="139"/>
      <c r="FW295" s="139"/>
      <c r="FX295" s="139"/>
      <c r="FY295" s="139"/>
      <c r="FZ295" s="139"/>
      <c r="GA295" s="139"/>
      <c r="GB295" s="139"/>
      <c r="GC295" s="139"/>
      <c r="GD295" s="139"/>
      <c r="GE295" s="139"/>
      <c r="GF295" s="139"/>
      <c r="GG295" s="139"/>
      <c r="GH295" s="139"/>
      <c r="GI295" s="139"/>
      <c r="GJ295" s="139"/>
      <c r="GK295" s="139"/>
      <c r="GL295" s="139"/>
      <c r="GM295" s="139"/>
      <c r="GN295" s="139"/>
      <c r="GO295" s="139"/>
      <c r="GP295" s="139"/>
      <c r="GQ295" s="139"/>
      <c r="GR295" s="139"/>
      <c r="GS295" s="139"/>
      <c r="GT295" s="139"/>
      <c r="GU295" s="139"/>
      <c r="GV295" s="139"/>
      <c r="GW295" s="139"/>
      <c r="GX295" s="139"/>
      <c r="GY295" s="139"/>
      <c r="GZ295" s="139"/>
      <c r="HA295" s="139"/>
      <c r="HB295" s="139"/>
      <c r="HC295" s="139"/>
      <c r="HD295" s="139"/>
      <c r="HE295" s="139"/>
      <c r="HF295" s="139"/>
      <c r="HG295" s="139"/>
      <c r="HH295" s="139"/>
      <c r="HI295" s="139"/>
      <c r="HJ295" s="139"/>
      <c r="HK295" s="139"/>
      <c r="HL295" s="139"/>
      <c r="HM295" s="139"/>
      <c r="HN295" s="139"/>
      <c r="HO295" s="139"/>
      <c r="HP295" s="139"/>
      <c r="HQ295" s="139"/>
      <c r="HR295" s="139"/>
      <c r="HS295" s="139"/>
      <c r="HT295" s="139"/>
      <c r="HU295" s="139"/>
      <c r="HV295" s="139"/>
      <c r="HW295" s="139"/>
      <c r="HX295" s="139"/>
      <c r="HY295" s="139"/>
      <c r="HZ295" s="139"/>
      <c r="IA295" s="139"/>
      <c r="IB295" s="139"/>
      <c r="IC295" s="139"/>
      <c r="ID295" s="139"/>
      <c r="IE295" s="139"/>
      <c r="IF295" s="139"/>
      <c r="IG295" s="139"/>
      <c r="IH295" s="139"/>
      <c r="II295" s="139"/>
      <c r="IJ295" s="139"/>
      <c r="IK295" s="139"/>
      <c r="IL295" s="139"/>
      <c r="IM295" s="139"/>
      <c r="IN295" s="139"/>
      <c r="IO295" s="139"/>
      <c r="IP295" s="139"/>
      <c r="IQ295" s="139"/>
      <c r="IR295" s="139"/>
      <c r="IS295" s="139"/>
      <c r="IT295" s="139"/>
      <c r="IU295" s="139"/>
      <c r="IV295" s="139"/>
      <c r="IW295" s="139"/>
      <c r="IX295" s="139"/>
    </row>
    <row r="296" spans="2:258" x14ac:dyDescent="0.3">
      <c r="B296" s="5" t="s">
        <v>132</v>
      </c>
      <c r="C296" s="1009" t="s">
        <v>237</v>
      </c>
      <c r="D296" s="968">
        <v>1661330.1</v>
      </c>
      <c r="E296" s="968">
        <v>1333997.3999999999</v>
      </c>
      <c r="F296" s="968">
        <v>21053393.699999999</v>
      </c>
      <c r="G296" s="968">
        <v>7993541.2000000002</v>
      </c>
      <c r="H296" s="968">
        <v>130648.4</v>
      </c>
      <c r="I296" s="968">
        <v>2575123.4</v>
      </c>
      <c r="J296" s="968">
        <v>375854</v>
      </c>
      <c r="K296" s="968">
        <v>15382386.1</v>
      </c>
      <c r="L296" s="968">
        <v>4789550.9000000004</v>
      </c>
      <c r="M296" s="968">
        <v>4895375.7</v>
      </c>
      <c r="N296" s="968">
        <v>11154985.5</v>
      </c>
      <c r="O296" s="10">
        <v>2842576.8</v>
      </c>
      <c r="P296" s="270">
        <f t="shared" si="41"/>
        <v>50967537</v>
      </c>
      <c r="Q296" s="968">
        <f t="shared" si="42"/>
        <v>23221226.199999999</v>
      </c>
      <c r="R296" s="16">
        <f t="shared" si="31"/>
        <v>74188763.200000003</v>
      </c>
      <c r="S296" s="268">
        <f>(Q296*'Emission &amp; Conversion Factors'!$J$251)+(P296*'Emission &amp; Conversion Factors'!$J$240)</f>
        <v>755552746.62960005</v>
      </c>
      <c r="T296" s="283">
        <f t="shared" si="32"/>
        <v>74321.867052171758</v>
      </c>
      <c r="U296" s="968">
        <f t="shared" si="33"/>
        <v>2624692.8918750654</v>
      </c>
      <c r="V296" s="16">
        <f t="shared" si="34"/>
        <v>5909800.2002191562</v>
      </c>
      <c r="W296" s="16">
        <f t="shared" si="35"/>
        <v>4058216.2949628788</v>
      </c>
      <c r="X296" s="968">
        <f t="shared" si="36"/>
        <v>1827752.4370167237</v>
      </c>
      <c r="Y296" s="968">
        <f t="shared" si="37"/>
        <v>3466468.8208790109</v>
      </c>
      <c r="Z296" s="968">
        <f t="shared" si="38"/>
        <v>3744367.9759436534</v>
      </c>
      <c r="AA296" s="993">
        <f t="shared" si="39"/>
        <v>43623.704574100811</v>
      </c>
      <c r="AB296" s="507">
        <f t="shared" si="40"/>
        <v>21749244.192522764</v>
      </c>
      <c r="AE296" s="139"/>
      <c r="AF296" s="139"/>
      <c r="AG296" s="139"/>
      <c r="AH296" s="139"/>
      <c r="AI296" s="139"/>
      <c r="AJ296" s="139"/>
      <c r="AK296" s="139"/>
      <c r="AL296" s="139"/>
      <c r="AM296" s="139"/>
      <c r="AN296" s="139"/>
      <c r="AO296" s="139"/>
      <c r="AP296" s="139"/>
      <c r="AQ296" s="139"/>
      <c r="AR296" s="139"/>
      <c r="AS296" s="139"/>
      <c r="AT296" s="139"/>
      <c r="AU296" s="139"/>
      <c r="AV296" s="139"/>
      <c r="AW296" s="139"/>
      <c r="AX296" s="139"/>
      <c r="AY296" s="139"/>
      <c r="AZ296" s="139"/>
      <c r="BA296" s="139"/>
      <c r="BB296" s="139"/>
      <c r="BC296" s="139"/>
      <c r="BD296" s="139"/>
      <c r="BE296" s="139"/>
      <c r="BF296" s="139"/>
      <c r="BG296" s="139"/>
      <c r="BH296" s="139"/>
      <c r="BI296" s="139"/>
      <c r="BJ296" s="139"/>
      <c r="BK296" s="139"/>
      <c r="BL296" s="139"/>
      <c r="BM296" s="139"/>
      <c r="BN296" s="139"/>
      <c r="BO296" s="139"/>
      <c r="BP296" s="139"/>
      <c r="BQ296" s="139"/>
      <c r="BR296" s="139"/>
      <c r="BS296" s="139"/>
      <c r="BT296" s="139"/>
      <c r="BU296" s="139"/>
      <c r="BV296" s="139"/>
      <c r="BW296" s="139"/>
      <c r="BX296" s="139"/>
      <c r="BY296" s="139"/>
      <c r="BZ296" s="139"/>
      <c r="CA296" s="139"/>
      <c r="CB296" s="139"/>
      <c r="CC296" s="139"/>
      <c r="CD296" s="139"/>
      <c r="CE296" s="139"/>
      <c r="CF296" s="139"/>
      <c r="CG296" s="139"/>
      <c r="CH296" s="139"/>
      <c r="CI296" s="139"/>
      <c r="CJ296" s="139"/>
      <c r="CK296" s="139"/>
      <c r="CL296" s="139"/>
      <c r="CM296" s="139"/>
      <c r="CN296" s="139"/>
      <c r="CO296" s="139"/>
      <c r="CP296" s="139"/>
      <c r="CQ296" s="139"/>
      <c r="CR296" s="139"/>
      <c r="CS296" s="139"/>
      <c r="CT296" s="139"/>
      <c r="CU296" s="139"/>
      <c r="CV296" s="139"/>
      <c r="CW296" s="139"/>
      <c r="CX296" s="139"/>
      <c r="CY296" s="139"/>
      <c r="CZ296" s="139"/>
      <c r="DA296" s="139"/>
      <c r="DB296" s="139"/>
      <c r="DC296" s="139"/>
      <c r="DD296" s="139"/>
      <c r="DE296" s="139"/>
      <c r="DF296" s="139"/>
      <c r="DG296" s="139"/>
      <c r="DH296" s="139"/>
      <c r="DI296" s="139"/>
      <c r="DJ296" s="139"/>
      <c r="DK296" s="139"/>
      <c r="DL296" s="139"/>
      <c r="DM296" s="139"/>
      <c r="DN296" s="139"/>
      <c r="DO296" s="139"/>
      <c r="DP296" s="139"/>
      <c r="DQ296" s="139"/>
      <c r="DR296" s="139"/>
      <c r="DS296" s="139"/>
      <c r="DT296" s="139"/>
      <c r="DU296" s="139"/>
      <c r="DV296" s="139"/>
      <c r="DW296" s="139"/>
      <c r="DX296" s="139"/>
      <c r="DY296" s="139"/>
      <c r="DZ296" s="139"/>
      <c r="EA296" s="139"/>
      <c r="EB296" s="139"/>
      <c r="EC296" s="139"/>
      <c r="ED296" s="139"/>
      <c r="EE296" s="139"/>
      <c r="EF296" s="139"/>
      <c r="EG296" s="139"/>
      <c r="EH296" s="139"/>
      <c r="EI296" s="139"/>
      <c r="EJ296" s="139"/>
      <c r="EK296" s="139"/>
      <c r="EL296" s="139"/>
      <c r="EM296" s="139"/>
      <c r="EN296" s="139"/>
      <c r="EO296" s="139"/>
      <c r="EP296" s="139"/>
      <c r="EQ296" s="139"/>
      <c r="ER296" s="139"/>
      <c r="ES296" s="139"/>
      <c r="ET296" s="139"/>
      <c r="EU296" s="139"/>
      <c r="EV296" s="139"/>
      <c r="EW296" s="139"/>
      <c r="EX296" s="139"/>
      <c r="EY296" s="139"/>
      <c r="EZ296" s="139"/>
      <c r="FA296" s="139"/>
      <c r="FB296" s="139"/>
      <c r="FC296" s="139"/>
      <c r="FD296" s="139"/>
      <c r="FE296" s="139"/>
      <c r="FF296" s="139"/>
      <c r="FG296" s="139"/>
      <c r="FH296" s="139"/>
      <c r="FI296" s="139"/>
      <c r="FJ296" s="139"/>
      <c r="FK296" s="139"/>
      <c r="FL296" s="139"/>
      <c r="FM296" s="139"/>
      <c r="FN296" s="139"/>
      <c r="FO296" s="139"/>
      <c r="FP296" s="139"/>
      <c r="FQ296" s="139"/>
      <c r="FR296" s="139"/>
      <c r="FS296" s="139"/>
      <c r="FT296" s="139"/>
      <c r="FU296" s="139"/>
      <c r="FV296" s="139"/>
      <c r="FW296" s="139"/>
      <c r="FX296" s="139"/>
      <c r="FY296" s="139"/>
      <c r="FZ296" s="139"/>
      <c r="GA296" s="139"/>
      <c r="GB296" s="139"/>
      <c r="GC296" s="139"/>
      <c r="GD296" s="139"/>
      <c r="GE296" s="139"/>
      <c r="GF296" s="139"/>
      <c r="GG296" s="139"/>
      <c r="GH296" s="139"/>
      <c r="GI296" s="139"/>
      <c r="GJ296" s="139"/>
      <c r="GK296" s="139"/>
      <c r="GL296" s="139"/>
      <c r="GM296" s="139"/>
      <c r="GN296" s="139"/>
      <c r="GO296" s="139"/>
      <c r="GP296" s="139"/>
      <c r="GQ296" s="139"/>
      <c r="GR296" s="139"/>
      <c r="GS296" s="139"/>
      <c r="GT296" s="139"/>
      <c r="GU296" s="139"/>
      <c r="GV296" s="139"/>
      <c r="GW296" s="139"/>
      <c r="GX296" s="139"/>
      <c r="GY296" s="139"/>
      <c r="GZ296" s="139"/>
      <c r="HA296" s="139"/>
      <c r="HB296" s="139"/>
      <c r="HC296" s="139"/>
      <c r="HD296" s="139"/>
      <c r="HE296" s="139"/>
      <c r="HF296" s="139"/>
      <c r="HG296" s="139"/>
      <c r="HH296" s="139"/>
      <c r="HI296" s="139"/>
      <c r="HJ296" s="139"/>
      <c r="HK296" s="139"/>
      <c r="HL296" s="139"/>
      <c r="HM296" s="139"/>
      <c r="HN296" s="139"/>
      <c r="HO296" s="139"/>
      <c r="HP296" s="139"/>
      <c r="HQ296" s="139"/>
      <c r="HR296" s="139"/>
      <c r="HS296" s="139"/>
      <c r="HT296" s="139"/>
      <c r="HU296" s="139"/>
      <c r="HV296" s="139"/>
      <c r="HW296" s="139"/>
      <c r="HX296" s="139"/>
      <c r="HY296" s="139"/>
      <c r="HZ296" s="139"/>
      <c r="IA296" s="139"/>
      <c r="IB296" s="139"/>
      <c r="IC296" s="139"/>
      <c r="ID296" s="139"/>
      <c r="IE296" s="139"/>
      <c r="IF296" s="139"/>
      <c r="IG296" s="139"/>
      <c r="IH296" s="139"/>
      <c r="II296" s="139"/>
      <c r="IJ296" s="139"/>
      <c r="IK296" s="139"/>
      <c r="IL296" s="139"/>
      <c r="IM296" s="139"/>
      <c r="IN296" s="139"/>
      <c r="IO296" s="139"/>
      <c r="IP296" s="139"/>
      <c r="IQ296" s="139"/>
      <c r="IR296" s="139"/>
      <c r="IS296" s="139"/>
      <c r="IT296" s="139"/>
      <c r="IU296" s="139"/>
      <c r="IV296" s="139"/>
      <c r="IW296" s="139"/>
      <c r="IX296" s="139"/>
    </row>
    <row r="297" spans="2:258" x14ac:dyDescent="0.3">
      <c r="B297" s="5" t="s">
        <v>133</v>
      </c>
      <c r="C297" s="1009" t="s">
        <v>238</v>
      </c>
      <c r="D297" s="968">
        <v>1125881.5</v>
      </c>
      <c r="E297" s="968">
        <v>441622.5</v>
      </c>
      <c r="F297" s="968">
        <v>21474357.699999999</v>
      </c>
      <c r="G297" s="968">
        <v>9360717.5999999996</v>
      </c>
      <c r="H297" s="968">
        <v>46461.9</v>
      </c>
      <c r="I297" s="968">
        <v>1036176.6</v>
      </c>
      <c r="J297" s="968">
        <v>260266.9</v>
      </c>
      <c r="K297" s="968">
        <v>12442712.800000001</v>
      </c>
      <c r="L297" s="968">
        <v>4850144.2</v>
      </c>
      <c r="M297" s="968">
        <v>3156135.3</v>
      </c>
      <c r="N297" s="968">
        <v>5838764.0999999996</v>
      </c>
      <c r="O297" s="10">
        <v>2308717.7999999998</v>
      </c>
      <c r="P297" s="270">
        <f t="shared" si="41"/>
        <v>39434990.899999999</v>
      </c>
      <c r="Q297" s="968">
        <f t="shared" si="42"/>
        <v>22906967.999999996</v>
      </c>
      <c r="R297" s="16">
        <f t="shared" si="31"/>
        <v>62341958.899999999</v>
      </c>
      <c r="S297" s="268">
        <f>(Q297*'Emission &amp; Conversion Factors'!$J$251)+(P297*'Emission &amp; Conversion Factors'!$J$240)</f>
        <v>631142248.63189995</v>
      </c>
      <c r="T297" s="283">
        <f t="shared" si="32"/>
        <v>51298.245193618546</v>
      </c>
      <c r="U297" s="968">
        <f t="shared" si="33"/>
        <v>916501.71924661798</v>
      </c>
      <c r="V297" s="16">
        <f t="shared" si="34"/>
        <v>5679563.9816336259</v>
      </c>
      <c r="W297" s="16">
        <f t="shared" si="35"/>
        <v>1412115.4739912634</v>
      </c>
      <c r="X297" s="968">
        <f t="shared" si="36"/>
        <v>1278012.9747449532</v>
      </c>
      <c r="Y297" s="968">
        <f t="shared" si="37"/>
        <v>3353370.3275387497</v>
      </c>
      <c r="Z297" s="968">
        <f t="shared" si="38"/>
        <v>2352852.5846679369</v>
      </c>
      <c r="AA297" s="993">
        <f t="shared" si="39"/>
        <v>25043.237811057872</v>
      </c>
      <c r="AB297" s="507">
        <f t="shared" si="40"/>
        <v>15068758.544827826</v>
      </c>
      <c r="AE297" s="139"/>
      <c r="AF297" s="139"/>
      <c r="AG297" s="139"/>
      <c r="AH297" s="139"/>
      <c r="AI297" s="139"/>
      <c r="AJ297" s="139"/>
      <c r="AK297" s="139"/>
      <c r="AL297" s="139"/>
      <c r="AM297" s="139"/>
      <c r="AN297" s="139"/>
      <c r="AO297" s="139"/>
      <c r="AP297" s="139"/>
      <c r="AQ297" s="139"/>
      <c r="AR297" s="139"/>
      <c r="AS297" s="139"/>
      <c r="AT297" s="139"/>
      <c r="AU297" s="139"/>
      <c r="AV297" s="139"/>
      <c r="AW297" s="139"/>
      <c r="AX297" s="139"/>
      <c r="AY297" s="139"/>
      <c r="AZ297" s="139"/>
      <c r="BA297" s="139"/>
      <c r="BB297" s="139"/>
      <c r="BC297" s="139"/>
      <c r="BD297" s="139"/>
      <c r="BE297" s="139"/>
      <c r="BF297" s="139"/>
      <c r="BG297" s="139"/>
      <c r="BH297" s="139"/>
      <c r="BI297" s="139"/>
      <c r="BJ297" s="139"/>
      <c r="BK297" s="139"/>
      <c r="BL297" s="139"/>
      <c r="BM297" s="139"/>
      <c r="BN297" s="139"/>
      <c r="BO297" s="139"/>
      <c r="BP297" s="139"/>
      <c r="BQ297" s="139"/>
      <c r="BR297" s="139"/>
      <c r="BS297" s="139"/>
      <c r="BT297" s="139"/>
      <c r="BU297" s="139"/>
      <c r="BV297" s="139"/>
      <c r="BW297" s="139"/>
      <c r="BX297" s="139"/>
      <c r="BY297" s="139"/>
      <c r="BZ297" s="139"/>
      <c r="CA297" s="139"/>
      <c r="CB297" s="139"/>
      <c r="CC297" s="139"/>
      <c r="CD297" s="139"/>
      <c r="CE297" s="139"/>
      <c r="CF297" s="139"/>
      <c r="CG297" s="139"/>
      <c r="CH297" s="139"/>
      <c r="CI297" s="139"/>
      <c r="CJ297" s="139"/>
      <c r="CK297" s="139"/>
      <c r="CL297" s="139"/>
      <c r="CM297" s="139"/>
      <c r="CN297" s="139"/>
      <c r="CO297" s="139"/>
      <c r="CP297" s="139"/>
      <c r="CQ297" s="139"/>
      <c r="CR297" s="139"/>
      <c r="CS297" s="139"/>
      <c r="CT297" s="139"/>
      <c r="CU297" s="139"/>
      <c r="CV297" s="139"/>
      <c r="CW297" s="139"/>
      <c r="CX297" s="139"/>
      <c r="CY297" s="139"/>
      <c r="CZ297" s="139"/>
      <c r="DA297" s="139"/>
      <c r="DB297" s="139"/>
      <c r="DC297" s="139"/>
      <c r="DD297" s="139"/>
      <c r="DE297" s="139"/>
      <c r="DF297" s="139"/>
      <c r="DG297" s="139"/>
      <c r="DH297" s="139"/>
      <c r="DI297" s="139"/>
      <c r="DJ297" s="139"/>
      <c r="DK297" s="139"/>
      <c r="DL297" s="139"/>
      <c r="DM297" s="139"/>
      <c r="DN297" s="139"/>
      <c r="DO297" s="139"/>
      <c r="DP297" s="139"/>
      <c r="DQ297" s="139"/>
      <c r="DR297" s="139"/>
      <c r="DS297" s="139"/>
      <c r="DT297" s="139"/>
      <c r="DU297" s="139"/>
      <c r="DV297" s="139"/>
      <c r="DW297" s="139"/>
      <c r="DX297" s="139"/>
      <c r="DY297" s="139"/>
      <c r="DZ297" s="139"/>
      <c r="EA297" s="139"/>
      <c r="EB297" s="139"/>
      <c r="EC297" s="139"/>
      <c r="ED297" s="139"/>
      <c r="EE297" s="139"/>
      <c r="EF297" s="139"/>
      <c r="EG297" s="139"/>
      <c r="EH297" s="139"/>
      <c r="EI297" s="139"/>
      <c r="EJ297" s="139"/>
      <c r="EK297" s="139"/>
      <c r="EL297" s="139"/>
      <c r="EM297" s="139"/>
      <c r="EN297" s="139"/>
      <c r="EO297" s="139"/>
      <c r="EP297" s="139"/>
      <c r="EQ297" s="139"/>
      <c r="ER297" s="139"/>
      <c r="ES297" s="139"/>
      <c r="ET297" s="139"/>
      <c r="EU297" s="139"/>
      <c r="EV297" s="139"/>
      <c r="EW297" s="139"/>
      <c r="EX297" s="139"/>
      <c r="EY297" s="139"/>
      <c r="EZ297" s="139"/>
      <c r="FA297" s="139"/>
      <c r="FB297" s="139"/>
      <c r="FC297" s="139"/>
      <c r="FD297" s="139"/>
      <c r="FE297" s="139"/>
      <c r="FF297" s="139"/>
      <c r="FG297" s="139"/>
      <c r="FH297" s="139"/>
      <c r="FI297" s="139"/>
      <c r="FJ297" s="139"/>
      <c r="FK297" s="139"/>
      <c r="FL297" s="139"/>
      <c r="FM297" s="139"/>
      <c r="FN297" s="139"/>
      <c r="FO297" s="139"/>
      <c r="FP297" s="139"/>
      <c r="FQ297" s="139"/>
      <c r="FR297" s="139"/>
      <c r="FS297" s="139"/>
      <c r="FT297" s="139"/>
      <c r="FU297" s="139"/>
      <c r="FV297" s="139"/>
      <c r="FW297" s="139"/>
      <c r="FX297" s="139"/>
      <c r="FY297" s="139"/>
      <c r="FZ297" s="139"/>
      <c r="GA297" s="139"/>
      <c r="GB297" s="139"/>
      <c r="GC297" s="139"/>
      <c r="GD297" s="139"/>
      <c r="GE297" s="139"/>
      <c r="GF297" s="139"/>
      <c r="GG297" s="139"/>
      <c r="GH297" s="139"/>
      <c r="GI297" s="139"/>
      <c r="GJ297" s="139"/>
      <c r="GK297" s="139"/>
      <c r="GL297" s="139"/>
      <c r="GM297" s="139"/>
      <c r="GN297" s="139"/>
      <c r="GO297" s="139"/>
      <c r="GP297" s="139"/>
      <c r="GQ297" s="139"/>
      <c r="GR297" s="139"/>
      <c r="GS297" s="139"/>
      <c r="GT297" s="139"/>
      <c r="GU297" s="139"/>
      <c r="GV297" s="139"/>
      <c r="GW297" s="139"/>
      <c r="GX297" s="139"/>
      <c r="GY297" s="139"/>
      <c r="GZ297" s="139"/>
      <c r="HA297" s="139"/>
      <c r="HB297" s="139"/>
      <c r="HC297" s="139"/>
      <c r="HD297" s="139"/>
      <c r="HE297" s="139"/>
      <c r="HF297" s="139"/>
      <c r="HG297" s="139"/>
      <c r="HH297" s="139"/>
      <c r="HI297" s="139"/>
      <c r="HJ297" s="139"/>
      <c r="HK297" s="139"/>
      <c r="HL297" s="139"/>
      <c r="HM297" s="139"/>
      <c r="HN297" s="139"/>
      <c r="HO297" s="139"/>
      <c r="HP297" s="139"/>
      <c r="HQ297" s="139"/>
      <c r="HR297" s="139"/>
      <c r="HS297" s="139"/>
      <c r="HT297" s="139"/>
      <c r="HU297" s="139"/>
      <c r="HV297" s="139"/>
      <c r="HW297" s="139"/>
      <c r="HX297" s="139"/>
      <c r="HY297" s="139"/>
      <c r="HZ297" s="139"/>
      <c r="IA297" s="139"/>
      <c r="IB297" s="139"/>
      <c r="IC297" s="139"/>
      <c r="ID297" s="139"/>
      <c r="IE297" s="139"/>
      <c r="IF297" s="139"/>
      <c r="IG297" s="139"/>
      <c r="IH297" s="139"/>
      <c r="II297" s="139"/>
      <c r="IJ297" s="139"/>
      <c r="IK297" s="139"/>
      <c r="IL297" s="139"/>
      <c r="IM297" s="139"/>
      <c r="IN297" s="139"/>
      <c r="IO297" s="139"/>
      <c r="IP297" s="139"/>
      <c r="IQ297" s="139"/>
      <c r="IR297" s="139"/>
      <c r="IS297" s="139"/>
      <c r="IT297" s="139"/>
      <c r="IU297" s="139"/>
      <c r="IV297" s="139"/>
      <c r="IW297" s="139"/>
      <c r="IX297" s="139"/>
    </row>
    <row r="298" spans="2:258" x14ac:dyDescent="0.3">
      <c r="B298" s="5" t="s">
        <v>134</v>
      </c>
      <c r="C298" s="1009" t="s">
        <v>239</v>
      </c>
      <c r="D298" s="968">
        <v>887115.8</v>
      </c>
      <c r="E298" s="968">
        <v>505189.6</v>
      </c>
      <c r="F298" s="968">
        <v>20868146.300000001</v>
      </c>
      <c r="G298" s="968">
        <v>9460635.3000000007</v>
      </c>
      <c r="H298" s="968">
        <v>79297.600000000006</v>
      </c>
      <c r="I298" s="968">
        <v>1602965.6</v>
      </c>
      <c r="J298" s="968">
        <v>268305.09999999998</v>
      </c>
      <c r="K298" s="968">
        <v>13932762.1</v>
      </c>
      <c r="L298" s="968">
        <v>6029643.7000000002</v>
      </c>
      <c r="M298" s="968">
        <v>3399581.3</v>
      </c>
      <c r="N298" s="968">
        <v>4862042.5999999996</v>
      </c>
      <c r="O298" s="10">
        <v>2102062.7999999998</v>
      </c>
      <c r="P298" s="270">
        <f t="shared" si="41"/>
        <v>41894883</v>
      </c>
      <c r="Q298" s="968">
        <f t="shared" si="42"/>
        <v>22102864.800000004</v>
      </c>
      <c r="R298" s="16">
        <f t="shared" si="31"/>
        <v>63997747.800000004</v>
      </c>
      <c r="S298" s="268">
        <f>(Q298*'Emission &amp; Conversion Factors'!$J$251)+(P298*'Emission &amp; Conversion Factors'!$J$240)</f>
        <v>649470307.88340008</v>
      </c>
      <c r="T298" s="283">
        <f t="shared" si="32"/>
        <v>36353.087145084013</v>
      </c>
      <c r="U298" s="968">
        <f t="shared" si="33"/>
        <v>922156.64391363109</v>
      </c>
      <c r="V298" s="16">
        <f t="shared" si="34"/>
        <v>5189605.1515559936</v>
      </c>
      <c r="W298" s="16">
        <f t="shared" si="35"/>
        <v>2339523.1193814068</v>
      </c>
      <c r="X298" s="968">
        <f t="shared" si="36"/>
        <v>1095439.6926385313</v>
      </c>
      <c r="Y298" s="968">
        <f t="shared" si="37"/>
        <v>3868776.3186179409</v>
      </c>
      <c r="Z298" s="968">
        <f t="shared" si="38"/>
        <v>1671030.2391023617</v>
      </c>
      <c r="AA298" s="993">
        <f t="shared" si="39"/>
        <v>16156.927620037335</v>
      </c>
      <c r="AB298" s="507">
        <f t="shared" si="40"/>
        <v>15139041.179974984</v>
      </c>
      <c r="AE298" s="139"/>
      <c r="AF298" s="139"/>
      <c r="AG298" s="139"/>
      <c r="AH298" s="139"/>
      <c r="AI298" s="139"/>
      <c r="AJ298" s="139"/>
      <c r="AK298" s="139"/>
      <c r="AL298" s="139"/>
      <c r="AM298" s="139"/>
      <c r="AN298" s="139"/>
      <c r="AO298" s="139"/>
      <c r="AP298" s="139"/>
      <c r="AQ298" s="139"/>
      <c r="AR298" s="139"/>
      <c r="AS298" s="139"/>
      <c r="AT298" s="139"/>
      <c r="AU298" s="139"/>
      <c r="AV298" s="139"/>
      <c r="AW298" s="139"/>
      <c r="AX298" s="139"/>
      <c r="AY298" s="139"/>
      <c r="AZ298" s="139"/>
      <c r="BA298" s="139"/>
      <c r="BB298" s="139"/>
      <c r="BC298" s="139"/>
      <c r="BD298" s="139"/>
      <c r="BE298" s="139"/>
      <c r="BF298" s="139"/>
      <c r="BG298" s="139"/>
      <c r="BH298" s="139"/>
      <c r="BI298" s="139"/>
      <c r="BJ298" s="139"/>
      <c r="BK298" s="139"/>
      <c r="BL298" s="139"/>
      <c r="BM298" s="139"/>
      <c r="BN298" s="139"/>
      <c r="BO298" s="139"/>
      <c r="BP298" s="139"/>
      <c r="BQ298" s="139"/>
      <c r="BR298" s="139"/>
      <c r="BS298" s="139"/>
      <c r="BT298" s="139"/>
      <c r="BU298" s="139"/>
      <c r="BV298" s="139"/>
      <c r="BW298" s="139"/>
      <c r="BX298" s="139"/>
      <c r="BY298" s="139"/>
      <c r="BZ298" s="139"/>
      <c r="CA298" s="139"/>
      <c r="CB298" s="139"/>
      <c r="CC298" s="139"/>
      <c r="CD298" s="139"/>
      <c r="CE298" s="139"/>
      <c r="CF298" s="139"/>
      <c r="CG298" s="139"/>
      <c r="CH298" s="139"/>
      <c r="CI298" s="139"/>
      <c r="CJ298" s="139"/>
      <c r="CK298" s="139"/>
      <c r="CL298" s="139"/>
      <c r="CM298" s="139"/>
      <c r="CN298" s="139"/>
      <c r="CO298" s="139"/>
      <c r="CP298" s="139"/>
      <c r="CQ298" s="139"/>
      <c r="CR298" s="139"/>
      <c r="CS298" s="139"/>
      <c r="CT298" s="139"/>
      <c r="CU298" s="139"/>
      <c r="CV298" s="139"/>
      <c r="CW298" s="139"/>
      <c r="CX298" s="139"/>
      <c r="CY298" s="139"/>
      <c r="CZ298" s="139"/>
      <c r="DA298" s="139"/>
      <c r="DB298" s="139"/>
      <c r="DC298" s="139"/>
      <c r="DD298" s="139"/>
      <c r="DE298" s="139"/>
      <c r="DF298" s="139"/>
      <c r="DG298" s="139"/>
      <c r="DH298" s="139"/>
      <c r="DI298" s="139"/>
      <c r="DJ298" s="139"/>
      <c r="DK298" s="139"/>
      <c r="DL298" s="139"/>
      <c r="DM298" s="139"/>
      <c r="DN298" s="139"/>
      <c r="DO298" s="139"/>
      <c r="DP298" s="139"/>
      <c r="DQ298" s="139"/>
      <c r="DR298" s="139"/>
      <c r="DS298" s="139"/>
      <c r="DT298" s="139"/>
      <c r="DU298" s="139"/>
      <c r="DV298" s="139"/>
      <c r="DW298" s="139"/>
      <c r="DX298" s="139"/>
      <c r="DY298" s="139"/>
      <c r="DZ298" s="139"/>
      <c r="EA298" s="139"/>
      <c r="EB298" s="139"/>
      <c r="EC298" s="139"/>
      <c r="ED298" s="139"/>
      <c r="EE298" s="139"/>
      <c r="EF298" s="139"/>
      <c r="EG298" s="139"/>
      <c r="EH298" s="139"/>
      <c r="EI298" s="139"/>
      <c r="EJ298" s="139"/>
      <c r="EK298" s="139"/>
      <c r="EL298" s="139"/>
      <c r="EM298" s="139"/>
      <c r="EN298" s="139"/>
      <c r="EO298" s="139"/>
      <c r="EP298" s="139"/>
      <c r="EQ298" s="139"/>
      <c r="ER298" s="139"/>
      <c r="ES298" s="139"/>
      <c r="ET298" s="139"/>
      <c r="EU298" s="139"/>
      <c r="EV298" s="139"/>
      <c r="EW298" s="139"/>
      <c r="EX298" s="139"/>
      <c r="EY298" s="139"/>
      <c r="EZ298" s="139"/>
      <c r="FA298" s="139"/>
      <c r="FB298" s="139"/>
      <c r="FC298" s="139"/>
      <c r="FD298" s="139"/>
      <c r="FE298" s="139"/>
      <c r="FF298" s="139"/>
      <c r="FG298" s="139"/>
      <c r="FH298" s="139"/>
      <c r="FI298" s="139"/>
      <c r="FJ298" s="139"/>
      <c r="FK298" s="139"/>
      <c r="FL298" s="139"/>
      <c r="FM298" s="139"/>
      <c r="FN298" s="139"/>
      <c r="FO298" s="139"/>
      <c r="FP298" s="139"/>
      <c r="FQ298" s="139"/>
      <c r="FR298" s="139"/>
      <c r="FS298" s="139"/>
      <c r="FT298" s="139"/>
      <c r="FU298" s="139"/>
      <c r="FV298" s="139"/>
      <c r="FW298" s="139"/>
      <c r="FX298" s="139"/>
      <c r="FY298" s="139"/>
      <c r="FZ298" s="139"/>
      <c r="GA298" s="139"/>
      <c r="GB298" s="139"/>
      <c r="GC298" s="139"/>
      <c r="GD298" s="139"/>
      <c r="GE298" s="139"/>
      <c r="GF298" s="139"/>
      <c r="GG298" s="139"/>
      <c r="GH298" s="139"/>
      <c r="GI298" s="139"/>
      <c r="GJ298" s="139"/>
      <c r="GK298" s="139"/>
      <c r="GL298" s="139"/>
      <c r="GM298" s="139"/>
      <c r="GN298" s="139"/>
      <c r="GO298" s="139"/>
      <c r="GP298" s="139"/>
      <c r="GQ298" s="139"/>
      <c r="GR298" s="139"/>
      <c r="GS298" s="139"/>
      <c r="GT298" s="139"/>
      <c r="GU298" s="139"/>
      <c r="GV298" s="139"/>
      <c r="GW298" s="139"/>
      <c r="GX298" s="139"/>
      <c r="GY298" s="139"/>
      <c r="GZ298" s="139"/>
      <c r="HA298" s="139"/>
      <c r="HB298" s="139"/>
      <c r="HC298" s="139"/>
      <c r="HD298" s="139"/>
      <c r="HE298" s="139"/>
      <c r="HF298" s="139"/>
      <c r="HG298" s="139"/>
      <c r="HH298" s="139"/>
      <c r="HI298" s="139"/>
      <c r="HJ298" s="139"/>
      <c r="HK298" s="139"/>
      <c r="HL298" s="139"/>
      <c r="HM298" s="139"/>
      <c r="HN298" s="139"/>
      <c r="HO298" s="139"/>
      <c r="HP298" s="139"/>
      <c r="HQ298" s="139"/>
      <c r="HR298" s="139"/>
      <c r="HS298" s="139"/>
      <c r="HT298" s="139"/>
      <c r="HU298" s="139"/>
      <c r="HV298" s="139"/>
      <c r="HW298" s="139"/>
      <c r="HX298" s="139"/>
      <c r="HY298" s="139"/>
      <c r="HZ298" s="139"/>
      <c r="IA298" s="139"/>
      <c r="IB298" s="139"/>
      <c r="IC298" s="139"/>
      <c r="ID298" s="139"/>
      <c r="IE298" s="139"/>
      <c r="IF298" s="139"/>
      <c r="IG298" s="139"/>
      <c r="IH298" s="139"/>
      <c r="II298" s="139"/>
      <c r="IJ298" s="139"/>
      <c r="IK298" s="139"/>
      <c r="IL298" s="139"/>
      <c r="IM298" s="139"/>
      <c r="IN298" s="139"/>
      <c r="IO298" s="139"/>
      <c r="IP298" s="139"/>
      <c r="IQ298" s="139"/>
      <c r="IR298" s="139"/>
      <c r="IS298" s="139"/>
      <c r="IT298" s="139"/>
      <c r="IU298" s="139"/>
      <c r="IV298" s="139"/>
      <c r="IW298" s="139"/>
      <c r="IX298" s="139"/>
    </row>
    <row r="299" spans="2:258" ht="15" thickBot="1" x14ac:dyDescent="0.35">
      <c r="B299" s="5" t="s">
        <v>135</v>
      </c>
      <c r="C299" s="722" t="s">
        <v>240</v>
      </c>
      <c r="D299" s="968">
        <v>3156070.6</v>
      </c>
      <c r="E299" s="968">
        <v>7571192.7000000002</v>
      </c>
      <c r="F299" s="968">
        <v>15016727.699999999</v>
      </c>
      <c r="G299" s="968">
        <v>6023289.9000000004</v>
      </c>
      <c r="H299" s="968">
        <v>237219.1</v>
      </c>
      <c r="I299" s="968">
        <v>4999792.5</v>
      </c>
      <c r="J299" s="968">
        <v>326485.59999999998</v>
      </c>
      <c r="K299" s="968">
        <v>13734957.4</v>
      </c>
      <c r="L299" s="968">
        <v>8406413.8000000007</v>
      </c>
      <c r="M299" s="968">
        <v>8229992.7999999998</v>
      </c>
      <c r="N299" s="968">
        <v>5176416.3</v>
      </c>
      <c r="O299" s="10">
        <v>1028578.8</v>
      </c>
      <c r="P299" s="270">
        <f t="shared" si="41"/>
        <v>55170634.199999996</v>
      </c>
      <c r="Q299" s="968">
        <f t="shared" si="42"/>
        <v>18736503.000000004</v>
      </c>
      <c r="R299" s="1010">
        <f t="shared" si="31"/>
        <v>73907137.199999988</v>
      </c>
      <c r="S299" s="268">
        <f>(Q299*'Emission &amp; Conversion Factors'!$J$251)+(P299*'Emission &amp; Conversion Factors'!$J$240)</f>
        <v>757556016.52920008</v>
      </c>
      <c r="T299" s="283">
        <f t="shared" si="32"/>
        <v>135314.2688178127</v>
      </c>
      <c r="U299" s="968">
        <f t="shared" si="33"/>
        <v>11534430.627944656</v>
      </c>
      <c r="V299" s="16">
        <f t="shared" si="34"/>
        <v>4330460.525360507</v>
      </c>
      <c r="W299" s="16">
        <f t="shared" si="35"/>
        <v>6964039.7274265932</v>
      </c>
      <c r="X299" s="968">
        <f t="shared" si="36"/>
        <v>1589437.754621173</v>
      </c>
      <c r="Y299" s="968">
        <f t="shared" si="37"/>
        <v>4733575.8694804395</v>
      </c>
      <c r="Z299" s="968">
        <f t="shared" si="38"/>
        <v>1494919.7280439548</v>
      </c>
      <c r="AA299" s="993">
        <f t="shared" si="39"/>
        <v>19388.313144044805</v>
      </c>
      <c r="AB299" s="507">
        <f t="shared" si="40"/>
        <v>30801566.814839177</v>
      </c>
      <c r="AE299" s="139"/>
      <c r="AF299" s="139"/>
      <c r="AG299" s="139"/>
      <c r="AH299" s="139"/>
      <c r="AI299" s="139"/>
      <c r="AJ299" s="139"/>
      <c r="AK299" s="139"/>
      <c r="AL299" s="139"/>
      <c r="AM299" s="139"/>
      <c r="AN299" s="139"/>
      <c r="AO299" s="139"/>
      <c r="AP299" s="139"/>
      <c r="AQ299" s="139"/>
      <c r="AR299" s="139"/>
      <c r="AS299" s="139"/>
      <c r="AT299" s="139"/>
      <c r="AU299" s="139"/>
      <c r="AV299" s="139"/>
      <c r="AW299" s="139"/>
      <c r="AX299" s="139"/>
      <c r="AY299" s="139"/>
      <c r="AZ299" s="139"/>
      <c r="BA299" s="139"/>
      <c r="BB299" s="139"/>
      <c r="BC299" s="139"/>
      <c r="BD299" s="139"/>
      <c r="BE299" s="139"/>
      <c r="BF299" s="139"/>
      <c r="BG299" s="139"/>
      <c r="BH299" s="139"/>
      <c r="BI299" s="139"/>
      <c r="BJ299" s="139"/>
      <c r="BK299" s="139"/>
      <c r="BL299" s="139"/>
      <c r="BM299" s="139"/>
      <c r="BN299" s="139"/>
      <c r="BO299" s="139"/>
      <c r="BP299" s="139"/>
      <c r="BQ299" s="139"/>
      <c r="BR299" s="139"/>
      <c r="BS299" s="139"/>
      <c r="BT299" s="139"/>
      <c r="BU299" s="139"/>
      <c r="BV299" s="139"/>
      <c r="BW299" s="139"/>
      <c r="BX299" s="139"/>
      <c r="BY299" s="139"/>
      <c r="BZ299" s="139"/>
      <c r="CA299" s="139"/>
      <c r="CB299" s="139"/>
      <c r="CC299" s="139"/>
      <c r="CD299" s="139"/>
      <c r="CE299" s="139"/>
      <c r="CF299" s="139"/>
      <c r="CG299" s="139"/>
      <c r="CH299" s="139"/>
      <c r="CI299" s="139"/>
      <c r="CJ299" s="139"/>
      <c r="CK299" s="139"/>
      <c r="CL299" s="139"/>
      <c r="CM299" s="139"/>
      <c r="CN299" s="139"/>
      <c r="CO299" s="139"/>
      <c r="CP299" s="139"/>
      <c r="CQ299" s="139"/>
      <c r="CR299" s="139"/>
      <c r="CS299" s="139"/>
      <c r="CT299" s="139"/>
      <c r="CU299" s="139"/>
      <c r="CV299" s="139"/>
      <c r="CW299" s="139"/>
      <c r="CX299" s="139"/>
      <c r="CY299" s="139"/>
      <c r="CZ299" s="139"/>
      <c r="DA299" s="139"/>
      <c r="DB299" s="139"/>
      <c r="DC299" s="139"/>
      <c r="DD299" s="139"/>
      <c r="DE299" s="139"/>
      <c r="DF299" s="139"/>
      <c r="DG299" s="139"/>
      <c r="DH299" s="139"/>
      <c r="DI299" s="139"/>
      <c r="DJ299" s="139"/>
      <c r="DK299" s="139"/>
      <c r="DL299" s="139"/>
      <c r="DM299" s="139"/>
      <c r="DN299" s="139"/>
      <c r="DO299" s="139"/>
      <c r="DP299" s="139"/>
      <c r="DQ299" s="139"/>
      <c r="DR299" s="139"/>
      <c r="DS299" s="139"/>
      <c r="DT299" s="139"/>
      <c r="DU299" s="139"/>
      <c r="DV299" s="139"/>
      <c r="DW299" s="139"/>
      <c r="DX299" s="139"/>
      <c r="DY299" s="139"/>
      <c r="DZ299" s="139"/>
      <c r="EA299" s="139"/>
      <c r="EB299" s="139"/>
      <c r="EC299" s="139"/>
      <c r="ED299" s="139"/>
      <c r="EE299" s="139"/>
      <c r="EF299" s="139"/>
      <c r="EG299" s="139"/>
      <c r="EH299" s="139"/>
      <c r="EI299" s="139"/>
      <c r="EJ299" s="139"/>
      <c r="EK299" s="139"/>
      <c r="EL299" s="139"/>
      <c r="EM299" s="139"/>
      <c r="EN299" s="139"/>
      <c r="EO299" s="139"/>
      <c r="EP299" s="139"/>
      <c r="EQ299" s="139"/>
      <c r="ER299" s="139"/>
      <c r="ES299" s="139"/>
      <c r="ET299" s="139"/>
      <c r="EU299" s="139"/>
      <c r="EV299" s="139"/>
      <c r="EW299" s="139"/>
      <c r="EX299" s="139"/>
      <c r="EY299" s="139"/>
      <c r="EZ299" s="139"/>
      <c r="FA299" s="139"/>
      <c r="FB299" s="139"/>
      <c r="FC299" s="139"/>
      <c r="FD299" s="139"/>
      <c r="FE299" s="139"/>
      <c r="FF299" s="139"/>
      <c r="FG299" s="139"/>
      <c r="FH299" s="139"/>
      <c r="FI299" s="139"/>
      <c r="FJ299" s="139"/>
      <c r="FK299" s="139"/>
      <c r="FL299" s="139"/>
      <c r="FM299" s="139"/>
      <c r="FN299" s="139"/>
      <c r="FO299" s="139"/>
      <c r="FP299" s="139"/>
      <c r="FQ299" s="139"/>
      <c r="FR299" s="139"/>
      <c r="FS299" s="139"/>
      <c r="FT299" s="139"/>
      <c r="FU299" s="139"/>
      <c r="FV299" s="139"/>
      <c r="FW299" s="139"/>
      <c r="FX299" s="139"/>
      <c r="FY299" s="139"/>
      <c r="FZ299" s="139"/>
      <c r="GA299" s="139"/>
      <c r="GB299" s="139"/>
      <c r="GC299" s="139"/>
      <c r="GD299" s="139"/>
      <c r="GE299" s="139"/>
      <c r="GF299" s="139"/>
      <c r="GG299" s="139"/>
      <c r="GH299" s="139"/>
      <c r="GI299" s="139"/>
      <c r="GJ299" s="139"/>
      <c r="GK299" s="139"/>
      <c r="GL299" s="139"/>
      <c r="GM299" s="139"/>
      <c r="GN299" s="139"/>
      <c r="GO299" s="139"/>
      <c r="GP299" s="139"/>
      <c r="GQ299" s="139"/>
      <c r="GR299" s="139"/>
      <c r="GS299" s="139"/>
      <c r="GT299" s="139"/>
      <c r="GU299" s="139"/>
      <c r="GV299" s="139"/>
      <c r="GW299" s="139"/>
      <c r="GX299" s="139"/>
      <c r="GY299" s="139"/>
      <c r="GZ299" s="139"/>
      <c r="HA299" s="139"/>
      <c r="HB299" s="139"/>
      <c r="HC299" s="139"/>
      <c r="HD299" s="139"/>
      <c r="HE299" s="139"/>
      <c r="HF299" s="139"/>
      <c r="HG299" s="139"/>
      <c r="HH299" s="139"/>
      <c r="HI299" s="139"/>
      <c r="HJ299" s="139"/>
      <c r="HK299" s="139"/>
      <c r="HL299" s="139"/>
      <c r="HM299" s="139"/>
      <c r="HN299" s="139"/>
      <c r="HO299" s="139"/>
      <c r="HP299" s="139"/>
      <c r="HQ299" s="139"/>
      <c r="HR299" s="139"/>
      <c r="HS299" s="139"/>
      <c r="HT299" s="139"/>
      <c r="HU299" s="139"/>
      <c r="HV299" s="139"/>
      <c r="HW299" s="139"/>
      <c r="HX299" s="139"/>
      <c r="HY299" s="139"/>
      <c r="HZ299" s="139"/>
      <c r="IA299" s="139"/>
      <c r="IB299" s="139"/>
      <c r="IC299" s="139"/>
      <c r="ID299" s="139"/>
      <c r="IE299" s="139"/>
      <c r="IF299" s="139"/>
      <c r="IG299" s="139"/>
      <c r="IH299" s="139"/>
      <c r="II299" s="139"/>
      <c r="IJ299" s="139"/>
      <c r="IK299" s="139"/>
      <c r="IL299" s="139"/>
      <c r="IM299" s="139"/>
      <c r="IN299" s="139"/>
      <c r="IO299" s="139"/>
      <c r="IP299" s="139"/>
      <c r="IQ299" s="139"/>
      <c r="IR299" s="139"/>
      <c r="IS299" s="139"/>
      <c r="IT299" s="139"/>
      <c r="IU299" s="139"/>
      <c r="IV299" s="139"/>
      <c r="IW299" s="139"/>
      <c r="IX299" s="139"/>
    </row>
    <row r="300" spans="2:258" ht="15" thickBot="1" x14ac:dyDescent="0.35">
      <c r="B300" s="17" t="s">
        <v>66</v>
      </c>
      <c r="C300" s="252"/>
      <c r="D300" s="14">
        <f t="shared" ref="D300:S300" si="43">SUM(D267:D299)</f>
        <v>38805425.200000003</v>
      </c>
      <c r="E300" s="14">
        <f t="shared" si="43"/>
        <v>29689760.300000001</v>
      </c>
      <c r="F300" s="12">
        <f t="shared" si="43"/>
        <v>825290163.50000024</v>
      </c>
      <c r="G300" s="12">
        <f t="shared" si="43"/>
        <v>387530998.29999995</v>
      </c>
      <c r="H300" s="12">
        <f>SUM(H267:H299)</f>
        <v>4279449.0999999996</v>
      </c>
      <c r="I300" s="12">
        <f>SUM(I267:I299)</f>
        <v>58119286.399999999</v>
      </c>
      <c r="J300" s="14">
        <f t="shared" si="43"/>
        <v>9896638.6000000015</v>
      </c>
      <c r="K300" s="14">
        <f t="shared" si="43"/>
        <v>503429660.4000001</v>
      </c>
      <c r="L300" s="14">
        <f t="shared" si="43"/>
        <v>188237491.90000001</v>
      </c>
      <c r="M300" s="14">
        <f t="shared" si="43"/>
        <v>138301019.59999999</v>
      </c>
      <c r="N300" s="14">
        <f t="shared" si="43"/>
        <v>223320336.5</v>
      </c>
      <c r="O300" s="11">
        <f t="shared" si="43"/>
        <v>145491930.80000007</v>
      </c>
      <c r="P300" s="432">
        <f t="shared" si="41"/>
        <v>1674120484.2</v>
      </c>
      <c r="Q300" s="12">
        <f t="shared" si="42"/>
        <v>878271676.40000033</v>
      </c>
      <c r="R300" s="15">
        <f t="shared" si="43"/>
        <v>2552392160.6000004</v>
      </c>
      <c r="S300" s="269">
        <f t="shared" si="43"/>
        <v>25906116825.8274</v>
      </c>
      <c r="T300" s="462">
        <f t="shared" ref="T300:AB300" si="44">SUM(T267:T299)</f>
        <v>1700920.5551994308</v>
      </c>
      <c r="U300" s="12">
        <f t="shared" si="44"/>
        <v>51980067.539184123</v>
      </c>
      <c r="V300" s="429">
        <f t="shared" si="44"/>
        <v>222329018.20828578</v>
      </c>
      <c r="W300" s="429">
        <f t="shared" si="44"/>
        <v>82577249.219629854</v>
      </c>
      <c r="X300" s="429">
        <f t="shared" si="44"/>
        <v>43258961.933078475</v>
      </c>
      <c r="Y300" s="424">
        <f t="shared" si="44"/>
        <v>132511849.72211726</v>
      </c>
      <c r="Z300" s="424">
        <f t="shared" si="44"/>
        <v>79644362.933402553</v>
      </c>
      <c r="AA300" s="420">
        <f t="shared" si="44"/>
        <v>1499362.8831394645</v>
      </c>
      <c r="AB300" s="420">
        <f t="shared" si="44"/>
        <v>615501792.99403691</v>
      </c>
      <c r="AE300" s="139"/>
      <c r="AF300" s="139"/>
      <c r="AG300" s="139"/>
      <c r="AH300" s="139"/>
      <c r="AI300" s="139"/>
      <c r="AJ300" s="139"/>
      <c r="AK300" s="139"/>
      <c r="AL300" s="139"/>
      <c r="AM300" s="139"/>
      <c r="AN300" s="139"/>
      <c r="AO300" s="139"/>
      <c r="AP300" s="139"/>
      <c r="AQ300" s="139"/>
      <c r="AR300" s="139"/>
      <c r="AS300" s="139"/>
      <c r="AT300" s="139"/>
      <c r="AU300" s="139"/>
      <c r="AV300" s="139"/>
      <c r="AW300" s="139"/>
      <c r="AX300" s="139"/>
      <c r="AY300" s="139"/>
      <c r="AZ300" s="139"/>
      <c r="BA300" s="139"/>
      <c r="BB300" s="139"/>
      <c r="BC300" s="139"/>
      <c r="BD300" s="139"/>
      <c r="BE300" s="139"/>
      <c r="BF300" s="139"/>
      <c r="BG300" s="139"/>
      <c r="BH300" s="139"/>
      <c r="BI300" s="139"/>
      <c r="BJ300" s="139"/>
      <c r="BK300" s="139"/>
      <c r="BL300" s="139"/>
      <c r="BM300" s="139"/>
      <c r="BN300" s="139"/>
      <c r="BO300" s="139"/>
      <c r="BP300" s="139"/>
      <c r="BQ300" s="139"/>
      <c r="BR300" s="139"/>
      <c r="BS300" s="139"/>
      <c r="BT300" s="139"/>
      <c r="BU300" s="139"/>
      <c r="BV300" s="139"/>
      <c r="BW300" s="139"/>
      <c r="BX300" s="139"/>
      <c r="BY300" s="139"/>
      <c r="BZ300" s="139"/>
      <c r="CA300" s="139"/>
      <c r="CB300" s="139"/>
      <c r="CC300" s="139"/>
      <c r="CD300" s="139"/>
      <c r="CE300" s="139"/>
      <c r="CF300" s="139"/>
      <c r="CG300" s="139"/>
      <c r="CH300" s="139"/>
      <c r="CI300" s="139"/>
      <c r="CJ300" s="139"/>
      <c r="CK300" s="139"/>
      <c r="CL300" s="139"/>
      <c r="CM300" s="139"/>
      <c r="CN300" s="139"/>
      <c r="CO300" s="139"/>
      <c r="CP300" s="139"/>
      <c r="CQ300" s="139"/>
      <c r="CR300" s="139"/>
      <c r="CS300" s="139"/>
      <c r="CT300" s="139"/>
      <c r="CU300" s="139"/>
      <c r="CV300" s="139"/>
      <c r="CW300" s="139"/>
      <c r="CX300" s="139"/>
      <c r="CY300" s="139"/>
      <c r="CZ300" s="139"/>
      <c r="DA300" s="139"/>
      <c r="DB300" s="139"/>
      <c r="DC300" s="139"/>
      <c r="DD300" s="139"/>
      <c r="DE300" s="139"/>
      <c r="DF300" s="139"/>
      <c r="DG300" s="139"/>
      <c r="DH300" s="139"/>
      <c r="DI300" s="139"/>
      <c r="DJ300" s="139"/>
      <c r="DK300" s="139"/>
      <c r="DL300" s="139"/>
      <c r="DM300" s="139"/>
      <c r="DN300" s="139"/>
      <c r="DO300" s="139"/>
      <c r="DP300" s="139"/>
      <c r="DQ300" s="139"/>
      <c r="DR300" s="139"/>
      <c r="DS300" s="139"/>
      <c r="DT300" s="139"/>
      <c r="DU300" s="139"/>
      <c r="DV300" s="139"/>
      <c r="DW300" s="139"/>
      <c r="DX300" s="139"/>
      <c r="DY300" s="139"/>
      <c r="DZ300" s="139"/>
      <c r="EA300" s="139"/>
      <c r="EB300" s="139"/>
      <c r="EC300" s="139"/>
      <c r="ED300" s="139"/>
      <c r="EE300" s="139"/>
      <c r="EF300" s="139"/>
      <c r="EG300" s="139"/>
      <c r="EH300" s="139"/>
      <c r="EI300" s="139"/>
      <c r="EJ300" s="139"/>
      <c r="EK300" s="139"/>
      <c r="EL300" s="139"/>
      <c r="EM300" s="139"/>
      <c r="EN300" s="139"/>
      <c r="EO300" s="139"/>
      <c r="EP300" s="139"/>
      <c r="EQ300" s="139"/>
      <c r="ER300" s="139"/>
      <c r="ES300" s="139"/>
      <c r="ET300" s="139"/>
      <c r="EU300" s="139"/>
      <c r="EV300" s="139"/>
      <c r="EW300" s="139"/>
      <c r="EX300" s="139"/>
      <c r="EY300" s="139"/>
      <c r="EZ300" s="139"/>
      <c r="FA300" s="139"/>
      <c r="FB300" s="139"/>
      <c r="FC300" s="139"/>
      <c r="FD300" s="139"/>
      <c r="FE300" s="139"/>
      <c r="FF300" s="139"/>
      <c r="FG300" s="139"/>
      <c r="FH300" s="139"/>
      <c r="FI300" s="139"/>
      <c r="FJ300" s="139"/>
      <c r="FK300" s="139"/>
      <c r="FL300" s="139"/>
      <c r="FM300" s="139"/>
      <c r="FN300" s="139"/>
      <c r="FO300" s="139"/>
      <c r="FP300" s="139"/>
      <c r="FQ300" s="139"/>
      <c r="FR300" s="139"/>
      <c r="FS300" s="139"/>
      <c r="FT300" s="139"/>
      <c r="FU300" s="139"/>
      <c r="FV300" s="139"/>
      <c r="FW300" s="139"/>
      <c r="FX300" s="139"/>
      <c r="FY300" s="139"/>
      <c r="FZ300" s="139"/>
      <c r="GA300" s="139"/>
      <c r="GB300" s="139"/>
      <c r="GC300" s="139"/>
      <c r="GD300" s="139"/>
      <c r="GE300" s="139"/>
      <c r="GF300" s="139"/>
      <c r="GG300" s="139"/>
      <c r="GH300" s="139"/>
      <c r="GI300" s="139"/>
      <c r="GJ300" s="139"/>
      <c r="GK300" s="139"/>
      <c r="GL300" s="139"/>
      <c r="GM300" s="139"/>
      <c r="GN300" s="139"/>
      <c r="GO300" s="139"/>
      <c r="GP300" s="139"/>
      <c r="GQ300" s="139"/>
      <c r="GR300" s="139"/>
      <c r="GS300" s="139"/>
      <c r="GT300" s="139"/>
      <c r="GU300" s="139"/>
      <c r="GV300" s="139"/>
      <c r="GW300" s="139"/>
      <c r="GX300" s="139"/>
      <c r="GY300" s="139"/>
      <c r="GZ300" s="139"/>
      <c r="HA300" s="139"/>
      <c r="HB300" s="139"/>
      <c r="HC300" s="139"/>
      <c r="HD300" s="139"/>
      <c r="HE300" s="139"/>
      <c r="HF300" s="139"/>
      <c r="HG300" s="139"/>
      <c r="HH300" s="139"/>
      <c r="HI300" s="139"/>
      <c r="HJ300" s="139"/>
      <c r="HK300" s="139"/>
      <c r="HL300" s="139"/>
      <c r="HM300" s="139"/>
      <c r="HN300" s="139"/>
      <c r="HO300" s="139"/>
      <c r="HP300" s="139"/>
      <c r="HQ300" s="139"/>
      <c r="HR300" s="139"/>
      <c r="HS300" s="139"/>
      <c r="HT300" s="139"/>
      <c r="HU300" s="139"/>
      <c r="HV300" s="139"/>
      <c r="HW300" s="139"/>
      <c r="HX300" s="139"/>
      <c r="HY300" s="139"/>
      <c r="HZ300" s="139"/>
      <c r="IA300" s="139"/>
      <c r="IB300" s="139"/>
      <c r="IC300" s="139"/>
      <c r="ID300" s="139"/>
      <c r="IE300" s="139"/>
      <c r="IF300" s="139"/>
      <c r="IG300" s="139"/>
      <c r="IH300" s="139"/>
      <c r="II300" s="139"/>
      <c r="IJ300" s="139"/>
      <c r="IK300" s="139"/>
      <c r="IL300" s="139"/>
      <c r="IM300" s="139"/>
      <c r="IN300" s="139"/>
      <c r="IO300" s="139"/>
      <c r="IP300" s="139"/>
      <c r="IQ300" s="139"/>
      <c r="IR300" s="139"/>
      <c r="IS300" s="139"/>
      <c r="IT300" s="139"/>
      <c r="IU300" s="139"/>
      <c r="IV300" s="139"/>
      <c r="IW300" s="139"/>
      <c r="IX300" s="139"/>
    </row>
    <row r="301" spans="2:258" x14ac:dyDescent="0.3">
      <c r="O301" s="139"/>
      <c r="P301" s="142"/>
      <c r="Q301" s="139"/>
      <c r="R301" s="142"/>
      <c r="S301" s="139"/>
      <c r="T301" s="139"/>
      <c r="U301" s="139"/>
      <c r="V301" s="139"/>
      <c r="W301" s="139"/>
      <c r="X301" s="139"/>
      <c r="Y301" s="139"/>
      <c r="Z301" s="139"/>
      <c r="AA301" s="139"/>
      <c r="AB301" s="139"/>
      <c r="AC301" s="139"/>
      <c r="AD301" s="139"/>
      <c r="AE301" s="139"/>
      <c r="AF301" s="139"/>
      <c r="AG301" s="139"/>
      <c r="AH301" s="139"/>
      <c r="AI301" s="139"/>
      <c r="AJ301" s="139"/>
      <c r="AK301" s="139"/>
      <c r="AL301" s="139"/>
      <c r="AM301" s="139"/>
      <c r="AN301" s="139"/>
      <c r="AO301" s="139"/>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c r="DU301" s="18"/>
      <c r="DV301" s="18"/>
      <c r="DW301" s="18"/>
      <c r="DX301" s="18"/>
      <c r="DY301" s="18"/>
      <c r="DZ301" s="18"/>
      <c r="EA301" s="18"/>
      <c r="EB301" s="18"/>
      <c r="EC301" s="18"/>
      <c r="ED301" s="18"/>
      <c r="EE301" s="18"/>
      <c r="EF301" s="18"/>
      <c r="EG301" s="18"/>
      <c r="EH301" s="18"/>
      <c r="EI301" s="18"/>
      <c r="EJ301" s="18"/>
      <c r="EK301" s="18"/>
      <c r="EL301" s="18"/>
      <c r="EM301" s="18"/>
      <c r="EN301" s="18"/>
      <c r="EO301" s="18"/>
      <c r="EP301" s="18"/>
      <c r="EQ301" s="18"/>
      <c r="ER301" s="18"/>
      <c r="ES301" s="18"/>
      <c r="ET301" s="18"/>
      <c r="EU301" s="18"/>
      <c r="EV301" s="18"/>
      <c r="EW301" s="18"/>
      <c r="EX301" s="18"/>
      <c r="EY301" s="18"/>
      <c r="EZ301" s="18"/>
      <c r="FA301" s="18"/>
      <c r="FB301" s="18"/>
      <c r="FC301" s="18"/>
      <c r="FD301" s="18"/>
      <c r="FE301" s="18"/>
      <c r="FF301" s="18"/>
      <c r="FG301" s="18"/>
      <c r="FH301" s="18"/>
      <c r="FI301" s="18"/>
      <c r="FJ301" s="18"/>
      <c r="FK301" s="18"/>
      <c r="FL301" s="18"/>
      <c r="FM301" s="18"/>
      <c r="FN301" s="18"/>
      <c r="FO301" s="18"/>
      <c r="FP301" s="18"/>
      <c r="FQ301" s="18"/>
      <c r="FR301" s="18"/>
      <c r="FS301" s="18"/>
      <c r="FT301" s="18"/>
      <c r="FU301" s="18"/>
      <c r="FV301" s="18"/>
      <c r="FW301" s="18"/>
      <c r="FX301" s="18"/>
      <c r="FY301" s="18"/>
      <c r="FZ301" s="18"/>
      <c r="GA301" s="18"/>
      <c r="GB301" s="18"/>
      <c r="GC301" s="18"/>
      <c r="GD301" s="18"/>
      <c r="GE301" s="18"/>
      <c r="GF301" s="18"/>
      <c r="GG301" s="18"/>
      <c r="GH301" s="18"/>
      <c r="GI301" s="18"/>
      <c r="GJ301" s="18"/>
      <c r="GK301" s="18"/>
      <c r="GL301" s="18"/>
      <c r="GM301" s="18"/>
      <c r="GN301" s="18"/>
      <c r="GO301" s="18"/>
      <c r="GP301" s="18"/>
      <c r="GQ301" s="18"/>
      <c r="GR301" s="18"/>
      <c r="GS301" s="18"/>
      <c r="GT301" s="18"/>
      <c r="GU301" s="18"/>
      <c r="GV301" s="18"/>
      <c r="GW301" s="18"/>
      <c r="GX301" s="18"/>
      <c r="GY301" s="18"/>
      <c r="GZ301" s="18"/>
      <c r="HA301" s="18"/>
      <c r="HB301" s="18"/>
      <c r="HC301" s="18"/>
      <c r="HD301" s="18"/>
      <c r="HE301" s="18"/>
      <c r="HF301" s="18"/>
      <c r="HG301" s="18"/>
      <c r="HH301" s="18"/>
      <c r="HI301" s="18"/>
      <c r="HJ301" s="18"/>
      <c r="HK301" s="18"/>
      <c r="HL301" s="18"/>
      <c r="HM301" s="18"/>
      <c r="HN301" s="18"/>
      <c r="HO301" s="18"/>
      <c r="HP301" s="18"/>
      <c r="HQ301" s="18"/>
      <c r="HR301" s="18"/>
      <c r="HS301" s="18"/>
      <c r="HT301" s="18"/>
      <c r="HU301" s="18"/>
      <c r="HV301" s="18"/>
      <c r="HW301" s="18"/>
      <c r="HX301" s="18"/>
      <c r="HY301" s="18"/>
      <c r="HZ301" s="18"/>
      <c r="IA301" s="18"/>
      <c r="IB301" s="18"/>
      <c r="IC301" s="18"/>
      <c r="ID301" s="18"/>
      <c r="IE301" s="18"/>
      <c r="IF301" s="18"/>
      <c r="IG301" s="18"/>
      <c r="IH301" s="18"/>
      <c r="II301" s="18"/>
      <c r="IJ301" s="18"/>
      <c r="IK301" s="18"/>
      <c r="IL301" s="18"/>
      <c r="IM301" s="18"/>
      <c r="IN301" s="18"/>
      <c r="IO301" s="18"/>
      <c r="IP301" s="18"/>
      <c r="IQ301" s="18"/>
      <c r="IR301" s="18"/>
      <c r="IS301" s="18"/>
    </row>
    <row r="302" spans="2:258" x14ac:dyDescent="0.3">
      <c r="O302" s="163"/>
      <c r="P302" s="512"/>
      <c r="Q302" s="512"/>
      <c r="R302" s="18"/>
      <c r="S302" s="18"/>
      <c r="T302" s="18"/>
      <c r="U302" s="18"/>
      <c r="V302" s="137"/>
      <c r="W302" s="137"/>
      <c r="X302" s="137"/>
      <c r="Y302" s="137"/>
      <c r="Z302" s="137"/>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c r="DU302" s="18"/>
      <c r="DV302" s="18"/>
      <c r="DW302" s="18"/>
      <c r="DX302" s="18"/>
      <c r="DY302" s="18"/>
      <c r="DZ302" s="18"/>
      <c r="EA302" s="18"/>
      <c r="EB302" s="18"/>
      <c r="EC302" s="18"/>
      <c r="ED302" s="18"/>
      <c r="EE302" s="18"/>
      <c r="EF302" s="18"/>
      <c r="EG302" s="18"/>
      <c r="EH302" s="18"/>
      <c r="EI302" s="18"/>
      <c r="EJ302" s="18"/>
      <c r="EK302" s="18"/>
      <c r="EL302" s="18"/>
      <c r="EM302" s="18"/>
      <c r="EN302" s="18"/>
      <c r="EO302" s="18"/>
      <c r="EP302" s="18"/>
      <c r="EQ302" s="18"/>
      <c r="ER302" s="18"/>
      <c r="ES302" s="18"/>
      <c r="ET302" s="18"/>
      <c r="EU302" s="18"/>
      <c r="EV302" s="18"/>
      <c r="EW302" s="18"/>
      <c r="EX302" s="18"/>
      <c r="EY302" s="18"/>
      <c r="EZ302" s="18"/>
      <c r="FA302" s="18"/>
      <c r="FB302" s="18"/>
      <c r="FC302" s="18"/>
      <c r="FD302" s="18"/>
      <c r="FE302" s="18"/>
      <c r="FF302" s="18"/>
      <c r="FG302" s="18"/>
      <c r="FH302" s="18"/>
      <c r="FI302" s="18"/>
      <c r="FJ302" s="18"/>
      <c r="FK302" s="18"/>
      <c r="FL302" s="18"/>
      <c r="FM302" s="18"/>
      <c r="FN302" s="18"/>
      <c r="FO302" s="18"/>
      <c r="FP302" s="18"/>
      <c r="FQ302" s="18"/>
      <c r="FR302" s="18"/>
      <c r="FS302" s="18"/>
      <c r="FT302" s="18"/>
      <c r="FU302" s="18"/>
      <c r="FV302" s="18"/>
      <c r="FW302" s="18"/>
      <c r="FX302" s="18"/>
      <c r="FY302" s="18"/>
      <c r="FZ302" s="18"/>
      <c r="GA302" s="18"/>
      <c r="GB302" s="18"/>
      <c r="GC302" s="18"/>
      <c r="GD302" s="18"/>
      <c r="GE302" s="18"/>
      <c r="GF302" s="18"/>
      <c r="GG302" s="18"/>
      <c r="GH302" s="18"/>
      <c r="GI302" s="18"/>
      <c r="GJ302" s="18"/>
      <c r="GK302" s="18"/>
      <c r="GL302" s="18"/>
      <c r="GM302" s="18"/>
      <c r="GN302" s="18"/>
      <c r="GO302" s="18"/>
      <c r="GP302" s="18"/>
      <c r="GQ302" s="18"/>
      <c r="GR302" s="18"/>
      <c r="GS302" s="18"/>
      <c r="GT302" s="18"/>
      <c r="GU302" s="18"/>
      <c r="GV302" s="18"/>
      <c r="GW302" s="18"/>
      <c r="GX302" s="18"/>
      <c r="GY302" s="18"/>
      <c r="GZ302" s="18"/>
      <c r="HA302" s="18"/>
      <c r="HB302" s="18"/>
      <c r="HC302" s="18"/>
      <c r="HD302" s="18"/>
      <c r="HE302" s="18"/>
      <c r="HF302" s="18"/>
      <c r="HG302" s="18"/>
      <c r="HH302" s="18"/>
      <c r="HI302" s="18"/>
      <c r="HJ302" s="18"/>
      <c r="HK302" s="18"/>
      <c r="HL302" s="18"/>
      <c r="HM302" s="18"/>
      <c r="HN302" s="18"/>
      <c r="HO302" s="18"/>
      <c r="HP302" s="18"/>
      <c r="HQ302" s="18"/>
      <c r="HR302" s="18"/>
      <c r="HS302" s="18"/>
      <c r="HT302" s="18"/>
      <c r="HU302" s="18"/>
      <c r="HV302" s="18"/>
      <c r="HW302" s="18"/>
      <c r="HX302" s="18"/>
      <c r="HY302" s="18"/>
      <c r="HZ302" s="18"/>
      <c r="IA302" s="18"/>
      <c r="IB302" s="18"/>
      <c r="IC302" s="18"/>
      <c r="ID302" s="18"/>
      <c r="IE302" s="18"/>
      <c r="IF302" s="18"/>
      <c r="IG302" s="18"/>
      <c r="IH302" s="18"/>
      <c r="II302" s="18"/>
      <c r="IJ302" s="18"/>
      <c r="IK302" s="18"/>
      <c r="IL302" s="18"/>
      <c r="IM302" s="18"/>
      <c r="IN302" s="18"/>
      <c r="IO302" s="18"/>
      <c r="IP302" s="18"/>
      <c r="IQ302" s="18"/>
      <c r="IR302" s="18"/>
      <c r="IS302" s="18"/>
    </row>
    <row r="303" spans="2:258" x14ac:dyDescent="0.3">
      <c r="O303" s="163"/>
      <c r="P303" s="18"/>
      <c r="Q303" s="18"/>
      <c r="R303" s="18"/>
      <c r="S303" s="18"/>
      <c r="T303" s="18"/>
      <c r="U303" s="487"/>
      <c r="V303" s="494"/>
      <c r="W303" s="137"/>
      <c r="X303" s="137"/>
      <c r="Y303" s="137"/>
      <c r="Z303" s="137"/>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c r="DU303" s="18"/>
      <c r="DV303" s="18"/>
      <c r="DW303" s="18"/>
      <c r="DX303" s="18"/>
      <c r="DY303" s="18"/>
      <c r="DZ303" s="18"/>
      <c r="EA303" s="18"/>
      <c r="EB303" s="18"/>
      <c r="EC303" s="18"/>
      <c r="ED303" s="18"/>
      <c r="EE303" s="18"/>
      <c r="EF303" s="18"/>
      <c r="EG303" s="18"/>
      <c r="EH303" s="18"/>
      <c r="EI303" s="18"/>
      <c r="EJ303" s="18"/>
      <c r="EK303" s="18"/>
      <c r="EL303" s="18"/>
      <c r="EM303" s="18"/>
      <c r="EN303" s="18"/>
      <c r="EO303" s="18"/>
      <c r="EP303" s="18"/>
      <c r="EQ303" s="18"/>
      <c r="ER303" s="18"/>
      <c r="ES303" s="18"/>
      <c r="ET303" s="18"/>
      <c r="EU303" s="18"/>
      <c r="EV303" s="18"/>
      <c r="EW303" s="18"/>
      <c r="EX303" s="18"/>
      <c r="EY303" s="18"/>
      <c r="EZ303" s="18"/>
      <c r="FA303" s="18"/>
      <c r="FB303" s="18"/>
      <c r="FC303" s="18"/>
      <c r="FD303" s="18"/>
      <c r="FE303" s="18"/>
      <c r="FF303" s="18"/>
      <c r="FG303" s="18"/>
      <c r="FH303" s="18"/>
      <c r="FI303" s="18"/>
      <c r="FJ303" s="18"/>
      <c r="FK303" s="18"/>
      <c r="FL303" s="18"/>
      <c r="FM303" s="18"/>
      <c r="FN303" s="18"/>
      <c r="FO303" s="18"/>
      <c r="FP303" s="18"/>
      <c r="FQ303" s="18"/>
      <c r="FR303" s="18"/>
      <c r="FS303" s="18"/>
      <c r="FT303" s="18"/>
      <c r="FU303" s="18"/>
      <c r="FV303" s="18"/>
      <c r="FW303" s="18"/>
      <c r="FX303" s="18"/>
      <c r="FY303" s="18"/>
      <c r="FZ303" s="18"/>
      <c r="GA303" s="18"/>
      <c r="GB303" s="18"/>
      <c r="GC303" s="18"/>
      <c r="GD303" s="18"/>
      <c r="GE303" s="18"/>
      <c r="GF303" s="18"/>
      <c r="GG303" s="18"/>
      <c r="GH303" s="18"/>
      <c r="GI303" s="18"/>
      <c r="GJ303" s="18"/>
      <c r="GK303" s="18"/>
      <c r="GL303" s="18"/>
      <c r="GM303" s="18"/>
      <c r="GN303" s="18"/>
      <c r="GO303" s="18"/>
      <c r="GP303" s="18"/>
      <c r="GQ303" s="18"/>
      <c r="GR303" s="18"/>
      <c r="GS303" s="18"/>
      <c r="GT303" s="18"/>
      <c r="GU303" s="18"/>
      <c r="GV303" s="18"/>
      <c r="GW303" s="18"/>
      <c r="GX303" s="18"/>
      <c r="GY303" s="18"/>
      <c r="GZ303" s="18"/>
      <c r="HA303" s="18"/>
      <c r="HB303" s="18"/>
      <c r="HC303" s="18"/>
      <c r="HD303" s="18"/>
      <c r="HE303" s="18"/>
      <c r="HF303" s="18"/>
      <c r="HG303" s="18"/>
      <c r="HH303" s="18"/>
      <c r="HI303" s="18"/>
      <c r="HJ303" s="18"/>
      <c r="HK303" s="18"/>
      <c r="HL303" s="18"/>
      <c r="HM303" s="18"/>
      <c r="HN303" s="18"/>
      <c r="HO303" s="18"/>
      <c r="HP303" s="18"/>
      <c r="HQ303" s="18"/>
      <c r="HR303" s="18"/>
      <c r="HS303" s="18"/>
      <c r="HT303" s="18"/>
      <c r="HU303" s="18"/>
      <c r="HV303" s="18"/>
      <c r="HW303" s="18"/>
      <c r="HX303" s="18"/>
      <c r="HY303" s="18"/>
      <c r="HZ303" s="18"/>
      <c r="IA303" s="18"/>
      <c r="IB303" s="18"/>
      <c r="IC303" s="18"/>
      <c r="ID303" s="18"/>
      <c r="IE303" s="18"/>
      <c r="IF303" s="18"/>
      <c r="IG303" s="18"/>
      <c r="IH303" s="18"/>
      <c r="II303" s="18"/>
      <c r="IJ303" s="18"/>
      <c r="IK303" s="18"/>
      <c r="IL303" s="18"/>
      <c r="IM303" s="18"/>
      <c r="IN303" s="18"/>
      <c r="IO303" s="18"/>
      <c r="IP303" s="18"/>
      <c r="IQ303" s="18"/>
      <c r="IR303" s="18"/>
      <c r="IS303" s="18"/>
    </row>
    <row r="304" spans="2:258" x14ac:dyDescent="0.3">
      <c r="O304" s="18"/>
      <c r="P304" s="18"/>
      <c r="Q304" s="18"/>
      <c r="R304" s="18"/>
      <c r="S304" s="18"/>
      <c r="T304" s="18"/>
      <c r="U304" s="18"/>
      <c r="V304" s="494"/>
      <c r="W304" s="137"/>
      <c r="X304" s="137"/>
      <c r="Y304" s="137"/>
      <c r="Z304" s="495"/>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c r="DU304" s="18"/>
      <c r="DV304" s="18"/>
      <c r="DW304" s="18"/>
      <c r="DX304" s="18"/>
      <c r="DY304" s="18"/>
      <c r="DZ304" s="18"/>
      <c r="EA304" s="18"/>
      <c r="EB304" s="18"/>
      <c r="EC304" s="18"/>
      <c r="ED304" s="18"/>
      <c r="EE304" s="18"/>
      <c r="EF304" s="18"/>
      <c r="EG304" s="18"/>
      <c r="EH304" s="18"/>
      <c r="EI304" s="18"/>
      <c r="EJ304" s="18"/>
      <c r="EK304" s="18"/>
      <c r="EL304" s="18"/>
      <c r="EM304" s="18"/>
      <c r="EN304" s="18"/>
      <c r="EO304" s="18"/>
      <c r="EP304" s="18"/>
      <c r="EQ304" s="18"/>
      <c r="ER304" s="18"/>
      <c r="ES304" s="18"/>
      <c r="ET304" s="18"/>
      <c r="EU304" s="18"/>
      <c r="EV304" s="18"/>
      <c r="EW304" s="18"/>
      <c r="EX304" s="18"/>
      <c r="EY304" s="18"/>
      <c r="EZ304" s="18"/>
      <c r="FA304" s="18"/>
      <c r="FB304" s="18"/>
      <c r="FC304" s="18"/>
      <c r="FD304" s="18"/>
      <c r="FE304" s="18"/>
      <c r="FF304" s="18"/>
      <c r="FG304" s="18"/>
      <c r="FH304" s="18"/>
      <c r="FI304" s="18"/>
      <c r="FJ304" s="18"/>
      <c r="FK304" s="18"/>
      <c r="FL304" s="18"/>
      <c r="FM304" s="18"/>
      <c r="FN304" s="18"/>
      <c r="FO304" s="18"/>
      <c r="FP304" s="18"/>
      <c r="FQ304" s="18"/>
      <c r="FR304" s="18"/>
      <c r="FS304" s="18"/>
      <c r="FT304" s="18"/>
      <c r="FU304" s="18"/>
      <c r="FV304" s="18"/>
      <c r="FW304" s="18"/>
      <c r="FX304" s="18"/>
      <c r="FY304" s="18"/>
      <c r="FZ304" s="18"/>
      <c r="GA304" s="18"/>
      <c r="GB304" s="18"/>
      <c r="GC304" s="18"/>
      <c r="GD304" s="18"/>
      <c r="GE304" s="18"/>
      <c r="GF304" s="18"/>
      <c r="GG304" s="18"/>
      <c r="GH304" s="18"/>
      <c r="GI304" s="18"/>
      <c r="GJ304" s="18"/>
      <c r="GK304" s="18"/>
      <c r="GL304" s="18"/>
      <c r="GM304" s="18"/>
      <c r="GN304" s="18"/>
      <c r="GO304" s="18"/>
      <c r="GP304" s="18"/>
      <c r="GQ304" s="18"/>
      <c r="GR304" s="18"/>
      <c r="GS304" s="18"/>
      <c r="GT304" s="18"/>
      <c r="GU304" s="18"/>
      <c r="GV304" s="18"/>
      <c r="GW304" s="18"/>
      <c r="GX304" s="18"/>
      <c r="GY304" s="18"/>
      <c r="GZ304" s="18"/>
      <c r="HA304" s="18"/>
      <c r="HB304" s="18"/>
      <c r="HC304" s="18"/>
      <c r="HD304" s="18"/>
      <c r="HE304" s="18"/>
      <c r="HF304" s="18"/>
      <c r="HG304" s="18"/>
      <c r="HH304" s="18"/>
      <c r="HI304" s="18"/>
      <c r="HJ304" s="18"/>
      <c r="HK304" s="18"/>
      <c r="HL304" s="18"/>
      <c r="HM304" s="18"/>
      <c r="HN304" s="18"/>
      <c r="HO304" s="18"/>
      <c r="HP304" s="18"/>
      <c r="HQ304" s="18"/>
      <c r="HR304" s="18"/>
      <c r="HS304" s="18"/>
      <c r="HT304" s="18"/>
      <c r="HU304" s="18"/>
      <c r="HV304" s="18"/>
      <c r="HW304" s="18"/>
      <c r="HX304" s="18"/>
      <c r="HY304" s="18"/>
      <c r="HZ304" s="18"/>
      <c r="IA304" s="18"/>
      <c r="IB304" s="18"/>
      <c r="IC304" s="18"/>
      <c r="ID304" s="18"/>
      <c r="IE304" s="18"/>
      <c r="IF304" s="18"/>
      <c r="IG304" s="18"/>
      <c r="IH304" s="18"/>
      <c r="II304" s="18"/>
      <c r="IJ304" s="18"/>
      <c r="IK304" s="18"/>
      <c r="IL304" s="18"/>
      <c r="IM304" s="18"/>
      <c r="IN304" s="18"/>
      <c r="IO304" s="18"/>
      <c r="IP304" s="18"/>
      <c r="IQ304" s="18"/>
      <c r="IR304" s="18"/>
      <c r="IS304" s="18"/>
    </row>
    <row r="305" spans="2:253" x14ac:dyDescent="0.3">
      <c r="O305" s="487"/>
      <c r="P305" s="487"/>
      <c r="Q305" s="161"/>
      <c r="R305" s="487"/>
      <c r="S305" s="161"/>
      <c r="T305" s="18"/>
      <c r="U305" s="18"/>
      <c r="V305" s="494"/>
      <c r="W305" s="137"/>
      <c r="X305" s="137"/>
      <c r="Y305" s="137"/>
      <c r="Z305" s="137"/>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c r="DU305" s="18"/>
      <c r="DV305" s="18"/>
      <c r="DW305" s="18"/>
      <c r="DX305" s="18"/>
      <c r="DY305" s="18"/>
      <c r="DZ305" s="18"/>
      <c r="EA305" s="18"/>
      <c r="EB305" s="18"/>
      <c r="EC305" s="18"/>
      <c r="ED305" s="18"/>
      <c r="EE305" s="18"/>
      <c r="EF305" s="18"/>
      <c r="EG305" s="18"/>
      <c r="EH305" s="18"/>
      <c r="EI305" s="18"/>
      <c r="EJ305" s="18"/>
      <c r="EK305" s="18"/>
      <c r="EL305" s="18"/>
      <c r="EM305" s="18"/>
      <c r="EN305" s="18"/>
      <c r="EO305" s="18"/>
      <c r="EP305" s="18"/>
      <c r="EQ305" s="18"/>
      <c r="ER305" s="18"/>
      <c r="ES305" s="18"/>
      <c r="ET305" s="18"/>
      <c r="EU305" s="18"/>
      <c r="EV305" s="18"/>
      <c r="EW305" s="18"/>
      <c r="EX305" s="18"/>
      <c r="EY305" s="18"/>
      <c r="EZ305" s="18"/>
      <c r="FA305" s="18"/>
      <c r="FB305" s="18"/>
      <c r="FC305" s="18"/>
      <c r="FD305" s="18"/>
      <c r="FE305" s="18"/>
      <c r="FF305" s="18"/>
      <c r="FG305" s="18"/>
      <c r="FH305" s="18"/>
      <c r="FI305" s="18"/>
      <c r="FJ305" s="18"/>
      <c r="FK305" s="18"/>
      <c r="FL305" s="18"/>
      <c r="FM305" s="18"/>
      <c r="FN305" s="18"/>
      <c r="FO305" s="18"/>
      <c r="FP305" s="18"/>
      <c r="FQ305" s="18"/>
      <c r="FR305" s="18"/>
      <c r="FS305" s="18"/>
      <c r="FT305" s="18"/>
      <c r="FU305" s="18"/>
      <c r="FV305" s="18"/>
      <c r="FW305" s="18"/>
      <c r="FX305" s="18"/>
      <c r="FY305" s="18"/>
      <c r="FZ305" s="18"/>
      <c r="GA305" s="18"/>
      <c r="GB305" s="18"/>
      <c r="GC305" s="18"/>
      <c r="GD305" s="18"/>
      <c r="GE305" s="18"/>
      <c r="GF305" s="18"/>
      <c r="GG305" s="18"/>
      <c r="GH305" s="18"/>
      <c r="GI305" s="18"/>
      <c r="GJ305" s="18"/>
      <c r="GK305" s="18"/>
      <c r="GL305" s="18"/>
      <c r="GM305" s="18"/>
      <c r="GN305" s="18"/>
      <c r="GO305" s="18"/>
      <c r="GP305" s="18"/>
      <c r="GQ305" s="18"/>
      <c r="GR305" s="18"/>
      <c r="GS305" s="18"/>
      <c r="GT305" s="18"/>
      <c r="GU305" s="18"/>
      <c r="GV305" s="18"/>
      <c r="GW305" s="18"/>
      <c r="GX305" s="18"/>
      <c r="GY305" s="18"/>
      <c r="GZ305" s="18"/>
      <c r="HA305" s="18"/>
      <c r="HB305" s="18"/>
      <c r="HC305" s="18"/>
      <c r="HD305" s="18"/>
      <c r="HE305" s="18"/>
      <c r="HF305" s="18"/>
      <c r="HG305" s="18"/>
      <c r="HH305" s="18"/>
      <c r="HI305" s="18"/>
      <c r="HJ305" s="18"/>
      <c r="HK305" s="18"/>
      <c r="HL305" s="18"/>
      <c r="HM305" s="18"/>
      <c r="HN305" s="18"/>
      <c r="HO305" s="18"/>
      <c r="HP305" s="18"/>
      <c r="HQ305" s="18"/>
      <c r="HR305" s="18"/>
      <c r="HS305" s="18"/>
      <c r="HT305" s="18"/>
      <c r="HU305" s="18"/>
      <c r="HV305" s="18"/>
      <c r="HW305" s="18"/>
      <c r="HX305" s="18"/>
      <c r="HY305" s="18"/>
      <c r="HZ305" s="18"/>
      <c r="IA305" s="18"/>
      <c r="IB305" s="18"/>
      <c r="IC305" s="18"/>
      <c r="ID305" s="18"/>
      <c r="IE305" s="18"/>
      <c r="IF305" s="18"/>
      <c r="IG305" s="18"/>
      <c r="IH305" s="18"/>
      <c r="II305" s="18"/>
      <c r="IJ305" s="18"/>
      <c r="IK305" s="18"/>
      <c r="IL305" s="18"/>
      <c r="IM305" s="18"/>
      <c r="IN305" s="18"/>
      <c r="IO305" s="18"/>
      <c r="IP305" s="18"/>
      <c r="IQ305" s="18"/>
      <c r="IR305" s="18"/>
      <c r="IS305" s="18"/>
    </row>
    <row r="306" spans="2:253" x14ac:dyDescent="0.3">
      <c r="O306" s="18"/>
      <c r="P306" s="18"/>
      <c r="Q306" s="18"/>
      <c r="R306" s="18"/>
      <c r="S306" s="18"/>
      <c r="T306" s="18"/>
      <c r="U306" s="18"/>
      <c r="V306" s="137"/>
      <c r="W306" s="137"/>
      <c r="X306" s="137"/>
      <c r="Y306" s="137"/>
      <c r="Z306" s="137"/>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c r="DU306" s="18"/>
      <c r="DV306" s="18"/>
      <c r="DW306" s="18"/>
      <c r="DX306" s="18"/>
      <c r="DY306" s="18"/>
      <c r="DZ306" s="18"/>
      <c r="EA306" s="18"/>
      <c r="EB306" s="18"/>
      <c r="EC306" s="18"/>
      <c r="ED306" s="18"/>
      <c r="EE306" s="18"/>
      <c r="EF306" s="18"/>
      <c r="EG306" s="18"/>
      <c r="EH306" s="18"/>
      <c r="EI306" s="18"/>
      <c r="EJ306" s="18"/>
      <c r="EK306" s="18"/>
      <c r="EL306" s="18"/>
      <c r="EM306" s="18"/>
      <c r="EN306" s="18"/>
      <c r="EO306" s="18"/>
      <c r="EP306" s="18"/>
      <c r="EQ306" s="18"/>
      <c r="ER306" s="18"/>
      <c r="ES306" s="18"/>
      <c r="ET306" s="18"/>
      <c r="EU306" s="18"/>
      <c r="EV306" s="18"/>
      <c r="EW306" s="18"/>
      <c r="EX306" s="18"/>
      <c r="EY306" s="18"/>
      <c r="EZ306" s="18"/>
      <c r="FA306" s="18"/>
      <c r="FB306" s="18"/>
      <c r="FC306" s="18"/>
      <c r="FD306" s="18"/>
      <c r="FE306" s="18"/>
      <c r="FF306" s="18"/>
      <c r="FG306" s="18"/>
      <c r="FH306" s="18"/>
      <c r="FI306" s="18"/>
      <c r="FJ306" s="18"/>
      <c r="FK306" s="18"/>
      <c r="FL306" s="18"/>
      <c r="FM306" s="18"/>
      <c r="FN306" s="18"/>
      <c r="FO306" s="18"/>
      <c r="FP306" s="18"/>
      <c r="FQ306" s="18"/>
      <c r="FR306" s="18"/>
      <c r="FS306" s="18"/>
      <c r="FT306" s="18"/>
      <c r="FU306" s="18"/>
      <c r="FV306" s="18"/>
      <c r="FW306" s="18"/>
      <c r="FX306" s="18"/>
      <c r="FY306" s="18"/>
      <c r="FZ306" s="18"/>
      <c r="GA306" s="18"/>
      <c r="GB306" s="18"/>
      <c r="GC306" s="18"/>
      <c r="GD306" s="18"/>
      <c r="GE306" s="18"/>
      <c r="GF306" s="18"/>
      <c r="GG306" s="18"/>
      <c r="GH306" s="18"/>
      <c r="GI306" s="18"/>
      <c r="GJ306" s="18"/>
      <c r="GK306" s="18"/>
      <c r="GL306" s="18"/>
      <c r="GM306" s="18"/>
      <c r="GN306" s="18"/>
      <c r="GO306" s="18"/>
      <c r="GP306" s="18"/>
      <c r="GQ306" s="18"/>
      <c r="GR306" s="18"/>
      <c r="GS306" s="18"/>
      <c r="GT306" s="18"/>
      <c r="GU306" s="18"/>
      <c r="GV306" s="18"/>
      <c r="GW306" s="18"/>
      <c r="GX306" s="18"/>
      <c r="GY306" s="18"/>
      <c r="GZ306" s="18"/>
      <c r="HA306" s="18"/>
      <c r="HB306" s="18"/>
      <c r="HC306" s="18"/>
      <c r="HD306" s="18"/>
      <c r="HE306" s="18"/>
      <c r="HF306" s="18"/>
      <c r="HG306" s="18"/>
      <c r="HH306" s="18"/>
      <c r="HI306" s="18"/>
      <c r="HJ306" s="18"/>
      <c r="HK306" s="18"/>
      <c r="HL306" s="18"/>
      <c r="HM306" s="18"/>
      <c r="HN306" s="18"/>
      <c r="HO306" s="18"/>
      <c r="HP306" s="18"/>
      <c r="HQ306" s="18"/>
      <c r="HR306" s="18"/>
      <c r="HS306" s="18"/>
      <c r="HT306" s="18"/>
      <c r="HU306" s="18"/>
      <c r="HV306" s="18"/>
      <c r="HW306" s="18"/>
      <c r="HX306" s="18"/>
      <c r="HY306" s="18"/>
      <c r="HZ306" s="18"/>
      <c r="IA306" s="18"/>
      <c r="IB306" s="18"/>
      <c r="IC306" s="18"/>
      <c r="ID306" s="18"/>
      <c r="IE306" s="18"/>
      <c r="IF306" s="18"/>
      <c r="IG306" s="18"/>
      <c r="IH306" s="18"/>
      <c r="II306" s="18"/>
      <c r="IJ306" s="18"/>
      <c r="IK306" s="18"/>
      <c r="IL306" s="18"/>
      <c r="IM306" s="18"/>
      <c r="IN306" s="18"/>
      <c r="IO306" s="18"/>
      <c r="IP306" s="18"/>
      <c r="IQ306" s="18"/>
      <c r="IR306" s="18"/>
      <c r="IS306" s="18"/>
    </row>
    <row r="307" spans="2:253" x14ac:dyDescent="0.3">
      <c r="B307" s="287"/>
      <c r="C307" s="288"/>
      <c r="D307" s="430"/>
      <c r="E307" s="430"/>
      <c r="F307" s="430"/>
      <c r="G307" s="430"/>
      <c r="H307" s="430"/>
      <c r="I307" s="18"/>
      <c r="J307" s="18"/>
      <c r="K307" s="163"/>
      <c r="L307" s="18"/>
      <c r="M307" s="18"/>
      <c r="N307" s="496"/>
      <c r="O307" s="496"/>
      <c r="P307" s="496"/>
      <c r="Q307" s="496"/>
      <c r="R307" s="496"/>
      <c r="S307" s="496"/>
      <c r="T307" s="18"/>
      <c r="U307" s="18"/>
      <c r="V307" s="137"/>
      <c r="W307" s="137"/>
      <c r="X307" s="137"/>
      <c r="Y307" s="137"/>
      <c r="Z307" s="137"/>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c r="DU307" s="18"/>
      <c r="DV307" s="18"/>
      <c r="DW307" s="18"/>
      <c r="DX307" s="18"/>
      <c r="DY307" s="18"/>
      <c r="DZ307" s="18"/>
      <c r="EA307" s="18"/>
      <c r="EB307" s="18"/>
      <c r="EC307" s="18"/>
      <c r="ED307" s="18"/>
      <c r="EE307" s="18"/>
      <c r="EF307" s="18"/>
      <c r="EG307" s="18"/>
      <c r="EH307" s="18"/>
      <c r="EI307" s="18"/>
      <c r="EJ307" s="18"/>
      <c r="EK307" s="18"/>
      <c r="EL307" s="18"/>
      <c r="EM307" s="18"/>
      <c r="EN307" s="18"/>
      <c r="EO307" s="18"/>
      <c r="EP307" s="18"/>
      <c r="EQ307" s="18"/>
      <c r="ER307" s="18"/>
      <c r="ES307" s="18"/>
      <c r="ET307" s="18"/>
      <c r="EU307" s="18"/>
      <c r="EV307" s="18"/>
      <c r="EW307" s="18"/>
      <c r="EX307" s="18"/>
      <c r="EY307" s="18"/>
      <c r="EZ307" s="18"/>
      <c r="FA307" s="18"/>
      <c r="FB307" s="18"/>
      <c r="FC307" s="18"/>
      <c r="FD307" s="18"/>
      <c r="FE307" s="18"/>
      <c r="FF307" s="18"/>
      <c r="FG307" s="18"/>
      <c r="FH307" s="18"/>
      <c r="FI307" s="18"/>
      <c r="FJ307" s="18"/>
      <c r="FK307" s="18"/>
      <c r="FL307" s="18"/>
      <c r="FM307" s="18"/>
      <c r="FN307" s="18"/>
      <c r="FO307" s="18"/>
      <c r="FP307" s="18"/>
      <c r="FQ307" s="18"/>
      <c r="FR307" s="18"/>
      <c r="FS307" s="18"/>
      <c r="FT307" s="18"/>
      <c r="FU307" s="18"/>
      <c r="FV307" s="18"/>
      <c r="FW307" s="18"/>
      <c r="FX307" s="18"/>
      <c r="FY307" s="18"/>
      <c r="FZ307" s="18"/>
      <c r="GA307" s="18"/>
      <c r="GB307" s="18"/>
      <c r="GC307" s="18"/>
      <c r="GD307" s="18"/>
      <c r="GE307" s="18"/>
      <c r="GF307" s="18"/>
      <c r="GG307" s="18"/>
      <c r="GH307" s="18"/>
      <c r="GI307" s="18"/>
      <c r="GJ307" s="18"/>
      <c r="GK307" s="18"/>
      <c r="GL307" s="18"/>
      <c r="GM307" s="18"/>
      <c r="GN307" s="18"/>
      <c r="GO307" s="18"/>
      <c r="GP307" s="18"/>
      <c r="GQ307" s="18"/>
      <c r="GR307" s="18"/>
      <c r="GS307" s="18"/>
      <c r="GT307" s="18"/>
      <c r="GU307" s="18"/>
      <c r="GV307" s="18"/>
      <c r="GW307" s="18"/>
      <c r="GX307" s="18"/>
      <c r="GY307" s="18"/>
      <c r="GZ307" s="18"/>
      <c r="HA307" s="18"/>
      <c r="HB307" s="18"/>
      <c r="HC307" s="18"/>
      <c r="HD307" s="18"/>
      <c r="HE307" s="18"/>
      <c r="HF307" s="18"/>
      <c r="HG307" s="18"/>
      <c r="HH307" s="18"/>
      <c r="HI307" s="18"/>
      <c r="HJ307" s="18"/>
      <c r="HK307" s="18"/>
      <c r="HL307" s="18"/>
      <c r="HM307" s="18"/>
      <c r="HN307" s="18"/>
      <c r="HO307" s="18"/>
      <c r="HP307" s="18"/>
      <c r="HQ307" s="18"/>
      <c r="HR307" s="18"/>
      <c r="HS307" s="18"/>
      <c r="HT307" s="18"/>
      <c r="HU307" s="18"/>
      <c r="HV307" s="18"/>
      <c r="HW307" s="18"/>
      <c r="HX307" s="18"/>
      <c r="HY307" s="18"/>
      <c r="HZ307" s="18"/>
      <c r="IA307" s="18"/>
      <c r="IB307" s="18"/>
      <c r="IC307" s="18"/>
      <c r="ID307" s="18"/>
      <c r="IE307" s="18"/>
      <c r="IF307" s="18"/>
      <c r="IG307" s="18"/>
      <c r="IH307" s="18"/>
      <c r="II307" s="18"/>
      <c r="IJ307" s="18"/>
      <c r="IK307" s="18"/>
      <c r="IL307" s="18"/>
      <c r="IM307" s="18"/>
      <c r="IN307" s="18"/>
      <c r="IO307" s="18"/>
      <c r="IP307" s="18"/>
      <c r="IQ307" s="18"/>
      <c r="IR307" s="18"/>
      <c r="IS307" s="18"/>
    </row>
    <row r="308" spans="2:253" x14ac:dyDescent="0.3">
      <c r="B308" s="287"/>
      <c r="C308" s="288"/>
      <c r="D308" s="430"/>
      <c r="E308" s="430"/>
      <c r="F308" s="430"/>
      <c r="G308" s="430"/>
      <c r="H308" s="430"/>
      <c r="I308" s="18"/>
      <c r="J308" s="18"/>
      <c r="K308" s="497"/>
      <c r="L308" s="18"/>
      <c r="M308" s="18"/>
      <c r="N308" s="18"/>
      <c r="O308" s="18"/>
      <c r="P308" s="18"/>
      <c r="Q308" s="18"/>
      <c r="R308" s="18"/>
      <c r="S308" s="18"/>
      <c r="T308" s="18"/>
      <c r="U308" s="18"/>
      <c r="V308" s="137"/>
      <c r="W308" s="137"/>
      <c r="X308" s="137"/>
      <c r="Y308" s="137"/>
      <c r="Z308" s="137"/>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c r="DU308" s="18"/>
      <c r="DV308" s="18"/>
      <c r="DW308" s="18"/>
      <c r="DX308" s="18"/>
      <c r="DY308" s="18"/>
      <c r="DZ308" s="18"/>
      <c r="EA308" s="18"/>
      <c r="EB308" s="18"/>
      <c r="EC308" s="18"/>
      <c r="ED308" s="18"/>
      <c r="EE308" s="18"/>
      <c r="EF308" s="18"/>
      <c r="EG308" s="18"/>
      <c r="EH308" s="18"/>
      <c r="EI308" s="18"/>
      <c r="EJ308" s="18"/>
      <c r="EK308" s="18"/>
      <c r="EL308" s="18"/>
      <c r="EM308" s="18"/>
      <c r="EN308" s="18"/>
      <c r="EO308" s="18"/>
      <c r="EP308" s="18"/>
      <c r="EQ308" s="18"/>
      <c r="ER308" s="18"/>
      <c r="ES308" s="18"/>
      <c r="ET308" s="18"/>
      <c r="EU308" s="18"/>
      <c r="EV308" s="18"/>
      <c r="EW308" s="18"/>
      <c r="EX308" s="18"/>
      <c r="EY308" s="18"/>
      <c r="EZ308" s="18"/>
      <c r="FA308" s="18"/>
      <c r="FB308" s="18"/>
      <c r="FC308" s="18"/>
      <c r="FD308" s="18"/>
      <c r="FE308" s="18"/>
      <c r="FF308" s="18"/>
      <c r="FG308" s="18"/>
      <c r="FH308" s="18"/>
      <c r="FI308" s="18"/>
      <c r="FJ308" s="18"/>
      <c r="FK308" s="18"/>
      <c r="FL308" s="18"/>
      <c r="FM308" s="18"/>
      <c r="FN308" s="18"/>
      <c r="FO308" s="18"/>
      <c r="FP308" s="18"/>
      <c r="FQ308" s="18"/>
      <c r="FR308" s="18"/>
      <c r="FS308" s="18"/>
      <c r="FT308" s="18"/>
      <c r="FU308" s="18"/>
      <c r="FV308" s="18"/>
      <c r="FW308" s="18"/>
      <c r="FX308" s="18"/>
      <c r="FY308" s="18"/>
      <c r="FZ308" s="18"/>
      <c r="GA308" s="18"/>
      <c r="GB308" s="18"/>
      <c r="GC308" s="18"/>
      <c r="GD308" s="18"/>
      <c r="GE308" s="18"/>
      <c r="GF308" s="18"/>
      <c r="GG308" s="18"/>
      <c r="GH308" s="18"/>
      <c r="GI308" s="18"/>
      <c r="GJ308" s="18"/>
      <c r="GK308" s="18"/>
      <c r="GL308" s="18"/>
      <c r="GM308" s="18"/>
      <c r="GN308" s="18"/>
      <c r="GO308" s="18"/>
      <c r="GP308" s="18"/>
      <c r="GQ308" s="18"/>
      <c r="GR308" s="18"/>
      <c r="GS308" s="18"/>
      <c r="GT308" s="18"/>
      <c r="GU308" s="18"/>
      <c r="GV308" s="18"/>
      <c r="GW308" s="18"/>
      <c r="GX308" s="18"/>
      <c r="GY308" s="18"/>
      <c r="GZ308" s="18"/>
      <c r="HA308" s="18"/>
      <c r="HB308" s="18"/>
      <c r="HC308" s="18"/>
      <c r="HD308" s="18"/>
      <c r="HE308" s="18"/>
      <c r="HF308" s="18"/>
      <c r="HG308" s="18"/>
      <c r="HH308" s="18"/>
      <c r="HI308" s="18"/>
      <c r="HJ308" s="18"/>
      <c r="HK308" s="18"/>
      <c r="HL308" s="18"/>
      <c r="HM308" s="18"/>
      <c r="HN308" s="18"/>
      <c r="HO308" s="18"/>
      <c r="HP308" s="18"/>
      <c r="HQ308" s="18"/>
      <c r="HR308" s="18"/>
      <c r="HS308" s="18"/>
      <c r="HT308" s="18"/>
      <c r="HU308" s="18"/>
      <c r="HV308" s="18"/>
      <c r="HW308" s="18"/>
      <c r="HX308" s="18"/>
      <c r="HY308" s="18"/>
      <c r="HZ308" s="18"/>
      <c r="IA308" s="18"/>
      <c r="IB308" s="18"/>
      <c r="IC308" s="18"/>
      <c r="ID308" s="18"/>
      <c r="IE308" s="18"/>
      <c r="IF308" s="18"/>
      <c r="IG308" s="18"/>
      <c r="IH308" s="18"/>
      <c r="II308" s="18"/>
      <c r="IJ308" s="18"/>
      <c r="IK308" s="18"/>
      <c r="IL308" s="18"/>
      <c r="IM308" s="18"/>
      <c r="IN308" s="18"/>
      <c r="IO308" s="18"/>
      <c r="IP308" s="18"/>
      <c r="IQ308" s="18"/>
      <c r="IR308" s="18"/>
      <c r="IS308" s="18"/>
    </row>
    <row r="309" spans="2:253" x14ac:dyDescent="0.3">
      <c r="B309" s="287"/>
      <c r="C309" s="288"/>
      <c r="D309" s="431"/>
      <c r="E309" s="289"/>
      <c r="F309" s="289"/>
      <c r="G309" s="289"/>
      <c r="H309" s="289"/>
      <c r="I309" s="18"/>
      <c r="J309" s="18"/>
      <c r="K309" s="163"/>
      <c r="L309" s="18"/>
      <c r="M309" s="18"/>
      <c r="N309" s="18"/>
      <c r="O309" s="18"/>
      <c r="P309" s="18"/>
      <c r="Q309" s="18"/>
      <c r="R309" s="18"/>
      <c r="S309" s="383"/>
      <c r="T309" s="18"/>
      <c r="U309" s="18"/>
      <c r="V309" s="518"/>
      <c r="W309" s="137"/>
      <c r="X309" s="137"/>
      <c r="Y309" s="137"/>
      <c r="Z309" s="137"/>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c r="DU309" s="18"/>
      <c r="DV309" s="18"/>
      <c r="DW309" s="18"/>
      <c r="DX309" s="18"/>
      <c r="DY309" s="18"/>
      <c r="DZ309" s="18"/>
      <c r="EA309" s="18"/>
      <c r="EB309" s="18"/>
      <c r="EC309" s="18"/>
      <c r="ED309" s="18"/>
      <c r="EE309" s="18"/>
      <c r="EF309" s="18"/>
      <c r="EG309" s="18"/>
      <c r="EH309" s="18"/>
      <c r="EI309" s="18"/>
      <c r="EJ309" s="18"/>
      <c r="EK309" s="18"/>
      <c r="EL309" s="18"/>
      <c r="EM309" s="18"/>
      <c r="EN309" s="18"/>
      <c r="EO309" s="18"/>
      <c r="EP309" s="18"/>
      <c r="EQ309" s="18"/>
      <c r="ER309" s="18"/>
      <c r="ES309" s="18"/>
      <c r="ET309" s="18"/>
      <c r="EU309" s="18"/>
      <c r="EV309" s="18"/>
      <c r="EW309" s="18"/>
      <c r="EX309" s="18"/>
      <c r="EY309" s="18"/>
      <c r="EZ309" s="18"/>
      <c r="FA309" s="18"/>
      <c r="FB309" s="18"/>
      <c r="FC309" s="18"/>
      <c r="FD309" s="18"/>
      <c r="FE309" s="18"/>
      <c r="FF309" s="18"/>
      <c r="FG309" s="18"/>
      <c r="FH309" s="18"/>
      <c r="FI309" s="18"/>
      <c r="FJ309" s="18"/>
      <c r="FK309" s="18"/>
      <c r="FL309" s="18"/>
      <c r="FM309" s="18"/>
      <c r="FN309" s="18"/>
      <c r="FO309" s="18"/>
      <c r="FP309" s="18"/>
      <c r="FQ309" s="18"/>
      <c r="FR309" s="18"/>
      <c r="FS309" s="18"/>
      <c r="FT309" s="18"/>
      <c r="FU309" s="18"/>
      <c r="FV309" s="18"/>
      <c r="FW309" s="18"/>
      <c r="FX309" s="18"/>
      <c r="FY309" s="18"/>
      <c r="FZ309" s="18"/>
      <c r="GA309" s="18"/>
      <c r="GB309" s="18"/>
      <c r="GC309" s="18"/>
      <c r="GD309" s="18"/>
      <c r="GE309" s="18"/>
      <c r="GF309" s="18"/>
      <c r="GG309" s="18"/>
      <c r="GH309" s="18"/>
      <c r="GI309" s="18"/>
      <c r="GJ309" s="18"/>
      <c r="GK309" s="18"/>
      <c r="GL309" s="18"/>
      <c r="GM309" s="18"/>
      <c r="GN309" s="18"/>
      <c r="GO309" s="18"/>
      <c r="GP309" s="18"/>
      <c r="GQ309" s="18"/>
      <c r="GR309" s="18"/>
      <c r="GS309" s="18"/>
      <c r="GT309" s="18"/>
      <c r="GU309" s="18"/>
      <c r="GV309" s="18"/>
      <c r="GW309" s="18"/>
      <c r="GX309" s="18"/>
      <c r="GY309" s="18"/>
      <c r="GZ309" s="18"/>
      <c r="HA309" s="18"/>
      <c r="HB309" s="18"/>
      <c r="HC309" s="18"/>
      <c r="HD309" s="18"/>
      <c r="HE309" s="18"/>
      <c r="HF309" s="18"/>
      <c r="HG309" s="18"/>
      <c r="HH309" s="18"/>
      <c r="HI309" s="18"/>
      <c r="HJ309" s="18"/>
      <c r="HK309" s="18"/>
      <c r="HL309" s="18"/>
      <c r="HM309" s="18"/>
      <c r="HN309" s="18"/>
      <c r="HO309" s="18"/>
      <c r="HP309" s="18"/>
      <c r="HQ309" s="18"/>
      <c r="HR309" s="18"/>
      <c r="HS309" s="18"/>
      <c r="HT309" s="18"/>
      <c r="HU309" s="18"/>
      <c r="HV309" s="18"/>
      <c r="HW309" s="18"/>
      <c r="HX309" s="18"/>
      <c r="HY309" s="18"/>
      <c r="HZ309" s="18"/>
      <c r="IA309" s="18"/>
      <c r="IB309" s="18"/>
      <c r="IC309" s="18"/>
      <c r="ID309" s="18"/>
      <c r="IE309" s="18"/>
      <c r="IF309" s="18"/>
      <c r="IG309" s="18"/>
      <c r="IH309" s="18"/>
      <c r="II309" s="18"/>
      <c r="IJ309" s="18"/>
      <c r="IK309" s="18"/>
      <c r="IL309" s="18"/>
      <c r="IM309" s="18"/>
      <c r="IN309" s="18"/>
      <c r="IO309" s="18"/>
      <c r="IP309" s="18"/>
      <c r="IQ309" s="18"/>
      <c r="IR309" s="18"/>
      <c r="IS309" s="18"/>
    </row>
    <row r="310" spans="2:253" x14ac:dyDescent="0.3">
      <c r="B310" s="287"/>
      <c r="C310" s="288"/>
      <c r="D310" s="430"/>
      <c r="E310" s="18"/>
      <c r="F310" s="402"/>
      <c r="G310" s="402"/>
      <c r="H310" s="18"/>
      <c r="I310" s="18"/>
      <c r="J310" s="18"/>
      <c r="K310" s="163"/>
      <c r="L310" s="18"/>
      <c r="M310" s="18"/>
      <c r="N310" s="18"/>
      <c r="O310" s="18"/>
      <c r="P310" s="18"/>
      <c r="Q310" s="18"/>
      <c r="R310" s="18"/>
      <c r="S310" s="18"/>
      <c r="T310" s="18"/>
      <c r="U310" s="18"/>
      <c r="V310" s="137"/>
      <c r="W310" s="137"/>
      <c r="X310" s="137"/>
      <c r="Y310" s="137"/>
      <c r="Z310" s="137"/>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c r="DU310" s="18"/>
      <c r="DV310" s="18"/>
      <c r="DW310" s="18"/>
      <c r="DX310" s="18"/>
      <c r="DY310" s="18"/>
      <c r="DZ310" s="18"/>
      <c r="EA310" s="18"/>
      <c r="EB310" s="18"/>
      <c r="EC310" s="18"/>
      <c r="ED310" s="18"/>
      <c r="EE310" s="18"/>
      <c r="EF310" s="18"/>
      <c r="EG310" s="18"/>
      <c r="EH310" s="18"/>
      <c r="EI310" s="18"/>
      <c r="EJ310" s="18"/>
      <c r="EK310" s="18"/>
      <c r="EL310" s="18"/>
      <c r="EM310" s="18"/>
      <c r="EN310" s="18"/>
      <c r="EO310" s="18"/>
      <c r="EP310" s="18"/>
      <c r="EQ310" s="18"/>
      <c r="ER310" s="18"/>
      <c r="ES310" s="18"/>
      <c r="ET310" s="18"/>
      <c r="EU310" s="18"/>
      <c r="EV310" s="18"/>
      <c r="EW310" s="18"/>
      <c r="EX310" s="18"/>
      <c r="EY310" s="18"/>
      <c r="EZ310" s="18"/>
      <c r="FA310" s="18"/>
      <c r="FB310" s="18"/>
      <c r="FC310" s="18"/>
      <c r="FD310" s="18"/>
      <c r="FE310" s="18"/>
      <c r="FF310" s="18"/>
      <c r="FG310" s="18"/>
      <c r="FH310" s="18"/>
      <c r="FI310" s="18"/>
      <c r="FJ310" s="18"/>
      <c r="FK310" s="18"/>
      <c r="FL310" s="18"/>
      <c r="FM310" s="18"/>
      <c r="FN310" s="18"/>
      <c r="FO310" s="18"/>
      <c r="FP310" s="18"/>
      <c r="FQ310" s="18"/>
      <c r="FR310" s="18"/>
      <c r="FS310" s="18"/>
      <c r="FT310" s="18"/>
      <c r="FU310" s="18"/>
      <c r="FV310" s="18"/>
      <c r="FW310" s="18"/>
      <c r="FX310" s="18"/>
      <c r="FY310" s="18"/>
      <c r="FZ310" s="18"/>
      <c r="GA310" s="18"/>
      <c r="GB310" s="18"/>
      <c r="GC310" s="18"/>
      <c r="GD310" s="18"/>
      <c r="GE310" s="18"/>
      <c r="GF310" s="18"/>
      <c r="GG310" s="18"/>
      <c r="GH310" s="18"/>
      <c r="GI310" s="18"/>
      <c r="GJ310" s="18"/>
      <c r="GK310" s="18"/>
      <c r="GL310" s="18"/>
      <c r="GM310" s="18"/>
      <c r="GN310" s="18"/>
      <c r="GO310" s="18"/>
      <c r="GP310" s="18"/>
      <c r="GQ310" s="18"/>
      <c r="GR310" s="18"/>
      <c r="GS310" s="18"/>
      <c r="GT310" s="18"/>
      <c r="GU310" s="18"/>
      <c r="GV310" s="18"/>
      <c r="GW310" s="18"/>
      <c r="GX310" s="18"/>
      <c r="GY310" s="18"/>
      <c r="GZ310" s="18"/>
      <c r="HA310" s="18"/>
      <c r="HB310" s="18"/>
      <c r="HC310" s="18"/>
      <c r="HD310" s="18"/>
      <c r="HE310" s="18"/>
      <c r="HF310" s="18"/>
      <c r="HG310" s="18"/>
      <c r="HH310" s="18"/>
      <c r="HI310" s="18"/>
      <c r="HJ310" s="18"/>
      <c r="HK310" s="18"/>
      <c r="HL310" s="18"/>
      <c r="HM310" s="18"/>
      <c r="HN310" s="18"/>
      <c r="HO310" s="18"/>
      <c r="HP310" s="18"/>
      <c r="HQ310" s="18"/>
      <c r="HR310" s="18"/>
      <c r="HS310" s="18"/>
      <c r="HT310" s="18"/>
      <c r="HU310" s="18"/>
      <c r="HV310" s="18"/>
      <c r="HW310" s="18"/>
      <c r="HX310" s="18"/>
      <c r="HY310" s="18"/>
      <c r="HZ310" s="18"/>
      <c r="IA310" s="18"/>
      <c r="IB310" s="18"/>
      <c r="IC310" s="18"/>
      <c r="ID310" s="18"/>
      <c r="IE310" s="18"/>
      <c r="IF310" s="18"/>
      <c r="IG310" s="18"/>
      <c r="IH310" s="18"/>
      <c r="II310" s="18"/>
      <c r="IJ310" s="18"/>
      <c r="IK310" s="18"/>
      <c r="IL310" s="18"/>
      <c r="IM310" s="18"/>
      <c r="IN310" s="18"/>
      <c r="IO310" s="18"/>
      <c r="IP310" s="18"/>
      <c r="IQ310" s="18"/>
      <c r="IR310" s="18"/>
      <c r="IS310" s="18"/>
    </row>
    <row r="311" spans="2:253" x14ac:dyDescent="0.3">
      <c r="B311" s="18"/>
      <c r="C311" s="288"/>
      <c r="D311" s="18"/>
      <c r="E311" s="18"/>
      <c r="F311" s="18"/>
      <c r="G311" s="18"/>
      <c r="H311" s="18"/>
      <c r="I311" s="18"/>
      <c r="J311" s="18"/>
      <c r="K311" s="163"/>
      <c r="L311" s="18"/>
      <c r="M311" s="18"/>
      <c r="N311" s="18"/>
      <c r="O311" s="18"/>
      <c r="P311" s="18"/>
      <c r="Q311" s="18"/>
      <c r="R311" s="18"/>
      <c r="S311" s="18"/>
      <c r="T311" s="18"/>
      <c r="U311" s="18"/>
      <c r="V311" s="137"/>
      <c r="W311" s="137"/>
      <c r="X311" s="137"/>
      <c r="Y311" s="137"/>
      <c r="Z311" s="137"/>
      <c r="AA311" s="18"/>
      <c r="AB311" s="18"/>
      <c r="AC311" s="18"/>
      <c r="AD311" s="18"/>
      <c r="AE311" s="18"/>
      <c r="AF311" s="18"/>
      <c r="AG311" s="18"/>
      <c r="AH311" s="18"/>
      <c r="AI311" s="18"/>
      <c r="AJ311" s="18"/>
      <c r="AK311" s="18"/>
      <c r="AL311" s="18"/>
      <c r="AM311" s="18"/>
      <c r="AN311" s="18"/>
      <c r="AO311" s="18"/>
    </row>
    <row r="312" spans="2:253" x14ac:dyDescent="0.3">
      <c r="C312" s="177"/>
      <c r="D312" s="177"/>
      <c r="E312" s="177"/>
      <c r="F312" s="177"/>
      <c r="G312" s="177"/>
      <c r="H312" s="177"/>
      <c r="T312" s="18"/>
    </row>
    <row r="313" spans="2:253" x14ac:dyDescent="0.3">
      <c r="C313" s="177"/>
      <c r="D313" s="177"/>
      <c r="E313" s="177"/>
      <c r="F313" s="177"/>
      <c r="G313" s="177"/>
      <c r="H313" s="177"/>
    </row>
    <row r="315" spans="2:253" ht="15.6" x14ac:dyDescent="0.3">
      <c r="B315" s="115"/>
      <c r="T315" s="136"/>
      <c r="U315" s="136"/>
      <c r="V315" s="136"/>
      <c r="W315" s="136"/>
      <c r="X315" s="136"/>
      <c r="Y315" s="136"/>
      <c r="Z315" s="136"/>
      <c r="AA315" s="136"/>
      <c r="AB315" s="136"/>
      <c r="AC315" s="136"/>
      <c r="AD315" s="136"/>
      <c r="AE315" s="136"/>
      <c r="AF315" s="136"/>
    </row>
    <row r="316" spans="2:253" ht="15.6" x14ac:dyDescent="0.3">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c r="AA316" s="136"/>
      <c r="AB316" s="136"/>
      <c r="AC316" s="136"/>
      <c r="AD316" s="136"/>
      <c r="AE316" s="136"/>
      <c r="AF316" s="136"/>
      <c r="AG316" s="136"/>
      <c r="AH316" s="136"/>
    </row>
    <row r="317" spans="2:253" ht="15.6" x14ac:dyDescent="0.3">
      <c r="B317" s="136"/>
      <c r="C317" s="136"/>
      <c r="D317" s="136"/>
      <c r="E317" s="136"/>
      <c r="F317" s="136"/>
      <c r="G317" s="136"/>
      <c r="H317" s="136"/>
      <c r="I317" s="136"/>
      <c r="J317" s="136"/>
      <c r="K317" s="136"/>
      <c r="L317" s="136"/>
      <c r="M317" s="136"/>
      <c r="N317" s="136"/>
      <c r="O317" s="136"/>
      <c r="P317" s="136"/>
      <c r="Q317" s="136"/>
      <c r="R317" s="136"/>
      <c r="S317" s="136"/>
      <c r="T317" s="117"/>
      <c r="U317" s="117"/>
      <c r="V317" s="117"/>
      <c r="W317" s="117"/>
      <c r="X317" s="117"/>
      <c r="Y317" s="117"/>
      <c r="Z317" s="117"/>
      <c r="AA317" s="117"/>
      <c r="AB317" s="117"/>
      <c r="AC317" s="117"/>
      <c r="AD317" s="117"/>
      <c r="AE317" s="117"/>
      <c r="AF317" s="117"/>
      <c r="AG317" s="136"/>
      <c r="AH317" s="136"/>
    </row>
    <row r="318" spans="2:253" x14ac:dyDescent="0.3">
      <c r="B318" s="162"/>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c r="AA318" s="117"/>
      <c r="AB318" s="117"/>
      <c r="AC318" s="117"/>
      <c r="AD318" s="117"/>
      <c r="AE318" s="117"/>
      <c r="AF318" s="117"/>
      <c r="AG318" s="117"/>
      <c r="AH318" s="117"/>
    </row>
    <row r="319" spans="2:253" x14ac:dyDescent="0.3">
      <c r="B319" s="162"/>
      <c r="C319" s="117"/>
      <c r="D319" s="117"/>
      <c r="E319" s="117"/>
      <c r="F319" s="117"/>
      <c r="G319" s="117"/>
      <c r="H319" s="117"/>
      <c r="I319" s="117"/>
      <c r="J319" s="117"/>
      <c r="K319" s="117"/>
      <c r="L319" s="117"/>
      <c r="M319" s="117"/>
      <c r="N319" s="117"/>
      <c r="O319" s="117"/>
      <c r="P319" s="117"/>
      <c r="Q319" s="117"/>
      <c r="R319" s="117"/>
      <c r="S319" s="117"/>
      <c r="AG319" s="117"/>
      <c r="AH319" s="117"/>
    </row>
    <row r="322" spans="1:3" ht="15.6" x14ac:dyDescent="0.3">
      <c r="A322" s="136"/>
      <c r="B322" s="117"/>
      <c r="C322" s="117"/>
    </row>
    <row r="323" spans="1:3" ht="15.6" x14ac:dyDescent="0.3">
      <c r="A323" s="136"/>
      <c r="B323" s="117"/>
      <c r="C323" s="117"/>
    </row>
    <row r="324" spans="1:3" ht="15.6" x14ac:dyDescent="0.3">
      <c r="A324" s="136"/>
      <c r="B324" s="117"/>
      <c r="C324" s="117"/>
    </row>
    <row r="325" spans="1:3" ht="15.6" x14ac:dyDescent="0.3">
      <c r="A325" s="136"/>
      <c r="B325" s="117"/>
      <c r="C325" s="117"/>
    </row>
    <row r="326" spans="1:3" ht="15.6" x14ac:dyDescent="0.3">
      <c r="A326" s="136"/>
      <c r="B326" s="117"/>
      <c r="C326" s="117"/>
    </row>
    <row r="327" spans="1:3" ht="15.6" x14ac:dyDescent="0.3">
      <c r="A327" s="136"/>
      <c r="B327" s="117"/>
      <c r="C327" s="117"/>
    </row>
    <row r="328" spans="1:3" ht="15.6" x14ac:dyDescent="0.3">
      <c r="A328" s="136"/>
      <c r="B328" s="117"/>
      <c r="C328" s="117"/>
    </row>
    <row r="329" spans="1:3" ht="15.6" x14ac:dyDescent="0.3">
      <c r="A329" s="136"/>
      <c r="B329" s="117"/>
      <c r="C329" s="117"/>
    </row>
    <row r="330" spans="1:3" ht="15.6" x14ac:dyDescent="0.3">
      <c r="A330" s="136"/>
      <c r="B330" s="117"/>
      <c r="C330" s="117"/>
    </row>
    <row r="331" spans="1:3" ht="15.6" x14ac:dyDescent="0.3">
      <c r="A331" s="136"/>
      <c r="B331" s="117"/>
      <c r="C331" s="117"/>
    </row>
    <row r="332" spans="1:3" ht="15.6" x14ac:dyDescent="0.3">
      <c r="A332" s="136"/>
      <c r="B332" s="117"/>
      <c r="C332" s="117"/>
    </row>
    <row r="333" spans="1:3" ht="15.6" x14ac:dyDescent="0.3">
      <c r="A333" s="136"/>
      <c r="B333" s="117"/>
      <c r="C333" s="117"/>
    </row>
    <row r="334" spans="1:3" ht="15.6" x14ac:dyDescent="0.3">
      <c r="A334" s="136"/>
      <c r="B334" s="117"/>
      <c r="C334" s="117"/>
    </row>
    <row r="335" spans="1:3" ht="15.6" x14ac:dyDescent="0.3">
      <c r="A335" s="136"/>
      <c r="B335" s="117"/>
      <c r="C335" s="117"/>
    </row>
    <row r="336" spans="1:3" ht="15.6" x14ac:dyDescent="0.3">
      <c r="A336" s="136"/>
      <c r="B336" s="117"/>
      <c r="C336" s="117"/>
    </row>
    <row r="337" spans="1:3" ht="15.6" x14ac:dyDescent="0.3">
      <c r="A337" s="136"/>
      <c r="B337" s="117"/>
      <c r="C337" s="117"/>
    </row>
    <row r="338" spans="1:3" ht="15.6" x14ac:dyDescent="0.3">
      <c r="A338" s="136"/>
      <c r="B338" s="117"/>
      <c r="C338" s="117"/>
    </row>
    <row r="339" spans="1:3" ht="15.6" x14ac:dyDescent="0.3">
      <c r="A339" s="136"/>
      <c r="B339" s="117"/>
      <c r="C339" s="117"/>
    </row>
    <row r="340" spans="1:3" ht="15.6" x14ac:dyDescent="0.3">
      <c r="A340" s="136"/>
      <c r="B340" s="117"/>
      <c r="C340" s="117"/>
    </row>
    <row r="341" spans="1:3" ht="15.6" x14ac:dyDescent="0.3">
      <c r="A341" s="136"/>
      <c r="B341" s="117"/>
      <c r="C341" s="117"/>
    </row>
    <row r="342" spans="1:3" ht="15.6" x14ac:dyDescent="0.3">
      <c r="A342" s="136"/>
      <c r="B342" s="117"/>
      <c r="C342" s="117"/>
    </row>
    <row r="343" spans="1:3" ht="15.6" x14ac:dyDescent="0.3">
      <c r="A343" s="136"/>
      <c r="B343" s="117"/>
      <c r="C343" s="117"/>
    </row>
    <row r="344" spans="1:3" ht="15.6" x14ac:dyDescent="0.3">
      <c r="A344" s="136"/>
      <c r="B344" s="117"/>
      <c r="C344" s="117"/>
    </row>
    <row r="345" spans="1:3" ht="15.6" x14ac:dyDescent="0.3">
      <c r="A345" s="136"/>
      <c r="B345" s="117"/>
      <c r="C345" s="117"/>
    </row>
    <row r="346" spans="1:3" ht="15.6" x14ac:dyDescent="0.3">
      <c r="A346" s="136"/>
      <c r="B346" s="117"/>
      <c r="C346" s="117"/>
    </row>
    <row r="347" spans="1:3" ht="15.6" x14ac:dyDescent="0.3">
      <c r="A347" s="136"/>
      <c r="B347" s="117"/>
      <c r="C347" s="117"/>
    </row>
    <row r="348" spans="1:3" ht="15.6" x14ac:dyDescent="0.3">
      <c r="A348" s="136"/>
      <c r="B348" s="117"/>
      <c r="C348" s="117"/>
    </row>
    <row r="349" spans="1:3" ht="15.6" x14ac:dyDescent="0.3">
      <c r="A349" s="136"/>
      <c r="B349" s="117"/>
      <c r="C349" s="117"/>
    </row>
    <row r="350" spans="1:3" ht="15.6" x14ac:dyDescent="0.3">
      <c r="A350" s="136"/>
      <c r="B350" s="117"/>
      <c r="C350" s="117"/>
    </row>
    <row r="351" spans="1:3" ht="15.6" x14ac:dyDescent="0.3">
      <c r="A351" s="136"/>
      <c r="B351" s="117"/>
      <c r="C351" s="117"/>
    </row>
    <row r="352" spans="1:3" ht="15.6" x14ac:dyDescent="0.3">
      <c r="A352" s="136"/>
      <c r="B352" s="117"/>
      <c r="C352" s="117"/>
    </row>
    <row r="353" spans="1:3" ht="15.6" x14ac:dyDescent="0.3">
      <c r="A353" s="136"/>
      <c r="B353" s="117"/>
      <c r="C353" s="117"/>
    </row>
    <row r="354" spans="1:3" ht="15.6" x14ac:dyDescent="0.3">
      <c r="A354" s="136"/>
      <c r="B354" s="117"/>
      <c r="C354" s="117"/>
    </row>
  </sheetData>
  <sheetProtection algorithmName="SHA-512" hashValue="pJlf6WtsqTNsGtj+96zpyD6e+pcQCYvvYzQEQYYvef7d06pQuzl7KRrNCKG0FWWkypNVVGFr7sy+oa4j6kK3Tw==" saltValue="TLo3O4OFBIMIoNaSPDYMKw==" spinCount="100000" sheet="1"/>
  <mergeCells count="72">
    <mergeCell ref="AB181:AC181"/>
    <mergeCell ref="Z180:AE180"/>
    <mergeCell ref="R180:Y180"/>
    <mergeCell ref="D180:Q180"/>
    <mergeCell ref="Z181:AA181"/>
    <mergeCell ref="N181:O181"/>
    <mergeCell ref="P181:Q181"/>
    <mergeCell ref="T181:U181"/>
    <mergeCell ref="R181:S181"/>
    <mergeCell ref="Z92:AD92"/>
    <mergeCell ref="N6:U6"/>
    <mergeCell ref="P48:Z48"/>
    <mergeCell ref="T7:U7"/>
    <mergeCell ref="N7:O7"/>
    <mergeCell ref="P7:Q7"/>
    <mergeCell ref="R7:S7"/>
    <mergeCell ref="P224:W224"/>
    <mergeCell ref="L225:O225"/>
    <mergeCell ref="L224:O224"/>
    <mergeCell ref="AB264:AB265"/>
    <mergeCell ref="D264:O264"/>
    <mergeCell ref="P264:S265"/>
    <mergeCell ref="T264:AA264"/>
    <mergeCell ref="D224:K224"/>
    <mergeCell ref="AJ47:AJ49"/>
    <mergeCell ref="D48:O48"/>
    <mergeCell ref="AA48:AB48"/>
    <mergeCell ref="AC48:AD48"/>
    <mergeCell ref="AE48:AF48"/>
    <mergeCell ref="V49:W49"/>
    <mergeCell ref="X49:Z49"/>
    <mergeCell ref="R49:U49"/>
    <mergeCell ref="L49:O49"/>
    <mergeCell ref="F49:I49"/>
    <mergeCell ref="J49:K49"/>
    <mergeCell ref="D6:H6"/>
    <mergeCell ref="I6:M6"/>
    <mergeCell ref="E7:F7"/>
    <mergeCell ref="J7:K7"/>
    <mergeCell ref="J181:K181"/>
    <mergeCell ref="L181:M181"/>
    <mergeCell ref="D92:H92"/>
    <mergeCell ref="I92:M92"/>
    <mergeCell ref="L136:M137"/>
    <mergeCell ref="D137:G137"/>
    <mergeCell ref="H137:K137"/>
    <mergeCell ref="D136:K136"/>
    <mergeCell ref="D181:E181"/>
    <mergeCell ref="F181:G181"/>
    <mergeCell ref="H181:I181"/>
    <mergeCell ref="G7:G8"/>
    <mergeCell ref="C264:C266"/>
    <mergeCell ref="B264:B266"/>
    <mergeCell ref="D47:AI47"/>
    <mergeCell ref="D91:AD91"/>
    <mergeCell ref="X92:Y92"/>
    <mergeCell ref="B47:B50"/>
    <mergeCell ref="C47:C50"/>
    <mergeCell ref="B91:B94"/>
    <mergeCell ref="C91:C94"/>
    <mergeCell ref="R92:S92"/>
    <mergeCell ref="N92:O92"/>
    <mergeCell ref="P92:Q92"/>
    <mergeCell ref="T92:U92"/>
    <mergeCell ref="V92:W92"/>
    <mergeCell ref="B224:B226"/>
    <mergeCell ref="C224:C226"/>
    <mergeCell ref="H7:H8"/>
    <mergeCell ref="D7:D8"/>
    <mergeCell ref="I7:I8"/>
    <mergeCell ref="L7:L8"/>
    <mergeCell ref="M7:M8"/>
  </mergeCells>
  <phoneticPr fontId="95" type="noConversion"/>
  <conditionalFormatting sqref="V9:X41">
    <cfRule type="cellIs" dxfId="0" priority="1" operator="greaterThan">
      <formula>1</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N283"/>
  <sheetViews>
    <sheetView zoomScale="90" zoomScaleNormal="90" workbookViewId="0"/>
  </sheetViews>
  <sheetFormatPr defaultColWidth="9" defaultRowHeight="14.4" x14ac:dyDescent="0.3"/>
  <cols>
    <col min="1" max="1" width="13.5546875" style="177" customWidth="1"/>
    <col min="2" max="2" width="25.77734375" style="187" customWidth="1"/>
    <col min="3" max="3" width="13" style="187" customWidth="1"/>
    <col min="4" max="4" width="18" style="187" customWidth="1"/>
    <col min="5" max="5" width="12.88671875" style="187" customWidth="1"/>
    <col min="6" max="6" width="16.77734375" style="187" customWidth="1"/>
    <col min="7" max="7" width="14" style="187" customWidth="1"/>
    <col min="8" max="8" width="18.88671875" style="177" bestFit="1" customWidth="1"/>
    <col min="9" max="9" width="17" style="177" customWidth="1"/>
    <col min="10" max="10" width="14.77734375" style="177" customWidth="1"/>
    <col min="11" max="11" width="18.21875" style="177" customWidth="1"/>
    <col min="12" max="12" width="14" style="177" customWidth="1"/>
    <col min="13" max="14" width="11.5546875" style="177" customWidth="1"/>
    <col min="15" max="16" width="9" style="177"/>
    <col min="17" max="17" width="12.88671875" style="177" bestFit="1" customWidth="1"/>
    <col min="18" max="16384" width="9" style="177"/>
  </cols>
  <sheetData>
    <row r="1" spans="1:14" s="70" customFormat="1" ht="21" x14ac:dyDescent="0.3">
      <c r="A1" s="119" t="s">
        <v>144</v>
      </c>
      <c r="B1" s="307"/>
      <c r="C1" s="307"/>
      <c r="D1" s="181"/>
      <c r="E1" s="182"/>
      <c r="F1" s="181"/>
      <c r="G1" s="181"/>
      <c r="I1" s="116"/>
      <c r="J1" s="116"/>
      <c r="K1" s="116"/>
      <c r="L1" s="1"/>
      <c r="M1" s="1"/>
    </row>
    <row r="2" spans="1:14" s="70" customFormat="1" ht="21" x14ac:dyDescent="0.3">
      <c r="A2" s="119">
        <v>2023</v>
      </c>
      <c r="B2" s="307"/>
      <c r="C2" s="307"/>
      <c r="D2" s="181"/>
      <c r="E2" s="182"/>
      <c r="F2" s="181"/>
      <c r="G2" s="181"/>
      <c r="I2" s="116"/>
      <c r="J2" s="116"/>
      <c r="K2" s="116"/>
      <c r="L2" s="1"/>
      <c r="M2" s="1"/>
    </row>
    <row r="3" spans="1:14" s="70" customFormat="1" x14ac:dyDescent="0.3">
      <c r="A3" s="306"/>
      <c r="B3" s="307"/>
      <c r="C3" s="307"/>
      <c r="D3" s="181"/>
      <c r="E3" s="182"/>
      <c r="F3" s="181"/>
      <c r="G3" s="181"/>
      <c r="I3" s="116"/>
      <c r="J3" s="116"/>
      <c r="K3" s="116"/>
      <c r="L3" s="1"/>
      <c r="M3" s="1"/>
    </row>
    <row r="4" spans="1:14" s="70" customFormat="1" x14ac:dyDescent="0.3">
      <c r="A4" s="306"/>
      <c r="B4" s="307"/>
      <c r="C4" s="307"/>
      <c r="D4" s="181"/>
      <c r="E4" s="182"/>
      <c r="F4" s="181"/>
      <c r="G4" s="181"/>
      <c r="I4" s="116"/>
      <c r="J4" s="116"/>
      <c r="K4" s="116"/>
      <c r="L4" s="514"/>
      <c r="M4" s="1"/>
    </row>
    <row r="5" spans="1:14" s="70" customFormat="1" ht="21" x14ac:dyDescent="0.4">
      <c r="B5" s="666" t="s">
        <v>399</v>
      </c>
      <c r="C5" s="259"/>
    </row>
    <row r="6" spans="1:14" s="70" customFormat="1" ht="15" thickBot="1" x14ac:dyDescent="0.35"/>
    <row r="7" spans="1:14" s="70" customFormat="1" ht="15.75" customHeight="1" x14ac:dyDescent="0.3">
      <c r="B7" s="1425" t="s">
        <v>400</v>
      </c>
      <c r="C7" s="1426"/>
      <c r="D7" s="1426"/>
      <c r="E7" s="1426"/>
      <c r="F7" s="1426"/>
      <c r="G7" s="1427"/>
      <c r="H7" s="519" t="s">
        <v>401</v>
      </c>
      <c r="I7" s="1428" t="s">
        <v>402</v>
      </c>
      <c r="J7" s="1429"/>
      <c r="K7" s="1429"/>
      <c r="L7" s="1430"/>
    </row>
    <row r="8" spans="1:14" s="70" customFormat="1" ht="15.6" x14ac:dyDescent="0.3">
      <c r="B8" s="1434" t="s">
        <v>403</v>
      </c>
      <c r="C8" s="1410"/>
      <c r="D8" s="1411"/>
      <c r="E8" s="1409" t="s">
        <v>404</v>
      </c>
      <c r="F8" s="1410"/>
      <c r="G8" s="1411"/>
      <c r="H8" s="1011" t="s">
        <v>405</v>
      </c>
      <c r="I8" s="1012" t="s">
        <v>406</v>
      </c>
      <c r="J8" s="1012" t="s">
        <v>407</v>
      </c>
      <c r="K8" s="1012" t="s">
        <v>408</v>
      </c>
      <c r="L8" s="1013" t="s">
        <v>409</v>
      </c>
    </row>
    <row r="9" spans="1:14" s="70" customFormat="1" ht="30.75" customHeight="1" x14ac:dyDescent="0.3">
      <c r="B9" s="1422" t="s">
        <v>410</v>
      </c>
      <c r="C9" s="1423"/>
      <c r="D9" s="1435"/>
      <c r="E9" s="1431"/>
      <c r="F9" s="1432"/>
      <c r="G9" s="1433"/>
      <c r="H9" s="1014"/>
      <c r="I9" s="1015"/>
      <c r="J9" s="1015"/>
      <c r="K9" s="1015"/>
      <c r="L9" s="1016"/>
    </row>
    <row r="10" spans="1:14" s="70" customFormat="1" x14ac:dyDescent="0.3">
      <c r="B10" s="1403" t="s">
        <v>411</v>
      </c>
      <c r="C10" s="1404"/>
      <c r="D10" s="1405"/>
      <c r="E10" s="1402" t="s">
        <v>412</v>
      </c>
      <c r="F10" s="1400"/>
      <c r="G10" s="1401"/>
      <c r="H10" s="1017">
        <f>(2356705+432642)</f>
        <v>2789347</v>
      </c>
      <c r="I10" s="1018" t="s">
        <v>413</v>
      </c>
      <c r="J10" s="1019">
        <f>(35243+6470)</f>
        <v>41713</v>
      </c>
      <c r="K10" s="1018" t="s">
        <v>413</v>
      </c>
      <c r="L10" s="625">
        <f>SUM(I10:K10)</f>
        <v>41713</v>
      </c>
    </row>
    <row r="11" spans="1:14" s="70" customFormat="1" x14ac:dyDescent="0.3">
      <c r="B11" s="1020" t="s">
        <v>414</v>
      </c>
      <c r="C11" s="1021"/>
      <c r="D11" s="1021"/>
      <c r="E11" s="1021"/>
      <c r="F11" s="1021"/>
      <c r="G11" s="1021"/>
      <c r="H11" s="1022"/>
      <c r="I11" s="1023"/>
      <c r="J11" s="1023"/>
      <c r="K11" s="1023"/>
      <c r="L11" s="1024"/>
    </row>
    <row r="12" spans="1:14" s="70" customFormat="1" ht="15" thickBot="1" x14ac:dyDescent="0.35">
      <c r="B12" s="1418" t="s">
        <v>411</v>
      </c>
      <c r="C12" s="1419"/>
      <c r="D12" s="1420"/>
      <c r="E12" s="1436" t="s">
        <v>412</v>
      </c>
      <c r="F12" s="1395"/>
      <c r="G12" s="1396"/>
      <c r="H12" s="1025">
        <v>4481832.9830000009</v>
      </c>
      <c r="I12" s="1025"/>
      <c r="J12" s="1026">
        <v>154656.44693345641</v>
      </c>
      <c r="K12" s="1027" t="s">
        <v>413</v>
      </c>
      <c r="L12" s="626">
        <f>SUM(I12:K12)</f>
        <v>154656.44693345641</v>
      </c>
    </row>
    <row r="13" spans="1:14" s="70" customFormat="1" x14ac:dyDescent="0.3"/>
    <row r="14" spans="1:14" s="70" customFormat="1" x14ac:dyDescent="0.3">
      <c r="B14" s="236"/>
      <c r="C14" s="236"/>
      <c r="D14" s="236"/>
      <c r="E14" s="236"/>
      <c r="F14" s="236"/>
      <c r="G14" s="236"/>
      <c r="H14" s="237"/>
      <c r="I14" s="235"/>
      <c r="J14" s="511"/>
      <c r="K14" s="238"/>
      <c r="L14" s="238"/>
      <c r="N14" s="236"/>
    </row>
    <row r="15" spans="1:14" s="70" customFormat="1" ht="21" x14ac:dyDescent="0.4">
      <c r="B15" s="260" t="s">
        <v>415</v>
      </c>
      <c r="C15" s="278"/>
      <c r="D15"/>
      <c r="E15" s="240"/>
      <c r="F15" s="240"/>
      <c r="G15" s="240"/>
      <c r="H15" s="241"/>
      <c r="I15" s="242"/>
      <c r="J15" s="74"/>
      <c r="K15" s="74"/>
      <c r="L15" s="74"/>
      <c r="N15" s="243"/>
    </row>
    <row r="16" spans="1:14" s="70" customFormat="1" ht="15" thickBot="1" x14ac:dyDescent="0.35">
      <c r="B16" s="240"/>
      <c r="C16" s="240"/>
      <c r="D16" s="240"/>
      <c r="E16" s="240"/>
      <c r="F16" s="240"/>
      <c r="G16" s="240"/>
      <c r="H16" s="244"/>
      <c r="I16" s="239"/>
      <c r="J16" s="238"/>
      <c r="K16" s="238"/>
      <c r="L16" s="238"/>
      <c r="N16" s="240"/>
    </row>
    <row r="17" spans="2:14" s="70" customFormat="1" ht="15.75" customHeight="1" x14ac:dyDescent="0.3">
      <c r="B17" s="1397" t="s">
        <v>400</v>
      </c>
      <c r="C17" s="1398"/>
      <c r="D17" s="1398"/>
      <c r="E17" s="1398"/>
      <c r="F17" s="1398"/>
      <c r="G17" s="1398"/>
      <c r="H17" s="519" t="s">
        <v>401</v>
      </c>
      <c r="I17" s="1407" t="s">
        <v>402</v>
      </c>
      <c r="J17" s="1407"/>
      <c r="K17" s="1407"/>
      <c r="L17" s="1408"/>
    </row>
    <row r="18" spans="2:14" s="70" customFormat="1" ht="15.6" x14ac:dyDescent="0.3">
      <c r="B18" s="1412" t="s">
        <v>403</v>
      </c>
      <c r="C18" s="1413"/>
      <c r="D18" s="1413"/>
      <c r="E18" s="1413" t="s">
        <v>404</v>
      </c>
      <c r="F18" s="1413"/>
      <c r="G18" s="1413"/>
      <c r="H18" s="1011" t="s">
        <v>405</v>
      </c>
      <c r="I18" s="1012" t="s">
        <v>406</v>
      </c>
      <c r="J18" s="1012" t="s">
        <v>407</v>
      </c>
      <c r="K18" s="1012" t="s">
        <v>408</v>
      </c>
      <c r="L18" s="1013" t="s">
        <v>409</v>
      </c>
    </row>
    <row r="19" spans="2:14" s="70" customFormat="1" x14ac:dyDescent="0.3">
      <c r="B19" s="1422" t="s">
        <v>416</v>
      </c>
      <c r="C19" s="1423"/>
      <c r="D19" s="1423"/>
      <c r="E19" s="1423"/>
      <c r="F19" s="1423"/>
      <c r="G19" s="1423"/>
      <c r="H19" s="1423"/>
      <c r="I19" s="1423"/>
      <c r="J19" s="1423"/>
      <c r="K19" s="1423"/>
      <c r="L19" s="1424"/>
    </row>
    <row r="20" spans="2:14" s="70" customFormat="1" ht="15.6" x14ac:dyDescent="0.3">
      <c r="B20" s="1399" t="s">
        <v>417</v>
      </c>
      <c r="C20" s="1400"/>
      <c r="D20" s="1401"/>
      <c r="E20" s="1402" t="s">
        <v>418</v>
      </c>
      <c r="F20" s="1400"/>
      <c r="G20" s="1401"/>
      <c r="H20" s="1017">
        <v>101787.84100000001</v>
      </c>
      <c r="I20" s="1028" t="s">
        <v>413</v>
      </c>
      <c r="J20" s="1029">
        <v>2035.7568200000003</v>
      </c>
      <c r="K20" s="1030"/>
      <c r="L20" s="471">
        <f>SUM(I20:K20)</f>
        <v>2035.7568200000003</v>
      </c>
    </row>
    <row r="21" spans="2:14" s="70" customFormat="1" ht="15.6" x14ac:dyDescent="0.3">
      <c r="B21" s="1399" t="s">
        <v>419</v>
      </c>
      <c r="C21" s="1400"/>
      <c r="D21" s="1401"/>
      <c r="E21" s="1402" t="s">
        <v>420</v>
      </c>
      <c r="F21" s="1400"/>
      <c r="G21" s="1401"/>
      <c r="H21" s="1017">
        <v>96419.415000000008</v>
      </c>
      <c r="I21" s="1028" t="s">
        <v>413</v>
      </c>
      <c r="J21" s="1029">
        <v>9641.9415000000008</v>
      </c>
      <c r="K21" s="1029">
        <v>6895.9165607999994</v>
      </c>
      <c r="L21" s="471">
        <f>SUM(I21:K21)</f>
        <v>16537.858060800001</v>
      </c>
    </row>
    <row r="22" spans="2:14" s="70" customFormat="1" x14ac:dyDescent="0.3">
      <c r="B22" s="1020" t="s">
        <v>421</v>
      </c>
      <c r="C22" s="1021"/>
      <c r="D22" s="1021"/>
      <c r="E22" s="1021"/>
      <c r="F22" s="1021"/>
      <c r="G22" s="1021"/>
      <c r="H22" s="1022"/>
      <c r="I22" s="1031"/>
      <c r="J22" s="1032"/>
      <c r="K22" s="1032"/>
      <c r="L22" s="1033"/>
    </row>
    <row r="23" spans="2:14" s="70" customFormat="1" ht="15.6" x14ac:dyDescent="0.3">
      <c r="B23" s="1403" t="s">
        <v>417</v>
      </c>
      <c r="C23" s="1404"/>
      <c r="D23" s="1405"/>
      <c r="E23" s="1406" t="s">
        <v>418</v>
      </c>
      <c r="F23" s="1404"/>
      <c r="G23" s="1405"/>
      <c r="H23" s="1017">
        <v>46322.45</v>
      </c>
      <c r="I23" s="1028" t="s">
        <v>413</v>
      </c>
      <c r="J23" s="1029">
        <v>926.44000000000028</v>
      </c>
      <c r="K23" s="1030">
        <v>0</v>
      </c>
      <c r="L23" s="471">
        <f>J23</f>
        <v>926.44000000000028</v>
      </c>
    </row>
    <row r="24" spans="2:14" s="70" customFormat="1" ht="15.6" x14ac:dyDescent="0.3">
      <c r="B24" s="1403" t="s">
        <v>419</v>
      </c>
      <c r="C24" s="1404"/>
      <c r="D24" s="1405"/>
      <c r="E24" s="1406" t="s">
        <v>420</v>
      </c>
      <c r="F24" s="1404"/>
      <c r="G24" s="1405"/>
      <c r="H24" s="1017">
        <v>80708.159999999989</v>
      </c>
      <c r="I24" s="1028" t="s">
        <v>413</v>
      </c>
      <c r="J24" s="1029">
        <v>8070.8159999999989</v>
      </c>
      <c r="K24" s="1029">
        <v>5772.2476031999986</v>
      </c>
      <c r="L24" s="471">
        <f>SUM(I24:K24)</f>
        <v>13843.063603199997</v>
      </c>
    </row>
    <row r="25" spans="2:14" s="70" customFormat="1" x14ac:dyDescent="0.3">
      <c r="B25" s="1020" t="s">
        <v>422</v>
      </c>
      <c r="C25" s="1021"/>
      <c r="D25" s="1021"/>
      <c r="E25" s="1021"/>
      <c r="F25" s="1021"/>
      <c r="G25" s="1021"/>
      <c r="H25" s="1022"/>
      <c r="I25" s="1031"/>
      <c r="J25" s="1032"/>
      <c r="K25" s="1032"/>
      <c r="L25" s="1033"/>
    </row>
    <row r="26" spans="2:14" s="70" customFormat="1" ht="15.6" x14ac:dyDescent="0.3">
      <c r="B26" s="1403" t="s">
        <v>417</v>
      </c>
      <c r="C26" s="1404"/>
      <c r="D26" s="1405"/>
      <c r="E26" s="1406" t="s">
        <v>418</v>
      </c>
      <c r="F26" s="1404"/>
      <c r="G26" s="1405"/>
      <c r="H26" s="1017">
        <v>133348.85399999999</v>
      </c>
      <c r="I26" s="1028" t="s">
        <v>413</v>
      </c>
      <c r="J26" s="1029">
        <v>2666.9800000000005</v>
      </c>
      <c r="K26" s="1030"/>
      <c r="L26" s="471">
        <f>SUM(I26:K26)</f>
        <v>2666.9800000000005</v>
      </c>
    </row>
    <row r="27" spans="2:14" s="70" customFormat="1" ht="16.2" thickBot="1" x14ac:dyDescent="0.35">
      <c r="B27" s="1418" t="s">
        <v>419</v>
      </c>
      <c r="C27" s="1419"/>
      <c r="D27" s="1420"/>
      <c r="E27" s="1421" t="s">
        <v>420</v>
      </c>
      <c r="F27" s="1419"/>
      <c r="G27" s="1420"/>
      <c r="H27" s="1025">
        <v>118996.96000000004</v>
      </c>
      <c r="I27" s="1034" t="s">
        <v>413</v>
      </c>
      <c r="J27" s="1026">
        <v>11899.696000000004</v>
      </c>
      <c r="K27" s="1026">
        <v>8510.6625792000013</v>
      </c>
      <c r="L27" s="401">
        <f>SUM(I27:K27)</f>
        <v>20410.358579200005</v>
      </c>
    </row>
    <row r="28" spans="2:14" s="70" customFormat="1" x14ac:dyDescent="0.3">
      <c r="B28" s="236"/>
      <c r="C28" s="236"/>
      <c r="D28" s="236"/>
      <c r="E28" s="236"/>
      <c r="F28" s="236"/>
      <c r="G28" s="236"/>
      <c r="H28" s="237"/>
      <c r="I28" s="235"/>
      <c r="J28" s="238"/>
      <c r="K28" s="238"/>
      <c r="L28" s="238"/>
      <c r="N28" s="236"/>
    </row>
    <row r="29" spans="2:14" s="70" customFormat="1" x14ac:dyDescent="0.3">
      <c r="B29" s="236"/>
      <c r="C29" s="236"/>
      <c r="D29" s="236"/>
      <c r="E29" s="236"/>
      <c r="F29" s="236"/>
      <c r="G29" s="236"/>
      <c r="H29" s="237"/>
      <c r="I29" s="235"/>
      <c r="J29" s="238"/>
      <c r="K29" s="238"/>
      <c r="L29" s="238"/>
      <c r="N29" s="236"/>
    </row>
    <row r="30" spans="2:14" s="70" customFormat="1" ht="21" x14ac:dyDescent="0.4">
      <c r="B30" s="260" t="s">
        <v>423</v>
      </c>
      <c r="C30" s="278"/>
      <c r="D30"/>
      <c r="E30" s="240"/>
      <c r="F30" s="240"/>
      <c r="G30" s="240"/>
      <c r="H30" s="241"/>
      <c r="I30" s="242"/>
      <c r="J30" s="74"/>
      <c r="K30" s="74"/>
      <c r="L30" s="74"/>
      <c r="N30" s="243"/>
    </row>
    <row r="31" spans="2:14" s="70" customFormat="1" ht="15" thickBot="1" x14ac:dyDescent="0.35">
      <c r="B31" s="240"/>
      <c r="C31" s="240"/>
      <c r="D31" s="240"/>
      <c r="E31" s="240"/>
      <c r="F31" s="240"/>
      <c r="G31" s="240"/>
      <c r="H31" s="244"/>
      <c r="I31" s="239"/>
      <c r="J31" s="238"/>
      <c r="K31" s="238"/>
      <c r="L31" s="238"/>
      <c r="N31" s="240"/>
    </row>
    <row r="32" spans="2:14" s="70" customFormat="1" ht="15.6" x14ac:dyDescent="0.3">
      <c r="B32" s="1397" t="s">
        <v>400</v>
      </c>
      <c r="C32" s="1398"/>
      <c r="D32" s="1398"/>
      <c r="E32" s="1398"/>
      <c r="F32" s="1398"/>
      <c r="G32" s="1398"/>
      <c r="H32" s="519" t="s">
        <v>401</v>
      </c>
      <c r="I32" s="1407" t="s">
        <v>402</v>
      </c>
      <c r="J32" s="1407"/>
      <c r="K32" s="1407"/>
      <c r="L32" s="1408"/>
    </row>
    <row r="33" spans="2:12" s="70" customFormat="1" ht="15.6" x14ac:dyDescent="0.3">
      <c r="B33" s="1412" t="s">
        <v>403</v>
      </c>
      <c r="C33" s="1413"/>
      <c r="D33" s="1413"/>
      <c r="E33" s="1413" t="s">
        <v>404</v>
      </c>
      <c r="F33" s="1413"/>
      <c r="G33" s="1413"/>
      <c r="H33" s="1416" t="s">
        <v>405</v>
      </c>
      <c r="I33" s="1012" t="s">
        <v>406</v>
      </c>
      <c r="J33" s="1012" t="s">
        <v>407</v>
      </c>
      <c r="K33" s="1012" t="s">
        <v>408</v>
      </c>
      <c r="L33" s="1013" t="s">
        <v>409</v>
      </c>
    </row>
    <row r="34" spans="2:12" s="70" customFormat="1" x14ac:dyDescent="0.3">
      <c r="B34" s="1414" t="s">
        <v>424</v>
      </c>
      <c r="C34" s="1415"/>
      <c r="D34" s="1035"/>
      <c r="E34" s="1409"/>
      <c r="F34" s="1410"/>
      <c r="G34" s="1411"/>
      <c r="H34" s="1417"/>
      <c r="I34" s="1036"/>
      <c r="J34" s="1036"/>
      <c r="K34" s="1036"/>
      <c r="L34" s="1037"/>
    </row>
    <row r="35" spans="2:12" s="70" customFormat="1" ht="16.2" thickBot="1" x14ac:dyDescent="0.35">
      <c r="B35" s="1394" t="s">
        <v>425</v>
      </c>
      <c r="C35" s="1395"/>
      <c r="D35" s="1396"/>
      <c r="E35" s="1393"/>
      <c r="F35" s="1393"/>
      <c r="G35" s="1393"/>
      <c r="H35" s="1038"/>
      <c r="I35" s="1034"/>
      <c r="J35" s="1039">
        <v>20202.423553125001</v>
      </c>
      <c r="K35" s="1039">
        <v>171550.51503564854</v>
      </c>
      <c r="L35" s="401">
        <f>SUM(J35:K35)</f>
        <v>191752.93858877354</v>
      </c>
    </row>
    <row r="36" spans="2:12" s="70" customFormat="1" x14ac:dyDescent="0.3">
      <c r="B36" s="181"/>
      <c r="C36" s="181"/>
      <c r="D36" s="181"/>
      <c r="E36" s="181"/>
      <c r="F36" s="181"/>
      <c r="G36" s="181"/>
    </row>
    <row r="37" spans="2:12" s="70" customFormat="1" x14ac:dyDescent="0.3">
      <c r="B37" s="181"/>
      <c r="C37" s="181"/>
      <c r="D37" s="181"/>
      <c r="E37" s="181"/>
      <c r="F37" s="181"/>
      <c r="G37" s="181"/>
    </row>
    <row r="38" spans="2:12" s="70" customFormat="1" x14ac:dyDescent="0.3">
      <c r="B38" s="177" t="s">
        <v>426</v>
      </c>
      <c r="C38" s="181"/>
      <c r="D38" s="181"/>
      <c r="E38" s="181"/>
      <c r="F38" s="181"/>
      <c r="G38" s="181"/>
    </row>
    <row r="39" spans="2:12" s="70" customFormat="1" x14ac:dyDescent="0.3">
      <c r="B39" s="181"/>
      <c r="C39" s="181"/>
      <c r="D39" s="181"/>
      <c r="E39" s="181"/>
      <c r="F39" s="181"/>
      <c r="G39" s="181"/>
    </row>
    <row r="40" spans="2:12" s="70" customFormat="1" x14ac:dyDescent="0.3">
      <c r="B40" s="181"/>
      <c r="C40" s="181"/>
      <c r="D40" s="181"/>
      <c r="E40" s="181"/>
      <c r="F40" s="181"/>
      <c r="G40" s="181"/>
    </row>
    <row r="41" spans="2:12" s="70" customFormat="1" x14ac:dyDescent="0.3">
      <c r="B41" s="181"/>
      <c r="C41" s="181"/>
      <c r="D41" s="181"/>
      <c r="E41" s="181"/>
      <c r="F41" s="181"/>
      <c r="G41" s="181"/>
    </row>
    <row r="42" spans="2:12" s="70" customFormat="1" x14ac:dyDescent="0.3">
      <c r="B42" s="181"/>
      <c r="C42" s="181"/>
      <c r="D42" s="181"/>
      <c r="E42" s="181"/>
      <c r="F42" s="181"/>
      <c r="G42" s="181"/>
    </row>
    <row r="43" spans="2:12" s="70" customFormat="1" x14ac:dyDescent="0.3">
      <c r="B43" s="181"/>
      <c r="C43" s="181"/>
      <c r="D43" s="181"/>
      <c r="E43" s="181"/>
      <c r="F43" s="181"/>
      <c r="G43" s="181"/>
    </row>
    <row r="44" spans="2:12" s="70" customFormat="1" x14ac:dyDescent="0.3">
      <c r="B44" s="181"/>
      <c r="C44" s="181"/>
      <c r="D44" s="181"/>
      <c r="E44" s="181"/>
      <c r="F44" s="181"/>
      <c r="G44" s="181"/>
    </row>
    <row r="45" spans="2:12" s="70" customFormat="1" x14ac:dyDescent="0.3">
      <c r="B45" s="181"/>
      <c r="C45" s="181"/>
      <c r="D45" s="181"/>
      <c r="E45" s="181"/>
      <c r="F45" s="181"/>
      <c r="G45" s="181"/>
    </row>
    <row r="46" spans="2:12" s="70" customFormat="1" x14ac:dyDescent="0.3">
      <c r="B46" s="181"/>
      <c r="C46" s="181"/>
      <c r="D46" s="181"/>
      <c r="E46" s="181"/>
      <c r="F46" s="181"/>
      <c r="G46" s="181"/>
    </row>
    <row r="47" spans="2:12" s="70" customFormat="1" x14ac:dyDescent="0.3">
      <c r="B47" s="181"/>
      <c r="C47" s="181"/>
      <c r="D47" s="181"/>
      <c r="E47" s="181"/>
      <c r="F47" s="181"/>
      <c r="G47" s="181"/>
    </row>
    <row r="48" spans="2:12" s="70" customFormat="1" x14ac:dyDescent="0.3">
      <c r="B48" s="181"/>
      <c r="C48" s="181"/>
      <c r="D48" s="181"/>
      <c r="E48" s="181"/>
      <c r="F48" s="181"/>
      <c r="G48" s="181"/>
    </row>
    <row r="49" spans="2:7" s="70" customFormat="1" x14ac:dyDescent="0.3">
      <c r="B49" s="181"/>
      <c r="C49" s="181"/>
      <c r="D49" s="181"/>
      <c r="E49" s="181"/>
      <c r="F49" s="181"/>
      <c r="G49" s="181"/>
    </row>
    <row r="50" spans="2:7" s="70" customFormat="1" x14ac:dyDescent="0.3">
      <c r="B50" s="181"/>
      <c r="C50" s="181"/>
      <c r="D50" s="181"/>
      <c r="E50" s="181"/>
      <c r="F50" s="181"/>
      <c r="G50" s="181"/>
    </row>
    <row r="51" spans="2:7" s="70" customFormat="1" x14ac:dyDescent="0.3">
      <c r="B51" s="181"/>
      <c r="C51" s="181"/>
      <c r="D51" s="181"/>
      <c r="E51" s="181"/>
      <c r="F51" s="181"/>
      <c r="G51" s="181"/>
    </row>
    <row r="52" spans="2:7" s="70" customFormat="1" x14ac:dyDescent="0.3">
      <c r="B52" s="181"/>
      <c r="C52" s="181"/>
      <c r="D52" s="181"/>
      <c r="E52" s="181"/>
      <c r="F52" s="181"/>
      <c r="G52" s="181"/>
    </row>
    <row r="53" spans="2:7" s="70" customFormat="1" x14ac:dyDescent="0.3">
      <c r="B53" s="181"/>
      <c r="C53" s="181"/>
      <c r="D53" s="181"/>
      <c r="E53" s="181"/>
      <c r="F53" s="181"/>
      <c r="G53" s="181"/>
    </row>
    <row r="54" spans="2:7" s="70" customFormat="1" x14ac:dyDescent="0.3">
      <c r="B54" s="181"/>
      <c r="C54" s="181"/>
      <c r="D54" s="181"/>
      <c r="E54" s="181"/>
      <c r="F54" s="181"/>
      <c r="G54" s="181"/>
    </row>
    <row r="55" spans="2:7" s="70" customFormat="1" x14ac:dyDescent="0.3">
      <c r="B55" s="181"/>
      <c r="C55" s="181"/>
      <c r="D55" s="181"/>
      <c r="E55" s="181"/>
      <c r="F55" s="181"/>
      <c r="G55" s="181"/>
    </row>
    <row r="56" spans="2:7" s="70" customFormat="1" x14ac:dyDescent="0.3">
      <c r="B56" s="181"/>
      <c r="C56" s="181"/>
      <c r="D56" s="181"/>
      <c r="E56" s="181"/>
      <c r="F56" s="181"/>
      <c r="G56" s="181"/>
    </row>
    <row r="57" spans="2:7" s="70" customFormat="1" ht="17.25" customHeight="1" x14ac:dyDescent="0.3">
      <c r="B57" s="181"/>
      <c r="C57" s="181"/>
      <c r="D57" s="181"/>
      <c r="E57" s="181"/>
      <c r="F57" s="181"/>
      <c r="G57" s="181"/>
    </row>
    <row r="58" spans="2:7" s="70" customFormat="1" x14ac:dyDescent="0.3"/>
    <row r="59" spans="2:7" s="70" customFormat="1" x14ac:dyDescent="0.3"/>
    <row r="60" spans="2:7" s="70" customFormat="1" x14ac:dyDescent="0.3"/>
    <row r="61" spans="2:7" s="70" customFormat="1" x14ac:dyDescent="0.3"/>
    <row r="62" spans="2:7" s="70" customFormat="1" x14ac:dyDescent="0.3"/>
    <row r="63" spans="2:7" s="70" customFormat="1" x14ac:dyDescent="0.3"/>
    <row r="64" spans="2:7" s="70" customFormat="1" x14ac:dyDescent="0.3"/>
    <row r="65" s="70" customFormat="1" x14ac:dyDescent="0.3"/>
    <row r="66" s="70" customFormat="1" x14ac:dyDescent="0.3"/>
    <row r="67" s="70" customFormat="1" x14ac:dyDescent="0.3"/>
    <row r="68" s="70" customFormat="1" x14ac:dyDescent="0.3"/>
    <row r="69" s="70" customFormat="1" x14ac:dyDescent="0.3"/>
    <row r="70" s="70" customFormat="1" x14ac:dyDescent="0.3"/>
    <row r="71" s="70" customFormat="1" x14ac:dyDescent="0.3"/>
    <row r="72" s="70" customFormat="1" x14ac:dyDescent="0.3"/>
    <row r="73" s="70" customFormat="1" x14ac:dyDescent="0.3"/>
    <row r="74" s="70" customFormat="1" x14ac:dyDescent="0.3"/>
    <row r="75" s="70" customFormat="1" x14ac:dyDescent="0.3"/>
    <row r="76" s="70" customFormat="1" x14ac:dyDescent="0.3"/>
    <row r="77" s="70" customFormat="1" x14ac:dyDescent="0.3"/>
    <row r="78" s="70" customFormat="1" x14ac:dyDescent="0.3"/>
    <row r="79" s="70" customFormat="1" x14ac:dyDescent="0.3"/>
    <row r="80" s="70" customFormat="1" x14ac:dyDescent="0.3"/>
    <row r="81" s="70" customFormat="1" x14ac:dyDescent="0.3"/>
    <row r="82" s="70" customFormat="1" x14ac:dyDescent="0.3"/>
    <row r="83" s="70" customFormat="1" x14ac:dyDescent="0.3"/>
    <row r="84" s="70" customFormat="1" x14ac:dyDescent="0.3"/>
    <row r="85" s="70" customFormat="1" x14ac:dyDescent="0.3"/>
    <row r="86" s="70" customFormat="1" x14ac:dyDescent="0.3"/>
    <row r="87" s="70" customFormat="1" x14ac:dyDescent="0.3"/>
    <row r="88" s="70" customFormat="1" x14ac:dyDescent="0.3"/>
    <row r="89" s="70" customFormat="1" x14ac:dyDescent="0.3"/>
    <row r="90" s="70" customFormat="1" x14ac:dyDescent="0.3"/>
    <row r="91" s="70" customFormat="1" x14ac:dyDescent="0.3"/>
    <row r="92" s="70" customFormat="1" x14ac:dyDescent="0.3"/>
    <row r="93" s="70" customFormat="1" x14ac:dyDescent="0.3"/>
    <row r="94" s="70" customFormat="1" x14ac:dyDescent="0.3"/>
    <row r="95" s="70" customFormat="1" x14ac:dyDescent="0.3"/>
    <row r="96" s="70" customFormat="1" x14ac:dyDescent="0.3"/>
    <row r="97" spans="2:7" s="70" customFormat="1" x14ac:dyDescent="0.3"/>
    <row r="98" spans="2:7" s="70" customFormat="1" x14ac:dyDescent="0.3"/>
    <row r="99" spans="2:7" s="70" customFormat="1" x14ac:dyDescent="0.3"/>
    <row r="100" spans="2:7" s="70" customFormat="1" x14ac:dyDescent="0.3"/>
    <row r="101" spans="2:7" s="70" customFormat="1" x14ac:dyDescent="0.3"/>
    <row r="102" spans="2:7" s="70" customFormat="1" x14ac:dyDescent="0.3"/>
    <row r="103" spans="2:7" s="70" customFormat="1" x14ac:dyDescent="0.3"/>
    <row r="104" spans="2:7" s="70" customFormat="1" x14ac:dyDescent="0.3"/>
    <row r="105" spans="2:7" s="70" customFormat="1" x14ac:dyDescent="0.3"/>
    <row r="106" spans="2:7" s="70" customFormat="1" x14ac:dyDescent="0.3"/>
    <row r="107" spans="2:7" s="70" customFormat="1" x14ac:dyDescent="0.3"/>
    <row r="108" spans="2:7" s="70" customFormat="1" x14ac:dyDescent="0.3"/>
    <row r="109" spans="2:7" x14ac:dyDescent="0.3">
      <c r="B109" s="190"/>
      <c r="C109" s="190"/>
      <c r="D109" s="190"/>
      <c r="E109" s="190"/>
      <c r="F109" s="190"/>
      <c r="G109" s="190"/>
    </row>
    <row r="110" spans="2:7" x14ac:dyDescent="0.3">
      <c r="B110" s="190"/>
      <c r="C110" s="190"/>
      <c r="D110" s="190"/>
      <c r="E110" s="190"/>
      <c r="F110" s="190"/>
      <c r="G110" s="190"/>
    </row>
    <row r="111" spans="2:7" x14ac:dyDescent="0.3">
      <c r="B111" s="190"/>
      <c r="C111" s="190"/>
      <c r="D111" s="190"/>
      <c r="E111" s="190"/>
      <c r="F111" s="190"/>
      <c r="G111" s="190"/>
    </row>
    <row r="112" spans="2:7" x14ac:dyDescent="0.3">
      <c r="B112" s="190"/>
      <c r="C112" s="190"/>
      <c r="D112" s="190"/>
      <c r="E112" s="190"/>
      <c r="F112" s="190"/>
      <c r="G112" s="190"/>
    </row>
    <row r="113" spans="2:7" x14ac:dyDescent="0.3">
      <c r="B113" s="192"/>
      <c r="C113" s="192"/>
      <c r="D113" s="192"/>
      <c r="E113" s="192"/>
      <c r="F113" s="192"/>
      <c r="G113" s="192"/>
    </row>
    <row r="114" spans="2:7" x14ac:dyDescent="0.3">
      <c r="B114" s="193"/>
      <c r="C114" s="193"/>
      <c r="D114" s="193"/>
      <c r="E114" s="193"/>
      <c r="F114" s="193"/>
      <c r="G114" s="193"/>
    </row>
    <row r="115" spans="2:7" x14ac:dyDescent="0.3">
      <c r="B115" s="193"/>
      <c r="C115" s="193"/>
      <c r="D115" s="193"/>
      <c r="E115" s="193"/>
      <c r="F115" s="193"/>
      <c r="G115" s="193"/>
    </row>
    <row r="116" spans="2:7" x14ac:dyDescent="0.3">
      <c r="B116" s="193"/>
      <c r="C116" s="193"/>
      <c r="D116" s="193"/>
      <c r="E116" s="193"/>
      <c r="F116" s="193"/>
      <c r="G116" s="193"/>
    </row>
    <row r="117" spans="2:7" x14ac:dyDescent="0.3">
      <c r="B117" s="190"/>
      <c r="C117" s="190"/>
      <c r="D117" s="190"/>
      <c r="E117" s="190"/>
      <c r="F117" s="190"/>
      <c r="G117" s="190"/>
    </row>
    <row r="118" spans="2:7" x14ac:dyDescent="0.3">
      <c r="B118" s="190"/>
      <c r="C118" s="190"/>
      <c r="D118" s="190"/>
      <c r="E118" s="190"/>
      <c r="F118" s="190"/>
      <c r="G118" s="190"/>
    </row>
    <row r="119" spans="2:7" x14ac:dyDescent="0.3">
      <c r="B119" s="190"/>
      <c r="C119" s="190"/>
      <c r="D119" s="190"/>
      <c r="E119" s="190"/>
      <c r="F119" s="190"/>
      <c r="G119" s="190"/>
    </row>
    <row r="120" spans="2:7" x14ac:dyDescent="0.3">
      <c r="B120" s="192"/>
      <c r="C120" s="192"/>
      <c r="D120" s="192"/>
      <c r="E120" s="192"/>
      <c r="F120" s="192"/>
      <c r="G120" s="192"/>
    </row>
    <row r="121" spans="2:7" x14ac:dyDescent="0.3">
      <c r="B121" s="193"/>
      <c r="C121" s="193"/>
      <c r="D121" s="193"/>
      <c r="E121" s="193"/>
      <c r="F121" s="193"/>
      <c r="G121" s="193"/>
    </row>
    <row r="122" spans="2:7" x14ac:dyDescent="0.3">
      <c r="B122" s="193"/>
      <c r="C122" s="193"/>
      <c r="D122" s="193"/>
      <c r="E122" s="193"/>
      <c r="F122" s="193"/>
      <c r="G122" s="193"/>
    </row>
    <row r="123" spans="2:7" x14ac:dyDescent="0.3">
      <c r="B123" s="193"/>
      <c r="C123" s="193"/>
      <c r="D123" s="193"/>
      <c r="E123" s="193"/>
      <c r="F123" s="193"/>
      <c r="G123" s="193"/>
    </row>
    <row r="124" spans="2:7" x14ac:dyDescent="0.3">
      <c r="B124" s="193"/>
      <c r="C124" s="193"/>
      <c r="D124" s="193"/>
      <c r="E124" s="193"/>
      <c r="F124" s="193"/>
      <c r="G124" s="193"/>
    </row>
    <row r="125" spans="2:7" x14ac:dyDescent="0.3">
      <c r="B125" s="190"/>
      <c r="C125" s="190"/>
      <c r="D125" s="190"/>
      <c r="E125" s="190"/>
      <c r="F125" s="190"/>
      <c r="G125" s="190"/>
    </row>
    <row r="126" spans="2:7" x14ac:dyDescent="0.3">
      <c r="B126" s="190"/>
      <c r="C126" s="190"/>
      <c r="D126" s="190"/>
      <c r="E126" s="190"/>
      <c r="F126" s="190"/>
      <c r="G126" s="190"/>
    </row>
    <row r="127" spans="2:7" x14ac:dyDescent="0.3">
      <c r="B127" s="190"/>
      <c r="C127" s="190"/>
      <c r="D127" s="190"/>
      <c r="E127" s="190"/>
      <c r="F127" s="190"/>
      <c r="G127" s="190"/>
    </row>
    <row r="128" spans="2:7" x14ac:dyDescent="0.3">
      <c r="B128" s="190"/>
      <c r="C128" s="190"/>
      <c r="D128" s="190"/>
      <c r="E128" s="190"/>
      <c r="F128" s="190"/>
      <c r="G128" s="190"/>
    </row>
    <row r="129" spans="2:7" x14ac:dyDescent="0.3">
      <c r="B129" s="190"/>
      <c r="C129" s="190"/>
      <c r="D129" s="190"/>
      <c r="E129" s="190"/>
      <c r="F129" s="190"/>
      <c r="G129" s="190"/>
    </row>
    <row r="130" spans="2:7" x14ac:dyDescent="0.3">
      <c r="B130" s="190"/>
      <c r="C130" s="190"/>
      <c r="D130" s="190"/>
      <c r="E130" s="190"/>
      <c r="F130" s="190"/>
      <c r="G130" s="190"/>
    </row>
    <row r="131" spans="2:7" x14ac:dyDescent="0.3">
      <c r="B131" s="190"/>
      <c r="C131" s="190"/>
      <c r="D131" s="190"/>
      <c r="E131" s="190"/>
      <c r="F131" s="190"/>
      <c r="G131" s="190"/>
    </row>
    <row r="132" spans="2:7" x14ac:dyDescent="0.3">
      <c r="B132" s="190"/>
      <c r="C132" s="190"/>
      <c r="D132" s="190"/>
      <c r="E132" s="190"/>
      <c r="F132" s="190"/>
      <c r="G132" s="190"/>
    </row>
    <row r="133" spans="2:7" x14ac:dyDescent="0.3">
      <c r="B133" s="190"/>
      <c r="C133" s="190"/>
      <c r="D133" s="190"/>
      <c r="E133" s="190"/>
      <c r="F133" s="190"/>
      <c r="G133" s="190"/>
    </row>
    <row r="134" spans="2:7" x14ac:dyDescent="0.3">
      <c r="B134" s="192"/>
      <c r="C134" s="192"/>
      <c r="D134" s="192"/>
      <c r="E134" s="192"/>
      <c r="F134" s="192"/>
      <c r="G134" s="192"/>
    </row>
    <row r="135" spans="2:7" x14ac:dyDescent="0.3">
      <c r="B135" s="195"/>
      <c r="C135" s="195"/>
      <c r="D135" s="195"/>
      <c r="E135" s="195"/>
      <c r="F135" s="195"/>
      <c r="G135" s="195"/>
    </row>
    <row r="136" spans="2:7" x14ac:dyDescent="0.3">
      <c r="B136" s="196"/>
      <c r="C136" s="196"/>
      <c r="D136" s="196"/>
      <c r="E136" s="196"/>
      <c r="F136" s="196"/>
      <c r="G136" s="196"/>
    </row>
    <row r="137" spans="2:7" x14ac:dyDescent="0.3">
      <c r="B137" s="191"/>
      <c r="C137" s="191"/>
      <c r="D137" s="191"/>
      <c r="E137" s="191"/>
      <c r="F137" s="191"/>
      <c r="G137" s="191"/>
    </row>
    <row r="138" spans="2:7" x14ac:dyDescent="0.3">
      <c r="B138" s="194"/>
      <c r="C138" s="194"/>
      <c r="D138" s="194"/>
      <c r="E138" s="194"/>
      <c r="F138" s="194"/>
      <c r="G138" s="194"/>
    </row>
    <row r="139" spans="2:7" x14ac:dyDescent="0.3">
      <c r="B139" s="194"/>
      <c r="C139" s="194"/>
      <c r="D139" s="194"/>
      <c r="E139" s="194"/>
      <c r="F139" s="194"/>
      <c r="G139" s="194"/>
    </row>
    <row r="140" spans="2:7" x14ac:dyDescent="0.3">
      <c r="B140" s="194"/>
      <c r="C140" s="194"/>
      <c r="D140" s="194"/>
      <c r="E140" s="194"/>
      <c r="F140" s="194"/>
      <c r="G140" s="194"/>
    </row>
    <row r="141" spans="2:7" x14ac:dyDescent="0.3">
      <c r="B141" s="190"/>
      <c r="C141" s="190"/>
      <c r="D141" s="190"/>
      <c r="E141" s="190"/>
      <c r="F141" s="190"/>
      <c r="G141" s="190"/>
    </row>
    <row r="142" spans="2:7" x14ac:dyDescent="0.3">
      <c r="B142" s="191"/>
      <c r="C142" s="191"/>
      <c r="D142" s="191"/>
      <c r="E142" s="191"/>
      <c r="F142" s="191"/>
      <c r="G142" s="191"/>
    </row>
    <row r="143" spans="2:7" x14ac:dyDescent="0.3">
      <c r="B143" s="191"/>
      <c r="C143" s="191"/>
      <c r="D143" s="191"/>
      <c r="E143" s="191"/>
      <c r="F143" s="191"/>
      <c r="G143" s="191"/>
    </row>
    <row r="144" spans="2:7" x14ac:dyDescent="0.3">
      <c r="B144" s="191"/>
      <c r="C144" s="191"/>
      <c r="D144" s="191"/>
      <c r="E144" s="191"/>
      <c r="F144" s="191"/>
      <c r="G144" s="191"/>
    </row>
    <row r="145" spans="2:7" x14ac:dyDescent="0.3">
      <c r="B145" s="190"/>
      <c r="C145" s="190"/>
      <c r="D145" s="190"/>
      <c r="E145" s="190"/>
      <c r="F145" s="190"/>
      <c r="G145" s="190"/>
    </row>
    <row r="146" spans="2:7" x14ac:dyDescent="0.3">
      <c r="B146" s="190"/>
      <c r="C146" s="190"/>
      <c r="D146" s="190"/>
      <c r="E146" s="190"/>
      <c r="F146" s="190"/>
      <c r="G146" s="190"/>
    </row>
    <row r="147" spans="2:7" x14ac:dyDescent="0.3">
      <c r="B147" s="190"/>
      <c r="C147" s="190"/>
      <c r="D147" s="190"/>
      <c r="E147" s="190"/>
      <c r="F147" s="190"/>
      <c r="G147" s="190"/>
    </row>
    <row r="148" spans="2:7" x14ac:dyDescent="0.3">
      <c r="B148" s="190"/>
      <c r="C148" s="190"/>
      <c r="D148" s="190"/>
      <c r="E148" s="190"/>
      <c r="F148" s="190"/>
      <c r="G148" s="190"/>
    </row>
    <row r="149" spans="2:7" x14ac:dyDescent="0.3">
      <c r="B149" s="192"/>
      <c r="C149" s="192"/>
      <c r="D149" s="192"/>
      <c r="E149" s="192"/>
      <c r="F149" s="192"/>
      <c r="G149" s="192"/>
    </row>
    <row r="150" spans="2:7" x14ac:dyDescent="0.3">
      <c r="B150" s="191"/>
      <c r="C150" s="191"/>
      <c r="D150" s="191"/>
      <c r="E150" s="191"/>
      <c r="F150" s="191"/>
      <c r="G150" s="191"/>
    </row>
    <row r="151" spans="2:7" x14ac:dyDescent="0.3">
      <c r="B151" s="193"/>
      <c r="C151" s="193"/>
      <c r="D151" s="193"/>
      <c r="E151" s="193"/>
      <c r="F151" s="193"/>
      <c r="G151" s="193"/>
    </row>
    <row r="152" spans="2:7" x14ac:dyDescent="0.3">
      <c r="B152" s="194"/>
      <c r="C152" s="194"/>
      <c r="D152" s="194"/>
      <c r="E152" s="194"/>
      <c r="F152" s="194"/>
      <c r="G152" s="194"/>
    </row>
    <row r="153" spans="2:7" x14ac:dyDescent="0.3">
      <c r="B153" s="194"/>
      <c r="C153" s="194"/>
      <c r="D153" s="194"/>
      <c r="E153" s="194"/>
      <c r="F153" s="194"/>
      <c r="G153" s="194"/>
    </row>
    <row r="154" spans="2:7" x14ac:dyDescent="0.3">
      <c r="B154" s="194"/>
      <c r="C154" s="194"/>
      <c r="D154" s="194"/>
      <c r="E154" s="194"/>
      <c r="F154" s="194"/>
      <c r="G154" s="194"/>
    </row>
    <row r="155" spans="2:7" x14ac:dyDescent="0.3">
      <c r="B155" s="190"/>
      <c r="C155" s="190"/>
      <c r="D155" s="190"/>
      <c r="E155" s="190"/>
      <c r="F155" s="190"/>
      <c r="G155" s="190"/>
    </row>
    <row r="156" spans="2:7" x14ac:dyDescent="0.3">
      <c r="B156" s="190"/>
      <c r="C156" s="190"/>
      <c r="D156" s="190"/>
      <c r="E156" s="190"/>
      <c r="F156" s="190"/>
      <c r="G156" s="190"/>
    </row>
    <row r="157" spans="2:7" x14ac:dyDescent="0.3">
      <c r="B157" s="190"/>
      <c r="C157" s="190"/>
      <c r="D157" s="190"/>
      <c r="E157" s="190"/>
      <c r="F157" s="190"/>
      <c r="G157" s="190"/>
    </row>
    <row r="158" spans="2:7" x14ac:dyDescent="0.3">
      <c r="B158" s="190"/>
      <c r="C158" s="190"/>
      <c r="D158" s="190"/>
      <c r="E158" s="190"/>
      <c r="F158" s="190"/>
      <c r="G158" s="190"/>
    </row>
    <row r="159" spans="2:7" x14ac:dyDescent="0.3">
      <c r="B159" s="192"/>
      <c r="C159" s="192"/>
      <c r="D159" s="192"/>
      <c r="E159" s="192"/>
      <c r="F159" s="192"/>
      <c r="G159" s="192"/>
    </row>
    <row r="160" spans="2:7" x14ac:dyDescent="0.3">
      <c r="B160" s="193"/>
      <c r="C160" s="193"/>
      <c r="D160" s="193"/>
      <c r="E160" s="193"/>
      <c r="F160" s="193"/>
      <c r="G160" s="193"/>
    </row>
    <row r="161" spans="2:14" x14ac:dyDescent="0.3">
      <c r="B161" s="193"/>
      <c r="C161" s="193"/>
      <c r="D161" s="193"/>
      <c r="E161" s="193"/>
      <c r="F161" s="193"/>
      <c r="G161" s="193"/>
    </row>
    <row r="162" spans="2:14" x14ac:dyDescent="0.3">
      <c r="B162" s="193"/>
      <c r="C162" s="193"/>
      <c r="D162" s="193"/>
      <c r="E162" s="193"/>
      <c r="F162" s="193"/>
      <c r="G162" s="193"/>
    </row>
    <row r="163" spans="2:14" x14ac:dyDescent="0.3">
      <c r="B163" s="190"/>
      <c r="C163" s="190"/>
      <c r="D163" s="190"/>
      <c r="E163" s="190"/>
      <c r="F163" s="190"/>
      <c r="G163" s="190"/>
    </row>
    <row r="164" spans="2:14" x14ac:dyDescent="0.3">
      <c r="B164" s="190"/>
      <c r="C164" s="190"/>
      <c r="D164" s="190"/>
      <c r="E164" s="190"/>
      <c r="F164" s="190"/>
      <c r="G164" s="190"/>
    </row>
    <row r="165" spans="2:14" x14ac:dyDescent="0.3">
      <c r="B165" s="190"/>
      <c r="C165" s="190"/>
      <c r="D165" s="190"/>
      <c r="E165" s="190"/>
      <c r="F165" s="190"/>
      <c r="G165" s="190"/>
    </row>
    <row r="166" spans="2:14" x14ac:dyDescent="0.3">
      <c r="B166" s="192"/>
      <c r="C166" s="192"/>
      <c r="D166" s="192"/>
      <c r="E166" s="192"/>
      <c r="F166" s="192"/>
      <c r="G166" s="192"/>
    </row>
    <row r="167" spans="2:14" x14ac:dyDescent="0.3">
      <c r="B167" s="193"/>
      <c r="C167" s="193"/>
      <c r="D167" s="193"/>
      <c r="E167" s="193"/>
      <c r="F167" s="193"/>
      <c r="G167" s="193"/>
    </row>
    <row r="168" spans="2:14" x14ac:dyDescent="0.3">
      <c r="B168" s="193"/>
      <c r="C168" s="193"/>
      <c r="D168" s="193"/>
      <c r="E168" s="193"/>
      <c r="F168" s="193"/>
      <c r="G168" s="193"/>
    </row>
    <row r="169" spans="2:14" x14ac:dyDescent="0.3">
      <c r="B169" s="193"/>
      <c r="C169" s="193"/>
      <c r="D169" s="193"/>
      <c r="E169" s="193"/>
      <c r="F169" s="193"/>
      <c r="G169" s="193"/>
    </row>
    <row r="170" spans="2:14" x14ac:dyDescent="0.3">
      <c r="B170" s="193"/>
      <c r="C170" s="193"/>
      <c r="D170" s="193"/>
      <c r="E170" s="193"/>
      <c r="F170" s="193"/>
      <c r="G170" s="193"/>
    </row>
    <row r="173" spans="2:14" x14ac:dyDescent="0.3">
      <c r="B173" s="188"/>
      <c r="J173" s="179"/>
    </row>
    <row r="175" spans="2:14" x14ac:dyDescent="0.3">
      <c r="B175" s="197"/>
      <c r="C175" s="197"/>
      <c r="D175" s="197"/>
      <c r="E175" s="197"/>
      <c r="F175" s="197"/>
      <c r="G175" s="197"/>
      <c r="H175" s="178"/>
      <c r="I175" s="178"/>
      <c r="J175" s="178"/>
      <c r="K175" s="178"/>
      <c r="L175" s="178"/>
      <c r="M175" s="178"/>
      <c r="N175" s="178"/>
    </row>
    <row r="176" spans="2:14" x14ac:dyDescent="0.3">
      <c r="B176" s="198"/>
      <c r="C176" s="198"/>
      <c r="D176" s="198"/>
      <c r="E176" s="198"/>
      <c r="F176" s="198"/>
      <c r="G176" s="198"/>
      <c r="H176" s="180"/>
      <c r="I176" s="180"/>
      <c r="J176" s="180"/>
      <c r="K176" s="180"/>
      <c r="L176" s="180"/>
      <c r="M176" s="180"/>
      <c r="N176" s="179"/>
    </row>
    <row r="177" spans="2:14" x14ac:dyDescent="0.3">
      <c r="B177" s="198"/>
      <c r="C177" s="198"/>
      <c r="D177" s="198"/>
      <c r="E177" s="198"/>
      <c r="F177" s="198"/>
      <c r="G177" s="198"/>
      <c r="H177" s="180"/>
      <c r="I177" s="180"/>
      <c r="J177" s="180"/>
      <c r="K177" s="180"/>
      <c r="L177" s="180"/>
      <c r="M177" s="180"/>
      <c r="N177" s="179"/>
    </row>
    <row r="178" spans="2:14" x14ac:dyDescent="0.3">
      <c r="B178" s="198"/>
      <c r="C178" s="198"/>
      <c r="D178" s="198"/>
      <c r="E178" s="198"/>
      <c r="F178" s="198"/>
      <c r="G178" s="198"/>
      <c r="H178" s="180"/>
      <c r="I178" s="180"/>
      <c r="J178" s="180"/>
      <c r="K178" s="180"/>
      <c r="L178" s="180"/>
      <c r="M178" s="180"/>
      <c r="N178" s="179"/>
    </row>
    <row r="179" spans="2:14" x14ac:dyDescent="0.3">
      <c r="B179" s="198"/>
      <c r="C179" s="198"/>
      <c r="D179" s="198"/>
      <c r="E179" s="198"/>
      <c r="F179" s="198"/>
      <c r="G179" s="198"/>
      <c r="H179" s="180"/>
      <c r="I179" s="180"/>
      <c r="J179" s="180"/>
      <c r="K179" s="180"/>
      <c r="L179" s="180"/>
      <c r="M179" s="180"/>
      <c r="N179" s="179"/>
    </row>
    <row r="180" spans="2:14" x14ac:dyDescent="0.3">
      <c r="B180" s="198"/>
      <c r="C180" s="198"/>
      <c r="D180" s="198"/>
      <c r="E180" s="198"/>
      <c r="F180" s="198"/>
      <c r="G180" s="198"/>
      <c r="H180" s="180"/>
      <c r="I180" s="180"/>
      <c r="J180" s="180"/>
      <c r="K180" s="180"/>
      <c r="L180" s="180"/>
      <c r="M180" s="180"/>
      <c r="N180" s="179"/>
    </row>
    <row r="181" spans="2:14" x14ac:dyDescent="0.3">
      <c r="B181" s="198"/>
      <c r="C181" s="198"/>
      <c r="D181" s="198"/>
      <c r="E181" s="198"/>
      <c r="F181" s="198"/>
      <c r="G181" s="198"/>
      <c r="H181" s="180"/>
      <c r="I181" s="180"/>
      <c r="J181" s="180"/>
      <c r="K181" s="180"/>
      <c r="L181" s="180"/>
      <c r="M181" s="180"/>
      <c r="N181" s="179"/>
    </row>
    <row r="184" spans="2:14" x14ac:dyDescent="0.3">
      <c r="B184" s="197"/>
      <c r="C184" s="197"/>
      <c r="D184" s="197"/>
      <c r="E184" s="197"/>
      <c r="F184" s="197"/>
      <c r="G184" s="197"/>
      <c r="H184" s="178"/>
      <c r="I184" s="178"/>
      <c r="J184" s="178"/>
      <c r="K184" s="178"/>
      <c r="L184" s="178"/>
      <c r="M184" s="178"/>
      <c r="N184" s="178"/>
    </row>
    <row r="185" spans="2:14" x14ac:dyDescent="0.3">
      <c r="B185" s="198"/>
      <c r="C185" s="198"/>
      <c r="D185" s="198"/>
      <c r="E185" s="198"/>
      <c r="F185" s="198"/>
      <c r="G185" s="198"/>
      <c r="H185" s="180"/>
      <c r="I185" s="180"/>
      <c r="J185" s="180"/>
      <c r="K185" s="180"/>
      <c r="L185" s="180"/>
      <c r="M185" s="180"/>
      <c r="N185" s="179"/>
    </row>
    <row r="186" spans="2:14" x14ac:dyDescent="0.3">
      <c r="B186" s="198"/>
      <c r="C186" s="198"/>
      <c r="D186" s="198"/>
      <c r="E186" s="198"/>
      <c r="F186" s="198"/>
      <c r="G186" s="198"/>
      <c r="H186" s="180"/>
      <c r="I186" s="180"/>
      <c r="J186" s="180"/>
      <c r="K186" s="180"/>
      <c r="L186" s="180"/>
      <c r="M186" s="180"/>
      <c r="N186" s="179"/>
    </row>
    <row r="187" spans="2:14" x14ac:dyDescent="0.3">
      <c r="B187" s="198"/>
      <c r="C187" s="198"/>
      <c r="D187" s="198"/>
      <c r="E187" s="198"/>
      <c r="F187" s="198"/>
      <c r="G187" s="198"/>
      <c r="H187" s="180"/>
      <c r="I187" s="180"/>
      <c r="J187" s="180"/>
      <c r="K187" s="180"/>
      <c r="L187" s="180"/>
      <c r="M187" s="180"/>
      <c r="N187" s="179"/>
    </row>
    <row r="188" spans="2:14" x14ac:dyDescent="0.3">
      <c r="B188" s="198"/>
      <c r="C188" s="198"/>
      <c r="D188" s="198"/>
      <c r="E188" s="198"/>
      <c r="F188" s="198"/>
      <c r="G188" s="198"/>
      <c r="H188" s="180"/>
      <c r="I188" s="180"/>
      <c r="J188" s="180"/>
      <c r="K188" s="180"/>
      <c r="L188" s="180"/>
      <c r="M188" s="180"/>
      <c r="N188" s="179"/>
    </row>
    <row r="189" spans="2:14" x14ac:dyDescent="0.3">
      <c r="B189" s="198"/>
      <c r="C189" s="198"/>
      <c r="D189" s="198"/>
      <c r="E189" s="198"/>
      <c r="F189" s="198"/>
      <c r="G189" s="198"/>
      <c r="H189" s="180"/>
      <c r="I189" s="180"/>
      <c r="J189" s="180"/>
      <c r="K189" s="180"/>
      <c r="L189" s="180"/>
      <c r="M189" s="180"/>
      <c r="N189" s="179"/>
    </row>
    <row r="190" spans="2:14" x14ac:dyDescent="0.3">
      <c r="B190" s="198"/>
      <c r="C190" s="198"/>
      <c r="D190" s="198"/>
      <c r="E190" s="198"/>
      <c r="F190" s="198"/>
      <c r="G190" s="198"/>
      <c r="H190" s="180"/>
      <c r="I190" s="180"/>
      <c r="J190" s="180"/>
      <c r="K190" s="180"/>
      <c r="L190" s="180"/>
      <c r="M190" s="180"/>
      <c r="N190" s="179"/>
    </row>
    <row r="191" spans="2:14" x14ac:dyDescent="0.3">
      <c r="B191" s="198"/>
      <c r="C191" s="198"/>
      <c r="D191" s="198"/>
      <c r="E191" s="198"/>
      <c r="F191" s="198"/>
      <c r="G191" s="198"/>
      <c r="H191" s="180"/>
      <c r="I191" s="180"/>
      <c r="J191" s="180"/>
      <c r="K191" s="180"/>
      <c r="L191" s="180"/>
      <c r="M191" s="180"/>
      <c r="N191" s="179"/>
    </row>
    <row r="192" spans="2:14" x14ac:dyDescent="0.3">
      <c r="B192" s="198"/>
      <c r="C192" s="198"/>
      <c r="D192" s="198"/>
      <c r="E192" s="198"/>
      <c r="F192" s="198"/>
      <c r="G192" s="198"/>
      <c r="H192" s="180"/>
      <c r="I192" s="180"/>
      <c r="J192" s="180"/>
      <c r="K192" s="180"/>
      <c r="L192" s="180"/>
      <c r="M192" s="180"/>
      <c r="N192" s="179"/>
    </row>
    <row r="193" spans="2:14" x14ac:dyDescent="0.3">
      <c r="B193" s="198"/>
      <c r="C193" s="198"/>
      <c r="D193" s="198"/>
      <c r="E193" s="198"/>
      <c r="F193" s="198"/>
      <c r="G193" s="198"/>
      <c r="H193" s="180"/>
      <c r="I193" s="180"/>
      <c r="J193" s="180"/>
      <c r="K193" s="180"/>
      <c r="L193" s="180"/>
      <c r="M193" s="180"/>
      <c r="N193" s="179"/>
    </row>
    <row r="194" spans="2:14" x14ac:dyDescent="0.3">
      <c r="B194" s="198"/>
      <c r="C194" s="198"/>
      <c r="D194" s="198"/>
      <c r="E194" s="198"/>
      <c r="F194" s="198"/>
      <c r="G194" s="198"/>
      <c r="H194" s="180"/>
      <c r="I194" s="180"/>
      <c r="J194" s="180"/>
      <c r="K194" s="180"/>
      <c r="L194" s="180"/>
      <c r="M194" s="180"/>
      <c r="N194" s="179"/>
    </row>
    <row r="195" spans="2:14" x14ac:dyDescent="0.3">
      <c r="B195" s="198"/>
      <c r="C195" s="198"/>
      <c r="D195" s="198"/>
      <c r="E195" s="198"/>
      <c r="F195" s="198"/>
      <c r="G195" s="198"/>
      <c r="H195" s="180"/>
      <c r="I195" s="180"/>
      <c r="J195" s="180"/>
      <c r="K195" s="180"/>
      <c r="L195" s="180"/>
      <c r="M195" s="180"/>
      <c r="N195" s="179"/>
    </row>
    <row r="196" spans="2:14" x14ac:dyDescent="0.3">
      <c r="B196" s="198"/>
      <c r="C196" s="198"/>
      <c r="D196" s="198"/>
      <c r="E196" s="198"/>
      <c r="F196" s="198"/>
      <c r="G196" s="198"/>
      <c r="H196" s="180"/>
      <c r="I196" s="180"/>
      <c r="J196" s="180"/>
      <c r="K196" s="180"/>
      <c r="L196" s="180"/>
      <c r="M196" s="180"/>
      <c r="N196" s="179"/>
    </row>
    <row r="197" spans="2:14" x14ac:dyDescent="0.3">
      <c r="B197" s="198"/>
      <c r="C197" s="198"/>
      <c r="D197" s="198"/>
      <c r="E197" s="198"/>
      <c r="F197" s="198"/>
      <c r="G197" s="198"/>
      <c r="H197" s="180"/>
      <c r="I197" s="180"/>
      <c r="J197" s="180"/>
      <c r="K197" s="180"/>
      <c r="L197" s="180"/>
      <c r="M197" s="180"/>
      <c r="N197" s="179"/>
    </row>
    <row r="200" spans="2:14" x14ac:dyDescent="0.3">
      <c r="B200" s="197"/>
      <c r="C200" s="197"/>
      <c r="D200" s="197"/>
      <c r="E200" s="197"/>
      <c r="F200" s="197"/>
      <c r="G200" s="197"/>
      <c r="H200" s="178"/>
      <c r="I200" s="178"/>
      <c r="J200" s="178"/>
      <c r="K200" s="178"/>
      <c r="L200" s="178"/>
      <c r="M200" s="178"/>
    </row>
    <row r="201" spans="2:14" x14ac:dyDescent="0.3">
      <c r="B201" s="198"/>
      <c r="C201" s="198"/>
      <c r="D201" s="198"/>
      <c r="E201" s="198"/>
      <c r="F201" s="198"/>
      <c r="G201" s="198"/>
      <c r="H201" s="180"/>
      <c r="I201" s="180"/>
      <c r="J201" s="180"/>
      <c r="K201" s="180"/>
      <c r="L201" s="180"/>
      <c r="M201" s="180"/>
    </row>
    <row r="202" spans="2:14" x14ac:dyDescent="0.3">
      <c r="B202" s="198"/>
      <c r="C202" s="198"/>
      <c r="D202" s="198"/>
      <c r="E202" s="198"/>
      <c r="F202" s="198"/>
      <c r="G202" s="198"/>
      <c r="H202" s="180"/>
      <c r="I202" s="180"/>
      <c r="J202" s="180"/>
      <c r="K202" s="180"/>
      <c r="L202" s="180"/>
      <c r="M202" s="180"/>
    </row>
    <row r="203" spans="2:14" x14ac:dyDescent="0.3">
      <c r="B203" s="198"/>
      <c r="C203" s="198"/>
      <c r="D203" s="198"/>
      <c r="E203" s="198"/>
      <c r="F203" s="198"/>
      <c r="G203" s="198"/>
      <c r="H203" s="180"/>
      <c r="I203" s="180"/>
      <c r="J203" s="180"/>
      <c r="K203" s="180"/>
      <c r="L203" s="180"/>
      <c r="M203" s="180"/>
    </row>
    <row r="204" spans="2:14" x14ac:dyDescent="0.3">
      <c r="B204" s="198"/>
      <c r="C204" s="198"/>
      <c r="D204" s="198"/>
      <c r="E204" s="198"/>
      <c r="F204" s="198"/>
      <c r="G204" s="198"/>
      <c r="H204" s="180"/>
      <c r="I204" s="180"/>
      <c r="J204" s="180"/>
      <c r="K204" s="180"/>
      <c r="L204" s="180"/>
      <c r="M204" s="180"/>
    </row>
    <row r="205" spans="2:14" x14ac:dyDescent="0.3">
      <c r="B205" s="198"/>
      <c r="C205" s="198"/>
      <c r="D205" s="198"/>
      <c r="E205" s="198"/>
      <c r="F205" s="198"/>
      <c r="G205" s="198"/>
      <c r="H205" s="180"/>
      <c r="I205" s="180"/>
      <c r="J205" s="180"/>
      <c r="K205" s="180"/>
      <c r="L205" s="180"/>
      <c r="M205" s="180"/>
    </row>
    <row r="206" spans="2:14" x14ac:dyDescent="0.3">
      <c r="B206" s="198"/>
      <c r="C206" s="198"/>
      <c r="D206" s="198"/>
      <c r="E206" s="198"/>
      <c r="F206" s="198"/>
      <c r="G206" s="198"/>
      <c r="H206" s="180"/>
      <c r="I206" s="180"/>
      <c r="J206" s="180"/>
      <c r="K206" s="180"/>
      <c r="L206" s="180"/>
      <c r="M206" s="180"/>
    </row>
    <row r="207" spans="2:14" x14ac:dyDescent="0.3">
      <c r="B207" s="198"/>
      <c r="C207" s="198"/>
      <c r="D207" s="198"/>
      <c r="E207" s="198"/>
      <c r="F207" s="198"/>
      <c r="G207" s="198"/>
      <c r="H207" s="180"/>
      <c r="I207" s="180"/>
      <c r="J207" s="180"/>
      <c r="K207" s="180"/>
      <c r="L207" s="180"/>
      <c r="M207" s="180"/>
    </row>
    <row r="208" spans="2:14" x14ac:dyDescent="0.3">
      <c r="B208" s="198"/>
      <c r="C208" s="198"/>
      <c r="D208" s="198"/>
      <c r="E208" s="198"/>
      <c r="F208" s="198"/>
      <c r="G208" s="198"/>
      <c r="H208" s="180"/>
      <c r="I208" s="180"/>
      <c r="J208" s="180"/>
      <c r="K208" s="180"/>
      <c r="L208" s="180"/>
      <c r="M208" s="180"/>
    </row>
    <row r="209" spans="2:14" x14ac:dyDescent="0.3">
      <c r="B209" s="198"/>
      <c r="C209" s="198"/>
      <c r="D209" s="198"/>
      <c r="E209" s="198"/>
      <c r="F209" s="198"/>
      <c r="G209" s="198"/>
      <c r="H209" s="180"/>
      <c r="I209" s="180"/>
      <c r="J209" s="180"/>
      <c r="K209" s="180"/>
      <c r="L209" s="180"/>
      <c r="M209" s="180"/>
    </row>
    <row r="210" spans="2:14" x14ac:dyDescent="0.3">
      <c r="B210" s="198"/>
      <c r="C210" s="198"/>
      <c r="D210" s="198"/>
      <c r="E210" s="198"/>
      <c r="F210" s="198"/>
      <c r="G210" s="198"/>
      <c r="H210" s="180"/>
      <c r="I210" s="180"/>
      <c r="J210" s="180"/>
      <c r="K210" s="180"/>
      <c r="L210" s="180"/>
      <c r="M210" s="180"/>
    </row>
    <row r="211" spans="2:14" x14ac:dyDescent="0.3">
      <c r="B211" s="198"/>
      <c r="C211" s="198"/>
      <c r="D211" s="198"/>
      <c r="E211" s="198"/>
      <c r="F211" s="198"/>
      <c r="G211" s="198"/>
      <c r="H211" s="180"/>
      <c r="I211" s="180"/>
      <c r="J211" s="180"/>
      <c r="K211" s="180"/>
      <c r="L211" s="180"/>
      <c r="M211" s="180"/>
    </row>
    <row r="212" spans="2:14" x14ac:dyDescent="0.3">
      <c r="B212" s="198"/>
      <c r="C212" s="198"/>
      <c r="D212" s="198"/>
      <c r="E212" s="198"/>
      <c r="F212" s="198"/>
      <c r="G212" s="198"/>
      <c r="H212" s="180"/>
      <c r="I212" s="180"/>
      <c r="J212" s="180"/>
      <c r="K212" s="180"/>
      <c r="L212" s="180"/>
      <c r="M212" s="180"/>
    </row>
    <row r="213" spans="2:14" x14ac:dyDescent="0.3">
      <c r="B213" s="198"/>
      <c r="C213" s="198"/>
      <c r="D213" s="198"/>
      <c r="E213" s="198"/>
      <c r="F213" s="198"/>
      <c r="G213" s="198"/>
      <c r="H213" s="180"/>
      <c r="I213" s="180"/>
      <c r="J213" s="180"/>
      <c r="K213" s="180"/>
      <c r="L213" s="180"/>
      <c r="M213" s="180"/>
    </row>
    <row r="214" spans="2:14" x14ac:dyDescent="0.3">
      <c r="B214" s="198"/>
      <c r="C214" s="198"/>
      <c r="D214" s="198"/>
      <c r="E214" s="198"/>
      <c r="F214" s="198"/>
      <c r="G214" s="198"/>
      <c r="H214" s="180"/>
      <c r="I214" s="180"/>
      <c r="J214" s="180"/>
      <c r="K214" s="180"/>
      <c r="L214" s="180"/>
      <c r="M214" s="180"/>
    </row>
    <row r="215" spans="2:14" x14ac:dyDescent="0.3">
      <c r="B215" s="198"/>
      <c r="C215" s="198"/>
      <c r="D215" s="198"/>
      <c r="E215" s="198"/>
      <c r="F215" s="198"/>
      <c r="G215" s="198"/>
      <c r="H215" s="180"/>
      <c r="I215" s="180"/>
      <c r="J215" s="180"/>
      <c r="K215" s="180"/>
      <c r="L215" s="180"/>
      <c r="M215" s="180"/>
    </row>
    <row r="216" spans="2:14" x14ac:dyDescent="0.3">
      <c r="B216" s="198"/>
      <c r="C216" s="198"/>
      <c r="D216" s="198"/>
      <c r="E216" s="198"/>
      <c r="F216" s="198"/>
      <c r="G216" s="198"/>
      <c r="H216" s="180"/>
      <c r="I216" s="180"/>
      <c r="J216" s="180"/>
      <c r="K216" s="180"/>
      <c r="L216" s="180"/>
      <c r="M216" s="180"/>
    </row>
    <row r="217" spans="2:14" x14ac:dyDescent="0.3">
      <c r="B217" s="198"/>
      <c r="C217" s="198"/>
      <c r="D217" s="198"/>
      <c r="E217" s="198"/>
      <c r="F217" s="198"/>
      <c r="G217" s="198"/>
      <c r="H217" s="180"/>
      <c r="I217" s="180"/>
      <c r="J217" s="180"/>
      <c r="K217" s="180"/>
      <c r="L217" s="180"/>
      <c r="M217" s="180"/>
    </row>
    <row r="218" spans="2:14" x14ac:dyDescent="0.3">
      <c r="B218" s="198"/>
      <c r="C218" s="198"/>
      <c r="D218" s="198"/>
      <c r="E218" s="198"/>
      <c r="F218" s="198"/>
      <c r="G218" s="198"/>
      <c r="H218" s="180"/>
      <c r="I218" s="180"/>
      <c r="J218" s="180"/>
      <c r="K218" s="180"/>
      <c r="L218" s="180"/>
      <c r="M218" s="180"/>
    </row>
    <row r="219" spans="2:14" x14ac:dyDescent="0.3">
      <c r="B219" s="198"/>
      <c r="C219" s="198"/>
      <c r="D219" s="198"/>
      <c r="E219" s="198"/>
      <c r="F219" s="198"/>
      <c r="G219" s="198"/>
      <c r="H219" s="180"/>
      <c r="I219" s="180"/>
      <c r="J219" s="180"/>
      <c r="K219" s="180"/>
      <c r="L219" s="180"/>
      <c r="M219" s="180"/>
    </row>
    <row r="220" spans="2:14" x14ac:dyDescent="0.3">
      <c r="B220" s="198"/>
      <c r="C220" s="198"/>
      <c r="D220" s="198"/>
      <c r="E220" s="198"/>
      <c r="F220" s="198"/>
      <c r="G220" s="198"/>
      <c r="H220" s="180"/>
      <c r="I220" s="180"/>
      <c r="J220" s="180"/>
      <c r="K220" s="180"/>
      <c r="L220" s="180"/>
      <c r="M220" s="180"/>
    </row>
    <row r="221" spans="2:14" x14ac:dyDescent="0.3">
      <c r="B221" s="198"/>
      <c r="C221" s="198"/>
      <c r="D221" s="198"/>
      <c r="E221" s="198"/>
      <c r="F221" s="198"/>
      <c r="G221" s="198"/>
      <c r="H221" s="180"/>
      <c r="I221" s="180"/>
      <c r="J221" s="180"/>
      <c r="K221" s="180"/>
      <c r="L221" s="180"/>
      <c r="M221" s="180"/>
    </row>
    <row r="223" spans="2:14" x14ac:dyDescent="0.3">
      <c r="I223" s="180"/>
      <c r="J223" s="180"/>
      <c r="K223" s="180"/>
      <c r="L223" s="180"/>
      <c r="M223" s="180"/>
      <c r="N223" s="180"/>
    </row>
    <row r="224" spans="2:14" x14ac:dyDescent="0.3">
      <c r="B224" s="197"/>
      <c r="C224" s="197"/>
      <c r="D224" s="197"/>
      <c r="E224" s="197"/>
      <c r="F224" s="197"/>
      <c r="G224" s="197"/>
      <c r="H224" s="178"/>
      <c r="I224" s="180"/>
      <c r="J224" s="180"/>
      <c r="K224" s="178"/>
      <c r="L224" s="178"/>
      <c r="M224" s="179"/>
    </row>
    <row r="225" spans="2:13" ht="15.6" x14ac:dyDescent="0.3">
      <c r="B225" s="199"/>
      <c r="C225" s="199"/>
      <c r="D225" s="199"/>
      <c r="E225" s="199"/>
      <c r="F225" s="199"/>
      <c r="G225" s="199"/>
      <c r="H225" s="184"/>
      <c r="I225" s="184"/>
      <c r="J225" s="184"/>
      <c r="K225" s="184"/>
      <c r="L225" s="180"/>
      <c r="M225" s="180"/>
    </row>
    <row r="226" spans="2:13" ht="15.6" x14ac:dyDescent="0.3">
      <c r="B226" s="200"/>
      <c r="C226" s="200"/>
      <c r="D226" s="200"/>
      <c r="E226" s="200"/>
      <c r="F226" s="200"/>
      <c r="G226" s="200"/>
      <c r="H226" s="185"/>
      <c r="I226" s="186"/>
      <c r="J226" s="185"/>
      <c r="K226" s="185"/>
      <c r="L226" s="179"/>
      <c r="M226" s="180"/>
    </row>
    <row r="227" spans="2:13" ht="15.6" x14ac:dyDescent="0.3">
      <c r="B227" s="200"/>
      <c r="C227" s="200"/>
      <c r="D227" s="200"/>
      <c r="E227" s="200"/>
      <c r="F227" s="200"/>
      <c r="G227" s="200"/>
      <c r="H227" s="185"/>
      <c r="I227" s="186"/>
      <c r="J227" s="185"/>
      <c r="K227" s="185"/>
      <c r="L227" s="179"/>
      <c r="M227" s="180"/>
    </row>
    <row r="228" spans="2:13" ht="15.6" x14ac:dyDescent="0.3">
      <c r="B228" s="200"/>
      <c r="C228" s="200"/>
      <c r="D228" s="200"/>
      <c r="E228" s="200"/>
      <c r="F228" s="200"/>
      <c r="G228" s="200"/>
      <c r="H228" s="185"/>
      <c r="I228" s="186"/>
      <c r="J228" s="185"/>
      <c r="K228" s="185"/>
      <c r="L228" s="179"/>
      <c r="M228" s="180"/>
    </row>
    <row r="229" spans="2:13" ht="15.6" x14ac:dyDescent="0.3">
      <c r="B229" s="200"/>
      <c r="C229" s="200"/>
      <c r="D229" s="200"/>
      <c r="E229" s="200"/>
      <c r="F229" s="200"/>
      <c r="G229" s="200"/>
      <c r="H229" s="185"/>
      <c r="I229" s="186"/>
      <c r="J229" s="185"/>
      <c r="K229" s="185"/>
      <c r="L229" s="180"/>
      <c r="M229" s="180"/>
    </row>
    <row r="230" spans="2:13" ht="15.6" x14ac:dyDescent="0.3">
      <c r="B230" s="200"/>
      <c r="C230" s="200"/>
      <c r="D230" s="200"/>
      <c r="E230" s="200"/>
      <c r="F230" s="200"/>
      <c r="G230" s="200"/>
      <c r="H230" s="185"/>
      <c r="I230" s="186"/>
      <c r="J230" s="185"/>
      <c r="K230" s="185"/>
      <c r="L230" s="180"/>
      <c r="M230" s="180"/>
    </row>
    <row r="231" spans="2:13" ht="15.6" x14ac:dyDescent="0.3">
      <c r="B231" s="200"/>
      <c r="C231" s="200"/>
      <c r="D231" s="200"/>
      <c r="E231" s="200"/>
      <c r="F231" s="200"/>
      <c r="G231" s="200"/>
      <c r="H231" s="185"/>
      <c r="I231" s="186"/>
      <c r="J231" s="185"/>
      <c r="K231" s="185"/>
      <c r="L231" s="179"/>
      <c r="M231" s="180"/>
    </row>
    <row r="232" spans="2:13" ht="15.6" x14ac:dyDescent="0.3">
      <c r="B232" s="200"/>
      <c r="C232" s="200"/>
      <c r="D232" s="200"/>
      <c r="E232" s="200"/>
      <c r="F232" s="200"/>
      <c r="G232" s="200"/>
      <c r="H232" s="185"/>
      <c r="I232" s="186"/>
      <c r="J232" s="185"/>
      <c r="K232" s="185"/>
      <c r="L232" s="179"/>
      <c r="M232" s="180"/>
    </row>
    <row r="233" spans="2:13" ht="15.6" x14ac:dyDescent="0.3">
      <c r="B233" s="200"/>
      <c r="C233" s="200"/>
      <c r="D233" s="200"/>
      <c r="E233" s="200"/>
      <c r="F233" s="200"/>
      <c r="G233" s="200"/>
      <c r="H233" s="185"/>
      <c r="I233" s="186"/>
      <c r="J233" s="185"/>
      <c r="K233" s="185"/>
      <c r="L233" s="179"/>
      <c r="M233" s="180"/>
    </row>
    <row r="234" spans="2:13" x14ac:dyDescent="0.3">
      <c r="B234" s="198"/>
      <c r="C234" s="198"/>
      <c r="D234" s="198"/>
      <c r="E234" s="198"/>
      <c r="F234" s="198"/>
      <c r="G234" s="198"/>
      <c r="H234" s="180"/>
      <c r="I234" s="180"/>
      <c r="J234" s="180"/>
      <c r="K234" s="180"/>
      <c r="L234" s="180"/>
      <c r="M234" s="180"/>
    </row>
    <row r="235" spans="2:13" x14ac:dyDescent="0.3">
      <c r="B235" s="198"/>
      <c r="C235" s="198"/>
      <c r="D235" s="198"/>
      <c r="E235" s="198"/>
      <c r="F235" s="198"/>
      <c r="G235" s="198"/>
      <c r="H235" s="180"/>
      <c r="I235" s="180"/>
      <c r="J235" s="180"/>
      <c r="K235" s="180"/>
      <c r="L235" s="180"/>
      <c r="M235" s="180"/>
    </row>
    <row r="239" spans="2:13" x14ac:dyDescent="0.3">
      <c r="B239" s="202"/>
      <c r="D239" s="202"/>
      <c r="F239" s="203"/>
    </row>
    <row r="240" spans="2:13" x14ac:dyDescent="0.3">
      <c r="B240" s="201"/>
      <c r="C240" s="202"/>
      <c r="D240" s="202"/>
      <c r="E240" s="202"/>
      <c r="F240" s="202"/>
      <c r="G240" s="203"/>
    </row>
    <row r="241" spans="2:7" x14ac:dyDescent="0.3">
      <c r="B241" s="201"/>
      <c r="C241" s="202"/>
      <c r="D241" s="202"/>
      <c r="E241" s="202"/>
      <c r="F241" s="202"/>
      <c r="G241" s="204"/>
    </row>
    <row r="242" spans="2:7" x14ac:dyDescent="0.3">
      <c r="B242" s="201"/>
      <c r="C242" s="202"/>
      <c r="D242" s="202"/>
      <c r="E242" s="202"/>
      <c r="F242" s="202"/>
      <c r="G242" s="204"/>
    </row>
    <row r="243" spans="2:7" x14ac:dyDescent="0.3">
      <c r="B243" s="201"/>
      <c r="C243" s="205"/>
      <c r="D243" s="203"/>
      <c r="E243" s="203"/>
      <c r="F243" s="203"/>
      <c r="G243" s="203"/>
    </row>
    <row r="244" spans="2:7" x14ac:dyDescent="0.3">
      <c r="B244" s="201"/>
      <c r="C244" s="205"/>
      <c r="D244" s="203"/>
      <c r="E244" s="203"/>
      <c r="F244" s="203"/>
      <c r="G244" s="204"/>
    </row>
    <row r="245" spans="2:7" x14ac:dyDescent="0.3">
      <c r="B245" s="201"/>
      <c r="C245" s="202"/>
      <c r="D245" s="202"/>
      <c r="E245" s="202"/>
      <c r="F245" s="202"/>
    </row>
    <row r="246" spans="2:7" x14ac:dyDescent="0.3">
      <c r="B246" s="201"/>
      <c r="C246" s="202"/>
      <c r="D246" s="202"/>
      <c r="E246" s="202"/>
      <c r="F246" s="202"/>
    </row>
    <row r="247" spans="2:7" x14ac:dyDescent="0.3">
      <c r="B247" s="201"/>
      <c r="C247" s="205"/>
      <c r="D247" s="205"/>
      <c r="E247" s="203"/>
      <c r="F247" s="203"/>
    </row>
    <row r="248" spans="2:7" x14ac:dyDescent="0.3">
      <c r="B248" s="201"/>
      <c r="C248" s="202"/>
      <c r="D248" s="202"/>
      <c r="E248" s="202"/>
      <c r="F248" s="202"/>
    </row>
    <row r="251" spans="2:7" x14ac:dyDescent="0.3">
      <c r="B251" s="188"/>
      <c r="C251" s="188"/>
      <c r="D251" s="188"/>
      <c r="E251" s="188"/>
      <c r="F251" s="188"/>
      <c r="G251" s="188"/>
    </row>
    <row r="252" spans="2:7" x14ac:dyDescent="0.3">
      <c r="B252" s="206"/>
      <c r="C252" s="207"/>
      <c r="D252" s="207"/>
      <c r="E252" s="207"/>
      <c r="F252" s="207"/>
      <c r="G252" s="207"/>
    </row>
    <row r="253" spans="2:7" x14ac:dyDescent="0.3">
      <c r="B253" s="208"/>
      <c r="C253" s="208"/>
      <c r="D253" s="208"/>
      <c r="E253" s="208"/>
      <c r="F253" s="208"/>
      <c r="G253" s="209"/>
    </row>
    <row r="254" spans="2:7" x14ac:dyDescent="0.3">
      <c r="B254" s="210"/>
      <c r="C254" s="210"/>
      <c r="D254" s="210"/>
      <c r="E254" s="210"/>
      <c r="F254" s="210"/>
      <c r="G254" s="211"/>
    </row>
    <row r="255" spans="2:7" x14ac:dyDescent="0.3">
      <c r="G255" s="212"/>
    </row>
    <row r="256" spans="2:7" x14ac:dyDescent="0.3">
      <c r="G256" s="212"/>
    </row>
    <row r="257" spans="2:7" x14ac:dyDescent="0.3">
      <c r="G257" s="212"/>
    </row>
    <row r="258" spans="2:7" x14ac:dyDescent="0.3">
      <c r="G258" s="212"/>
    </row>
    <row r="260" spans="2:7" x14ac:dyDescent="0.3">
      <c r="G260" s="212"/>
    </row>
    <row r="261" spans="2:7" x14ac:dyDescent="0.3">
      <c r="B261" s="213"/>
      <c r="C261" s="213"/>
      <c r="D261" s="213"/>
      <c r="E261" s="213"/>
      <c r="F261" s="213"/>
      <c r="G261" s="214"/>
    </row>
    <row r="262" spans="2:7" x14ac:dyDescent="0.3">
      <c r="B262" s="215"/>
      <c r="C262" s="215"/>
      <c r="D262" s="215"/>
      <c r="E262" s="215"/>
      <c r="F262" s="215"/>
      <c r="G262" s="215"/>
    </row>
    <row r="263" spans="2:7" x14ac:dyDescent="0.3">
      <c r="B263" s="189"/>
      <c r="C263" s="189"/>
      <c r="D263" s="189"/>
      <c r="E263" s="189"/>
      <c r="F263" s="189"/>
      <c r="G263" s="189"/>
    </row>
    <row r="267" spans="2:7" x14ac:dyDescent="0.3">
      <c r="B267" s="188"/>
      <c r="C267" s="188"/>
      <c r="D267" s="188"/>
      <c r="E267" s="188"/>
      <c r="F267" s="188"/>
      <c r="G267" s="188"/>
    </row>
    <row r="268" spans="2:7" x14ac:dyDescent="0.3">
      <c r="B268" s="206"/>
      <c r="C268" s="207"/>
      <c r="D268" s="207"/>
      <c r="E268" s="207"/>
      <c r="F268" s="207"/>
      <c r="G268" s="207"/>
    </row>
    <row r="269" spans="2:7" x14ac:dyDescent="0.3">
      <c r="B269" s="208"/>
      <c r="C269" s="208"/>
      <c r="D269" s="208"/>
      <c r="E269" s="208"/>
      <c r="F269" s="208"/>
      <c r="G269" s="209"/>
    </row>
    <row r="270" spans="2:7" x14ac:dyDescent="0.3">
      <c r="B270" s="210"/>
      <c r="C270" s="210"/>
      <c r="D270" s="210"/>
      <c r="E270" s="210"/>
      <c r="F270" s="210"/>
      <c r="G270" s="210"/>
    </row>
    <row r="271" spans="2:7" x14ac:dyDescent="0.3">
      <c r="G271" s="212"/>
    </row>
    <row r="273" spans="2:7" x14ac:dyDescent="0.3">
      <c r="G273" s="212"/>
    </row>
    <row r="274" spans="2:7" x14ac:dyDescent="0.3">
      <c r="G274" s="212"/>
    </row>
    <row r="276" spans="2:7" x14ac:dyDescent="0.3">
      <c r="B276" s="215"/>
      <c r="C276" s="215"/>
      <c r="D276" s="215"/>
      <c r="E276" s="215"/>
      <c r="F276" s="215"/>
      <c r="G276" s="215"/>
    </row>
    <row r="277" spans="2:7" x14ac:dyDescent="0.3">
      <c r="B277" s="213"/>
      <c r="C277" s="213"/>
      <c r="D277" s="213"/>
      <c r="E277" s="213"/>
      <c r="F277" s="213"/>
      <c r="G277" s="214"/>
    </row>
    <row r="278" spans="2:7" x14ac:dyDescent="0.3">
      <c r="B278" s="189"/>
      <c r="C278" s="189"/>
      <c r="D278" s="189"/>
      <c r="E278" s="189"/>
      <c r="F278" s="189"/>
      <c r="G278" s="189"/>
    </row>
    <row r="279" spans="2:7" x14ac:dyDescent="0.3">
      <c r="B279" s="189"/>
      <c r="C279" s="189"/>
      <c r="D279" s="189"/>
      <c r="E279" s="189"/>
      <c r="F279" s="189"/>
      <c r="G279" s="189"/>
    </row>
    <row r="282" spans="2:7" x14ac:dyDescent="0.3">
      <c r="B282" s="216"/>
      <c r="C282" s="216"/>
      <c r="D282" s="216"/>
      <c r="E282" s="216"/>
      <c r="F282" s="216"/>
      <c r="G282" s="216"/>
    </row>
    <row r="283" spans="2:7" x14ac:dyDescent="0.3">
      <c r="B283" s="210"/>
      <c r="C283" s="210"/>
      <c r="D283" s="210"/>
      <c r="E283" s="210"/>
      <c r="F283" s="210"/>
      <c r="G283" s="210"/>
    </row>
  </sheetData>
  <sheetProtection algorithmName="SHA-512" hashValue="qRqZuoTm+twjz2TiFBIe0BmX6UbTkfRvIbudl3BhumzCQ802WfCrvwh6ul3NX7SQrojzAWSNVAUvwZY8Uf6Hxg==" saltValue="qAeGZXdIihxxabpJZlp++g==" spinCount="100000" sheet="1"/>
  <mergeCells count="36">
    <mergeCell ref="B19:L19"/>
    <mergeCell ref="B7:G7"/>
    <mergeCell ref="I7:L7"/>
    <mergeCell ref="E9:G9"/>
    <mergeCell ref="B17:G17"/>
    <mergeCell ref="I17:L17"/>
    <mergeCell ref="B8:D8"/>
    <mergeCell ref="E8:G8"/>
    <mergeCell ref="B10:D10"/>
    <mergeCell ref="E10:G10"/>
    <mergeCell ref="B9:D9"/>
    <mergeCell ref="B12:D12"/>
    <mergeCell ref="E12:G12"/>
    <mergeCell ref="B18:D18"/>
    <mergeCell ref="E18:G18"/>
    <mergeCell ref="I32:L32"/>
    <mergeCell ref="E34:G34"/>
    <mergeCell ref="B24:D24"/>
    <mergeCell ref="E24:G24"/>
    <mergeCell ref="B33:D33"/>
    <mergeCell ref="B34:C34"/>
    <mergeCell ref="H33:H34"/>
    <mergeCell ref="E33:G33"/>
    <mergeCell ref="B26:D26"/>
    <mergeCell ref="E26:G26"/>
    <mergeCell ref="B27:D27"/>
    <mergeCell ref="E27:G27"/>
    <mergeCell ref="E35:G35"/>
    <mergeCell ref="B35:D35"/>
    <mergeCell ref="B32:G32"/>
    <mergeCell ref="B20:D20"/>
    <mergeCell ref="E20:G20"/>
    <mergeCell ref="B21:D21"/>
    <mergeCell ref="E21:G21"/>
    <mergeCell ref="B23:D23"/>
    <mergeCell ref="E23:G23"/>
  </mergeCells>
  <dataValidations count="6">
    <dataValidation type="list" allowBlank="1" showInputMessage="1" showErrorMessage="1" sqref="E20:E21 E23:E24 E26:E27" xr:uid="{C7120861-F56F-43E4-9B19-0B4366641788}">
      <formula1>Organic_Waste</formula1>
    </dataValidation>
    <dataValidation type="list" allowBlank="1" showInputMessage="1" showErrorMessage="1" sqref="E10 E12" xr:uid="{6452E112-215B-46EA-A447-989CBF64F3BC}">
      <formula1>Waste</formula1>
    </dataValidation>
    <dataValidation type="list" allowBlank="1" showInputMessage="1" showErrorMessage="1" sqref="B35" xr:uid="{5EB8F1E6-B305-473D-BF87-DE4255E7729C}">
      <formula1>Wastewater</formula1>
    </dataValidation>
    <dataValidation type="list" allowBlank="1" showInputMessage="1" showErrorMessage="1" sqref="B29:G29" xr:uid="{EAD8EEF6-4D3F-4211-84CF-410864BCEBC3}">
      <formula1>Incineration</formula1>
    </dataValidation>
    <dataValidation type="list" allowBlank="1" showInputMessage="1" showErrorMessage="1" sqref="B28:G28 B20:B21 B23:B24 B26:B27" xr:uid="{E19D177A-C4FB-4B03-A6F1-D2C604BC8734}">
      <formula1>Biological_Treatment</formula1>
    </dataValidation>
    <dataValidation type="list" allowBlank="1" showInputMessage="1" showErrorMessage="1" sqref="B14:G14 B10 B12" xr:uid="{7CD9C2AD-D19F-4DA1-9F08-6AA002BAEC0C}">
      <formula1>Solid_Waste</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BC356-47D6-4365-8676-6A406038C108}">
  <sheetPr codeName="Sheet8"/>
  <dimension ref="A1:X65"/>
  <sheetViews>
    <sheetView zoomScale="90" zoomScaleNormal="90" workbookViewId="0"/>
  </sheetViews>
  <sheetFormatPr defaultColWidth="9" defaultRowHeight="14.4" x14ac:dyDescent="0.3"/>
  <cols>
    <col min="1" max="1" width="15.21875" style="177" customWidth="1"/>
    <col min="2" max="2" width="18.88671875" style="70" customWidth="1"/>
    <col min="3" max="17" width="9" style="70"/>
    <col min="18" max="18" width="14.21875" style="70" bestFit="1" customWidth="1"/>
    <col min="19" max="19" width="13.21875" style="70" bestFit="1" customWidth="1"/>
    <col min="20" max="22" width="9" style="70"/>
    <col min="23" max="23" width="12" style="70" bestFit="1" customWidth="1"/>
    <col min="24" max="16384" width="9" style="70"/>
  </cols>
  <sheetData>
    <row r="1" spans="1:24" ht="21" x14ac:dyDescent="0.3">
      <c r="A1" s="119" t="s">
        <v>427</v>
      </c>
    </row>
    <row r="2" spans="1:24" ht="21" x14ac:dyDescent="0.3">
      <c r="A2" s="119">
        <v>2023</v>
      </c>
    </row>
    <row r="4" spans="1:24" ht="21" x14ac:dyDescent="0.3">
      <c r="B4" s="623" t="s">
        <v>428</v>
      </c>
      <c r="C4" s="262"/>
      <c r="D4" s="227"/>
      <c r="E4" s="227"/>
      <c r="F4" s="227"/>
      <c r="G4" s="227"/>
      <c r="H4" s="227"/>
      <c r="I4" s="227"/>
      <c r="J4" s="227"/>
      <c r="K4" s="228"/>
      <c r="L4" s="228"/>
      <c r="M4" s="228"/>
      <c r="N4" s="228"/>
      <c r="O4" s="228"/>
      <c r="P4" s="228"/>
      <c r="Q4" s="228"/>
      <c r="R4" s="228"/>
    </row>
    <row r="5" spans="1:24" x14ac:dyDescent="0.3">
      <c r="B5" s="229"/>
      <c r="C5" s="229"/>
      <c r="D5" s="229"/>
      <c r="E5" s="229"/>
      <c r="F5" s="229"/>
      <c r="G5" s="229"/>
      <c r="H5" s="229"/>
      <c r="I5" s="229"/>
      <c r="J5" s="229"/>
      <c r="K5" s="230"/>
      <c r="L5" s="230"/>
      <c r="M5" s="230"/>
      <c r="N5" s="230"/>
      <c r="O5" s="230"/>
      <c r="P5" s="230"/>
      <c r="Q5" s="230"/>
      <c r="R5" s="230"/>
    </row>
    <row r="6" spans="1:24" ht="18" x14ac:dyDescent="0.3">
      <c r="B6" s="1453" t="s">
        <v>400</v>
      </c>
      <c r="C6" s="1453"/>
      <c r="D6" s="1453"/>
      <c r="E6" s="1453"/>
      <c r="F6" s="1453"/>
      <c r="G6" s="1453"/>
      <c r="H6" s="1453"/>
      <c r="I6" s="1453"/>
      <c r="J6" s="1453"/>
      <c r="K6" s="1452" t="s">
        <v>429</v>
      </c>
      <c r="L6" s="1452"/>
      <c r="M6" s="1452"/>
      <c r="N6" s="1452"/>
      <c r="O6" s="1452"/>
      <c r="P6" s="1452"/>
      <c r="Q6" s="1452"/>
      <c r="R6" s="1452"/>
    </row>
    <row r="7" spans="1:24" ht="18" x14ac:dyDescent="0.3">
      <c r="B7" s="1453" t="s">
        <v>430</v>
      </c>
      <c r="C7" s="1453"/>
      <c r="D7" s="1453"/>
      <c r="E7" s="1453" t="s">
        <v>431</v>
      </c>
      <c r="F7" s="1453"/>
      <c r="G7" s="1453"/>
      <c r="H7" s="1453" t="s">
        <v>432</v>
      </c>
      <c r="I7" s="1453"/>
      <c r="J7" s="1453"/>
      <c r="K7" s="1040" t="s">
        <v>433</v>
      </c>
      <c r="L7" s="1040" t="s">
        <v>434</v>
      </c>
      <c r="M7" s="1040" t="s">
        <v>435</v>
      </c>
      <c r="N7" s="1040" t="s">
        <v>436</v>
      </c>
      <c r="O7" s="1040" t="s">
        <v>437</v>
      </c>
      <c r="P7" s="1040" t="s">
        <v>438</v>
      </c>
      <c r="Q7" s="1040" t="s">
        <v>439</v>
      </c>
      <c r="R7" s="1040" t="s">
        <v>440</v>
      </c>
    </row>
    <row r="8" spans="1:24" ht="15.6" x14ac:dyDescent="0.3">
      <c r="B8" s="1041" t="s">
        <v>441</v>
      </c>
      <c r="C8" s="1042"/>
      <c r="D8" s="1042"/>
      <c r="E8" s="1042"/>
      <c r="F8" s="1042"/>
      <c r="G8" s="1042"/>
      <c r="H8" s="1457"/>
      <c r="I8" s="1458"/>
      <c r="J8" s="1459"/>
      <c r="K8" s="1043"/>
      <c r="L8" s="1043"/>
      <c r="M8" s="1043"/>
      <c r="N8" s="1043"/>
      <c r="O8" s="1043"/>
      <c r="P8" s="1043"/>
      <c r="Q8" s="1043"/>
      <c r="R8" s="1043"/>
    </row>
    <row r="9" spans="1:24" ht="15.6" x14ac:dyDescent="0.3">
      <c r="B9" s="1443"/>
      <c r="C9" s="1444"/>
      <c r="D9" s="1445"/>
      <c r="E9" s="1437"/>
      <c r="F9" s="1438"/>
      <c r="G9" s="1439"/>
      <c r="H9" s="1440"/>
      <c r="I9" s="1441"/>
      <c r="J9" s="1442"/>
      <c r="K9" s="1044"/>
      <c r="L9" s="1044"/>
      <c r="M9" s="1044"/>
      <c r="N9" s="1044"/>
      <c r="O9" s="1044"/>
      <c r="P9" s="1044"/>
      <c r="Q9" s="1044"/>
      <c r="R9" s="1044"/>
    </row>
    <row r="10" spans="1:24" x14ac:dyDescent="0.3">
      <c r="B10" s="229"/>
      <c r="C10" s="229"/>
      <c r="D10" s="229"/>
      <c r="E10" s="229"/>
      <c r="F10" s="229"/>
      <c r="G10" s="229"/>
      <c r="H10" s="229"/>
      <c r="I10" s="229"/>
      <c r="J10" s="229"/>
      <c r="K10" s="230"/>
      <c r="L10" s="230"/>
      <c r="M10" s="230"/>
      <c r="N10" s="230"/>
      <c r="O10" s="230"/>
      <c r="P10" s="230"/>
      <c r="Q10" s="230"/>
      <c r="R10" s="230"/>
    </row>
    <row r="11" spans="1:24" ht="21" x14ac:dyDescent="0.3">
      <c r="B11" s="623" t="s">
        <v>442</v>
      </c>
      <c r="C11" s="119"/>
      <c r="D11" s="227"/>
      <c r="E11" s="227"/>
      <c r="F11" s="227"/>
      <c r="G11" s="227"/>
      <c r="H11" s="227"/>
      <c r="I11" s="227"/>
      <c r="J11" s="227"/>
      <c r="K11" s="228"/>
      <c r="L11" s="228"/>
      <c r="M11" s="228"/>
      <c r="N11" s="228"/>
      <c r="O11" s="228"/>
      <c r="P11" s="228"/>
      <c r="Q11" s="228"/>
      <c r="R11" s="228"/>
    </row>
    <row r="12" spans="1:24" ht="15.6" x14ac:dyDescent="0.3">
      <c r="B12" s="229"/>
      <c r="C12" s="229"/>
      <c r="D12" s="229"/>
      <c r="E12" s="227"/>
      <c r="F12" s="227"/>
      <c r="G12" s="227"/>
      <c r="H12" s="229"/>
      <c r="I12" s="229"/>
      <c r="J12" s="229"/>
      <c r="K12" s="230"/>
      <c r="L12" s="230"/>
      <c r="M12" s="230"/>
      <c r="N12" s="230"/>
      <c r="O12" s="230"/>
      <c r="P12" s="230"/>
      <c r="Q12" s="230"/>
      <c r="R12" s="230"/>
    </row>
    <row r="13" spans="1:24" ht="18" x14ac:dyDescent="0.3">
      <c r="B13" s="1453" t="s">
        <v>400</v>
      </c>
      <c r="C13" s="1453"/>
      <c r="D13" s="1453"/>
      <c r="E13" s="1453"/>
      <c r="F13" s="1453"/>
      <c r="G13" s="1453"/>
      <c r="H13" s="1453"/>
      <c r="I13" s="1453"/>
      <c r="J13" s="1453"/>
      <c r="K13" s="1452" t="s">
        <v>429</v>
      </c>
      <c r="L13" s="1452"/>
      <c r="M13" s="1452"/>
      <c r="N13" s="1452"/>
      <c r="O13" s="1452"/>
      <c r="P13" s="1452"/>
      <c r="Q13" s="1452"/>
      <c r="R13" s="1452"/>
    </row>
    <row r="14" spans="1:24" ht="18" x14ac:dyDescent="0.3">
      <c r="B14" s="1453" t="s">
        <v>430</v>
      </c>
      <c r="C14" s="1453"/>
      <c r="D14" s="1453"/>
      <c r="E14" s="1453" t="s">
        <v>443</v>
      </c>
      <c r="F14" s="1453"/>
      <c r="G14" s="1453"/>
      <c r="H14" s="1453" t="s">
        <v>432</v>
      </c>
      <c r="I14" s="1453"/>
      <c r="J14" s="1453"/>
      <c r="K14" s="1040" t="s">
        <v>433</v>
      </c>
      <c r="L14" s="1040" t="s">
        <v>434</v>
      </c>
      <c r="M14" s="1040" t="s">
        <v>435</v>
      </c>
      <c r="N14" s="1040" t="s">
        <v>436</v>
      </c>
      <c r="O14" s="1040" t="s">
        <v>437</v>
      </c>
      <c r="P14" s="1040" t="s">
        <v>438</v>
      </c>
      <c r="Q14" s="1040" t="s">
        <v>439</v>
      </c>
      <c r="R14" s="1040" t="s">
        <v>440</v>
      </c>
    </row>
    <row r="15" spans="1:24" ht="15.6" x14ac:dyDescent="0.3">
      <c r="B15" s="1454" t="s">
        <v>444</v>
      </c>
      <c r="C15" s="1455"/>
      <c r="D15" s="1455"/>
      <c r="E15" s="1455"/>
      <c r="F15" s="1455"/>
      <c r="G15" s="1455"/>
      <c r="H15" s="1455"/>
      <c r="I15" s="1455"/>
      <c r="J15" s="1456"/>
      <c r="K15" s="1045"/>
      <c r="L15" s="1045"/>
      <c r="M15" s="1045"/>
      <c r="N15" s="1045"/>
      <c r="O15" s="1045"/>
      <c r="P15" s="1045"/>
      <c r="Q15" s="1045"/>
      <c r="R15" s="1045"/>
    </row>
    <row r="16" spans="1:24" ht="15.6" x14ac:dyDescent="0.3">
      <c r="B16" s="1443" t="s">
        <v>445</v>
      </c>
      <c r="C16" s="1444"/>
      <c r="D16" s="1445"/>
      <c r="E16" s="1437" t="s">
        <v>189</v>
      </c>
      <c r="F16" s="1438"/>
      <c r="G16" s="1439"/>
      <c r="H16" s="1440" t="s">
        <v>446</v>
      </c>
      <c r="I16" s="1441"/>
      <c r="J16" s="1442"/>
      <c r="K16" s="1046" t="s">
        <v>413</v>
      </c>
      <c r="L16" s="1046" t="s">
        <v>413</v>
      </c>
      <c r="M16" s="1046" t="s">
        <v>413</v>
      </c>
      <c r="N16" s="1047">
        <v>0</v>
      </c>
      <c r="O16" s="1047">
        <v>874.95826941598705</v>
      </c>
      <c r="P16" s="1046" t="s">
        <v>413</v>
      </c>
      <c r="Q16" s="1046" t="s">
        <v>413</v>
      </c>
      <c r="R16" s="1048">
        <v>870.27240632103417</v>
      </c>
      <c r="S16" s="121"/>
      <c r="T16" s="540"/>
      <c r="U16" s="667"/>
      <c r="V16" s="483"/>
      <c r="W16" s="117"/>
      <c r="X16" s="483"/>
    </row>
    <row r="17" spans="2:24" ht="15.6" x14ac:dyDescent="0.3">
      <c r="B17" s="1443" t="s">
        <v>445</v>
      </c>
      <c r="C17" s="1444"/>
      <c r="D17" s="1445"/>
      <c r="E17" s="1437" t="s">
        <v>189</v>
      </c>
      <c r="F17" s="1438"/>
      <c r="G17" s="1439"/>
      <c r="H17" s="1440" t="s">
        <v>447</v>
      </c>
      <c r="I17" s="1441"/>
      <c r="J17" s="1442"/>
      <c r="K17" s="1046" t="s">
        <v>413</v>
      </c>
      <c r="L17" s="1046" t="s">
        <v>413</v>
      </c>
      <c r="M17" s="1046" t="s">
        <v>413</v>
      </c>
      <c r="N17" s="1047">
        <v>0</v>
      </c>
      <c r="O17" s="1047">
        <v>0</v>
      </c>
      <c r="P17" s="1046" t="s">
        <v>413</v>
      </c>
      <c r="Q17" s="1047">
        <v>8.8942412725115148</v>
      </c>
      <c r="R17" s="1048">
        <v>8.8466079185639188</v>
      </c>
      <c r="S17" s="121"/>
      <c r="T17" s="540"/>
      <c r="U17" s="667"/>
      <c r="V17" s="483"/>
      <c r="W17" s="117"/>
      <c r="X17" s="483"/>
    </row>
    <row r="18" spans="2:24" ht="15.6" x14ac:dyDescent="0.3">
      <c r="B18" s="1443" t="s">
        <v>448</v>
      </c>
      <c r="C18" s="1444"/>
      <c r="D18" s="1445"/>
      <c r="E18" s="1437" t="s">
        <v>449</v>
      </c>
      <c r="F18" s="1438"/>
      <c r="G18" s="1439"/>
      <c r="H18" s="1440" t="s">
        <v>450</v>
      </c>
      <c r="I18" s="1441"/>
      <c r="J18" s="1442"/>
      <c r="K18" s="1046" t="s">
        <v>413</v>
      </c>
      <c r="L18" s="1046" t="s">
        <v>413</v>
      </c>
      <c r="M18" s="1046" t="s">
        <v>413</v>
      </c>
      <c r="N18" s="1047">
        <v>0</v>
      </c>
      <c r="O18" s="1047">
        <v>79652.570823355301</v>
      </c>
      <c r="P18" s="1046" t="s">
        <v>413</v>
      </c>
      <c r="Q18" s="1046" t="s">
        <v>413</v>
      </c>
      <c r="R18" s="1048">
        <v>79225.989287885706</v>
      </c>
      <c r="S18" s="121"/>
      <c r="T18" s="540"/>
      <c r="U18" s="667"/>
      <c r="V18" s="483"/>
      <c r="W18" s="117"/>
      <c r="X18" s="483"/>
    </row>
    <row r="19" spans="2:24" ht="15.6" x14ac:dyDescent="0.3">
      <c r="B19" s="1443" t="s">
        <v>448</v>
      </c>
      <c r="C19" s="1444"/>
      <c r="D19" s="1445"/>
      <c r="E19" s="1437" t="s">
        <v>449</v>
      </c>
      <c r="F19" s="1438"/>
      <c r="G19" s="1439"/>
      <c r="H19" s="1440" t="s">
        <v>451</v>
      </c>
      <c r="I19" s="1441"/>
      <c r="J19" s="1442"/>
      <c r="K19" s="1046" t="s">
        <v>413</v>
      </c>
      <c r="L19" s="1046" t="s">
        <v>413</v>
      </c>
      <c r="M19" s="1046" t="s">
        <v>413</v>
      </c>
      <c r="N19" s="1047">
        <v>0</v>
      </c>
      <c r="O19" s="1047">
        <v>43244.637622132359</v>
      </c>
      <c r="P19" s="1046" t="s">
        <v>413</v>
      </c>
      <c r="Q19" s="1046" t="s">
        <v>413</v>
      </c>
      <c r="R19" s="1048">
        <v>43013.039775044832</v>
      </c>
      <c r="S19" s="121"/>
      <c r="T19" s="540"/>
      <c r="U19" s="667"/>
      <c r="V19" s="483"/>
      <c r="W19" s="117"/>
      <c r="X19" s="483"/>
    </row>
    <row r="20" spans="2:24" ht="15.6" x14ac:dyDescent="0.3">
      <c r="B20" s="1443" t="s">
        <v>448</v>
      </c>
      <c r="C20" s="1444"/>
      <c r="D20" s="1445"/>
      <c r="E20" s="1437" t="s">
        <v>449</v>
      </c>
      <c r="F20" s="1438"/>
      <c r="G20" s="1439"/>
      <c r="H20" s="1440" t="s">
        <v>452</v>
      </c>
      <c r="I20" s="1441"/>
      <c r="J20" s="1442"/>
      <c r="K20" s="1046" t="s">
        <v>413</v>
      </c>
      <c r="L20" s="1046" t="s">
        <v>413</v>
      </c>
      <c r="M20" s="1046" t="s">
        <v>413</v>
      </c>
      <c r="N20" s="1047">
        <v>0</v>
      </c>
      <c r="O20" s="1047">
        <v>65342.708611612514</v>
      </c>
      <c r="P20" s="1046" t="s">
        <v>413</v>
      </c>
      <c r="Q20" s="1046" t="s">
        <v>413</v>
      </c>
      <c r="R20" s="1048">
        <v>64992.763937094729</v>
      </c>
      <c r="S20" s="121"/>
      <c r="T20" s="540"/>
      <c r="U20" s="667"/>
      <c r="V20" s="483"/>
      <c r="W20" s="117"/>
      <c r="X20" s="483"/>
    </row>
    <row r="21" spans="2:24" ht="15.6" x14ac:dyDescent="0.3">
      <c r="B21" s="1443" t="s">
        <v>448</v>
      </c>
      <c r="C21" s="1444"/>
      <c r="D21" s="1445"/>
      <c r="E21" s="1437" t="s">
        <v>449</v>
      </c>
      <c r="F21" s="1438"/>
      <c r="G21" s="1439"/>
      <c r="H21" s="1440" t="s">
        <v>453</v>
      </c>
      <c r="I21" s="1441"/>
      <c r="J21" s="1442"/>
      <c r="K21" s="1046" t="s">
        <v>413</v>
      </c>
      <c r="L21" s="1046" t="s">
        <v>413</v>
      </c>
      <c r="M21" s="1046" t="s">
        <v>413</v>
      </c>
      <c r="N21" s="1047">
        <v>0</v>
      </c>
      <c r="O21" s="1047">
        <v>6653.2996685719972</v>
      </c>
      <c r="P21" s="1046" t="s">
        <v>413</v>
      </c>
      <c r="Q21" s="1046" t="s">
        <v>413</v>
      </c>
      <c r="R21" s="1048">
        <v>6617.6677390658815</v>
      </c>
      <c r="S21" s="121"/>
      <c r="T21" s="540"/>
      <c r="U21" s="667"/>
      <c r="V21" s="483"/>
      <c r="W21" s="117"/>
      <c r="X21" s="483"/>
    </row>
    <row r="22" spans="2:24" ht="15.6" x14ac:dyDescent="0.3">
      <c r="B22" s="1443" t="s">
        <v>448</v>
      </c>
      <c r="C22" s="1444"/>
      <c r="D22" s="1445"/>
      <c r="E22" s="1437" t="s">
        <v>449</v>
      </c>
      <c r="F22" s="1438"/>
      <c r="G22" s="1439"/>
      <c r="H22" s="1440" t="s">
        <v>454</v>
      </c>
      <c r="I22" s="1441"/>
      <c r="J22" s="1442"/>
      <c r="K22" s="1046" t="s">
        <v>413</v>
      </c>
      <c r="L22" s="1046" t="s">
        <v>413</v>
      </c>
      <c r="M22" s="1046" t="s">
        <v>413</v>
      </c>
      <c r="N22" s="1047">
        <v>0</v>
      </c>
      <c r="O22" s="1047">
        <v>11534.709881351893</v>
      </c>
      <c r="P22" s="1046" t="s">
        <v>413</v>
      </c>
      <c r="Q22" s="1046" t="s">
        <v>413</v>
      </c>
      <c r="R22" s="1048">
        <v>11472.935425091146</v>
      </c>
      <c r="S22" s="121"/>
      <c r="T22" s="540"/>
      <c r="U22" s="667"/>
      <c r="V22" s="483"/>
      <c r="W22" s="117"/>
      <c r="X22" s="483"/>
    </row>
    <row r="23" spans="2:24" ht="15.6" x14ac:dyDescent="0.3">
      <c r="B23" s="1443" t="s">
        <v>448</v>
      </c>
      <c r="C23" s="1444"/>
      <c r="D23" s="1445"/>
      <c r="E23" s="1437" t="s">
        <v>449</v>
      </c>
      <c r="F23" s="1438"/>
      <c r="G23" s="1439"/>
      <c r="H23" s="1440" t="s">
        <v>455</v>
      </c>
      <c r="I23" s="1441"/>
      <c r="J23" s="1442"/>
      <c r="K23" s="1046" t="s">
        <v>413</v>
      </c>
      <c r="L23" s="1046" t="s">
        <v>413</v>
      </c>
      <c r="M23" s="1046" t="s">
        <v>413</v>
      </c>
      <c r="N23" s="1047">
        <v>0</v>
      </c>
      <c r="O23" s="1047">
        <v>30359.107262773938</v>
      </c>
      <c r="P23" s="1046" t="s">
        <v>413</v>
      </c>
      <c r="Q23" s="1046" t="s">
        <v>413</v>
      </c>
      <c r="R23" s="1048">
        <v>30196.51822819826</v>
      </c>
      <c r="S23" s="121"/>
      <c r="T23" s="540"/>
      <c r="U23" s="667"/>
      <c r="V23" s="483"/>
      <c r="W23" s="117"/>
      <c r="X23" s="483"/>
    </row>
    <row r="24" spans="2:24" ht="15.6" x14ac:dyDescent="0.3">
      <c r="B24" s="1443" t="s">
        <v>448</v>
      </c>
      <c r="C24" s="1444"/>
      <c r="D24" s="1445"/>
      <c r="E24" s="1437" t="s">
        <v>449</v>
      </c>
      <c r="F24" s="1438"/>
      <c r="G24" s="1439"/>
      <c r="H24" s="1440" t="s">
        <v>456</v>
      </c>
      <c r="I24" s="1441"/>
      <c r="J24" s="1442"/>
      <c r="K24" s="1046" t="s">
        <v>413</v>
      </c>
      <c r="L24" s="1046" t="s">
        <v>413</v>
      </c>
      <c r="M24" s="1046" t="s">
        <v>413</v>
      </c>
      <c r="N24" s="1047">
        <v>0</v>
      </c>
      <c r="O24" s="1047">
        <v>21241.505748690866</v>
      </c>
      <c r="P24" s="1046" t="s">
        <v>413</v>
      </c>
      <c r="Q24" s="1046" t="s">
        <v>413</v>
      </c>
      <c r="R24" s="1048">
        <v>21127.746279984483</v>
      </c>
      <c r="S24" s="121"/>
      <c r="T24" s="540"/>
      <c r="U24" s="667"/>
      <c r="V24" s="483"/>
      <c r="W24" s="117"/>
      <c r="X24" s="483"/>
    </row>
    <row r="25" spans="2:24" ht="15.6" x14ac:dyDescent="0.3">
      <c r="B25" s="1443" t="s">
        <v>448</v>
      </c>
      <c r="C25" s="1444"/>
      <c r="D25" s="1445"/>
      <c r="E25" s="1437" t="s">
        <v>449</v>
      </c>
      <c r="F25" s="1438"/>
      <c r="G25" s="1439"/>
      <c r="H25" s="1440" t="s">
        <v>457</v>
      </c>
      <c r="I25" s="1441"/>
      <c r="J25" s="1442"/>
      <c r="K25" s="1046" t="s">
        <v>413</v>
      </c>
      <c r="L25" s="1046" t="s">
        <v>413</v>
      </c>
      <c r="M25" s="1046" t="s">
        <v>413</v>
      </c>
      <c r="N25" s="1047">
        <v>0</v>
      </c>
      <c r="O25" s="1047">
        <v>23125.525368144175</v>
      </c>
      <c r="P25" s="1046" t="s">
        <v>413</v>
      </c>
      <c r="Q25" s="1046" t="s">
        <v>413</v>
      </c>
      <c r="R25" s="1048">
        <v>23001.675980508444</v>
      </c>
      <c r="S25" s="121"/>
      <c r="T25" s="540"/>
      <c r="U25" s="667"/>
      <c r="V25" s="483"/>
      <c r="W25" s="117"/>
      <c r="X25" s="483"/>
    </row>
    <row r="26" spans="2:24" ht="15.6" x14ac:dyDescent="0.3">
      <c r="B26" s="1443" t="s">
        <v>448</v>
      </c>
      <c r="C26" s="1444"/>
      <c r="D26" s="1445"/>
      <c r="E26" s="1437" t="s">
        <v>449</v>
      </c>
      <c r="F26" s="1438"/>
      <c r="G26" s="1439"/>
      <c r="H26" s="1440" t="s">
        <v>458</v>
      </c>
      <c r="I26" s="1441"/>
      <c r="J26" s="1442"/>
      <c r="K26" s="1046" t="s">
        <v>413</v>
      </c>
      <c r="L26" s="1046" t="s">
        <v>413</v>
      </c>
      <c r="M26" s="1046" t="s">
        <v>413</v>
      </c>
      <c r="N26" s="1047">
        <v>0</v>
      </c>
      <c r="O26" s="1047">
        <v>0</v>
      </c>
      <c r="P26" s="1046" t="s">
        <v>413</v>
      </c>
      <c r="Q26" s="1046" t="s">
        <v>413</v>
      </c>
      <c r="R26" s="1048">
        <v>0</v>
      </c>
      <c r="S26" s="121"/>
      <c r="T26" s="540"/>
      <c r="U26" s="667"/>
      <c r="V26" s="483"/>
      <c r="W26" s="117"/>
      <c r="X26" s="483"/>
    </row>
    <row r="27" spans="2:24" ht="15.6" x14ac:dyDescent="0.3">
      <c r="B27" s="1443" t="s">
        <v>448</v>
      </c>
      <c r="C27" s="1444"/>
      <c r="D27" s="1445"/>
      <c r="E27" s="1437" t="s">
        <v>449</v>
      </c>
      <c r="F27" s="1438"/>
      <c r="G27" s="1439"/>
      <c r="H27" s="1440" t="s">
        <v>459</v>
      </c>
      <c r="I27" s="1441"/>
      <c r="J27" s="1442"/>
      <c r="K27" s="1046" t="s">
        <v>413</v>
      </c>
      <c r="L27" s="1046" t="s">
        <v>413</v>
      </c>
      <c r="M27" s="1046" t="s">
        <v>413</v>
      </c>
      <c r="N27" s="1047">
        <v>0</v>
      </c>
      <c r="O27" s="1047">
        <v>23753.865485576469</v>
      </c>
      <c r="P27" s="1046" t="s">
        <v>413</v>
      </c>
      <c r="Q27" s="1046" t="s">
        <v>413</v>
      </c>
      <c r="R27" s="1048">
        <v>23626.651005146865</v>
      </c>
      <c r="S27" s="121"/>
      <c r="T27" s="540"/>
      <c r="U27" s="667"/>
      <c r="V27" s="483"/>
      <c r="W27" s="117"/>
      <c r="X27" s="483"/>
    </row>
    <row r="28" spans="2:24" ht="15.6" x14ac:dyDescent="0.3">
      <c r="B28" s="1443" t="s">
        <v>448</v>
      </c>
      <c r="C28" s="1444"/>
      <c r="D28" s="1445"/>
      <c r="E28" s="1437" t="s">
        <v>449</v>
      </c>
      <c r="F28" s="1438"/>
      <c r="G28" s="1439"/>
      <c r="H28" s="1440" t="s">
        <v>460</v>
      </c>
      <c r="I28" s="1441"/>
      <c r="J28" s="1442"/>
      <c r="K28" s="1046" t="s">
        <v>413</v>
      </c>
      <c r="L28" s="1046" t="s">
        <v>413</v>
      </c>
      <c r="M28" s="1046" t="s">
        <v>413</v>
      </c>
      <c r="N28" s="1047">
        <v>0</v>
      </c>
      <c r="O28" s="1047">
        <v>7682.4851403349221</v>
      </c>
      <c r="P28" s="1046" t="s">
        <v>413</v>
      </c>
      <c r="Q28" s="1046" t="s">
        <v>413</v>
      </c>
      <c r="R28" s="1048">
        <v>7641.3413797066014</v>
      </c>
      <c r="S28" s="121"/>
      <c r="T28" s="540"/>
      <c r="U28" s="667"/>
      <c r="V28" s="483"/>
      <c r="W28" s="117"/>
      <c r="X28" s="483"/>
    </row>
    <row r="29" spans="2:24" ht="15.6" x14ac:dyDescent="0.3">
      <c r="B29" s="1443" t="s">
        <v>448</v>
      </c>
      <c r="C29" s="1444"/>
      <c r="D29" s="1445"/>
      <c r="E29" s="1437" t="s">
        <v>449</v>
      </c>
      <c r="F29" s="1438"/>
      <c r="G29" s="1439"/>
      <c r="H29" s="1440" t="s">
        <v>461</v>
      </c>
      <c r="I29" s="1441"/>
      <c r="J29" s="1442"/>
      <c r="K29" s="1046" t="s">
        <v>413</v>
      </c>
      <c r="L29" s="1046" t="s">
        <v>413</v>
      </c>
      <c r="M29" s="1046" t="s">
        <v>413</v>
      </c>
      <c r="N29" s="1047">
        <v>0</v>
      </c>
      <c r="O29" s="1047">
        <v>22582.550384843395</v>
      </c>
      <c r="P29" s="1046" t="s">
        <v>413</v>
      </c>
      <c r="Q29" s="1046" t="s">
        <v>413</v>
      </c>
      <c r="R29" s="1048">
        <v>22461.608914676042</v>
      </c>
      <c r="S29" s="121"/>
      <c r="T29" s="540"/>
      <c r="U29" s="667"/>
      <c r="V29" s="483"/>
      <c r="W29" s="117"/>
      <c r="X29" s="483"/>
    </row>
    <row r="30" spans="2:24" ht="15.6" x14ac:dyDescent="0.3">
      <c r="B30" s="1443" t="s">
        <v>448</v>
      </c>
      <c r="C30" s="1444"/>
      <c r="D30" s="1445"/>
      <c r="E30" s="1437" t="s">
        <v>449</v>
      </c>
      <c r="F30" s="1438"/>
      <c r="G30" s="1439"/>
      <c r="H30" s="1440" t="s">
        <v>462</v>
      </c>
      <c r="I30" s="1441"/>
      <c r="J30" s="1442"/>
      <c r="K30" s="1046" t="s">
        <v>413</v>
      </c>
      <c r="L30" s="1046" t="s">
        <v>413</v>
      </c>
      <c r="M30" s="1046" t="s">
        <v>413</v>
      </c>
      <c r="N30" s="1047">
        <v>0</v>
      </c>
      <c r="O30" s="1047">
        <v>412.0839288488358</v>
      </c>
      <c r="P30" s="1046" t="s">
        <v>413</v>
      </c>
      <c r="Q30" s="1046" t="s">
        <v>413</v>
      </c>
      <c r="R30" s="1048">
        <v>409.87700202533728</v>
      </c>
      <c r="S30" s="121"/>
      <c r="T30" s="540"/>
      <c r="U30" s="667"/>
      <c r="V30" s="483"/>
      <c r="W30" s="117"/>
      <c r="X30" s="483"/>
    </row>
    <row r="31" spans="2:24" ht="15.6" x14ac:dyDescent="0.3">
      <c r="B31" s="1443" t="s">
        <v>448</v>
      </c>
      <c r="C31" s="1444"/>
      <c r="D31" s="1445"/>
      <c r="E31" s="1437" t="s">
        <v>449</v>
      </c>
      <c r="F31" s="1438"/>
      <c r="G31" s="1439"/>
      <c r="H31" s="1440" t="s">
        <v>463</v>
      </c>
      <c r="I31" s="1441"/>
      <c r="J31" s="1442"/>
      <c r="K31" s="1046" t="s">
        <v>413</v>
      </c>
      <c r="L31" s="1046" t="s">
        <v>413</v>
      </c>
      <c r="M31" s="1046" t="s">
        <v>413</v>
      </c>
      <c r="N31" s="1047">
        <v>0</v>
      </c>
      <c r="O31" s="1047">
        <v>6748.9329420978465</v>
      </c>
      <c r="P31" s="1046" t="s">
        <v>413</v>
      </c>
      <c r="Q31" s="1046" t="s">
        <v>413</v>
      </c>
      <c r="R31" s="1048">
        <v>6712.7888459630694</v>
      </c>
      <c r="S31" s="121"/>
      <c r="T31" s="540"/>
      <c r="U31" s="667"/>
      <c r="V31" s="483"/>
      <c r="W31" s="117"/>
      <c r="X31" s="483"/>
    </row>
    <row r="32" spans="2:24" ht="15.6" x14ac:dyDescent="0.3">
      <c r="B32" s="1443" t="s">
        <v>448</v>
      </c>
      <c r="C32" s="1444"/>
      <c r="D32" s="1445"/>
      <c r="E32" s="1437" t="s">
        <v>449</v>
      </c>
      <c r="F32" s="1438"/>
      <c r="G32" s="1439"/>
      <c r="H32" s="1440" t="s">
        <v>464</v>
      </c>
      <c r="I32" s="1441"/>
      <c r="J32" s="1442"/>
      <c r="K32" s="1046" t="s">
        <v>413</v>
      </c>
      <c r="L32" s="1046" t="s">
        <v>413</v>
      </c>
      <c r="M32" s="1046" t="s">
        <v>413</v>
      </c>
      <c r="N32" s="1047">
        <v>0</v>
      </c>
      <c r="O32" s="1047">
        <v>158264.41230406254</v>
      </c>
      <c r="P32" s="1046" t="s">
        <v>413</v>
      </c>
      <c r="Q32" s="1046" t="s">
        <v>413</v>
      </c>
      <c r="R32" s="1048">
        <v>157416.82288776382</v>
      </c>
      <c r="S32" s="121"/>
      <c r="T32" s="540"/>
      <c r="U32" s="667"/>
      <c r="V32" s="483"/>
      <c r="W32" s="117"/>
      <c r="X32" s="483"/>
    </row>
    <row r="33" spans="2:24" ht="15.6" x14ac:dyDescent="0.3">
      <c r="B33" s="1443" t="s">
        <v>448</v>
      </c>
      <c r="C33" s="1444"/>
      <c r="D33" s="1445"/>
      <c r="E33" s="1437" t="s">
        <v>449</v>
      </c>
      <c r="F33" s="1438"/>
      <c r="G33" s="1439"/>
      <c r="H33" s="1440" t="s">
        <v>465</v>
      </c>
      <c r="I33" s="1441"/>
      <c r="J33" s="1442"/>
      <c r="K33" s="1046" t="s">
        <v>413</v>
      </c>
      <c r="L33" s="1046" t="s">
        <v>413</v>
      </c>
      <c r="M33" s="1046" t="s">
        <v>413</v>
      </c>
      <c r="N33" s="1047">
        <v>0</v>
      </c>
      <c r="O33" s="1047">
        <v>1462.4625782864321</v>
      </c>
      <c r="P33" s="1046" t="s">
        <v>413</v>
      </c>
      <c r="Q33" s="1046" t="s">
        <v>413</v>
      </c>
      <c r="R33" s="1048">
        <v>1454.6303196943552</v>
      </c>
      <c r="S33" s="121"/>
      <c r="T33" s="540"/>
      <c r="U33" s="667"/>
      <c r="V33" s="483"/>
      <c r="W33" s="117"/>
      <c r="X33" s="483"/>
    </row>
    <row r="34" spans="2:24" ht="15.6" x14ac:dyDescent="0.3">
      <c r="B34" s="1443" t="s">
        <v>448</v>
      </c>
      <c r="C34" s="1444"/>
      <c r="D34" s="1445"/>
      <c r="E34" s="1437" t="s">
        <v>449</v>
      </c>
      <c r="F34" s="1438"/>
      <c r="G34" s="1439"/>
      <c r="H34" s="1440" t="s">
        <v>466</v>
      </c>
      <c r="I34" s="1441"/>
      <c r="J34" s="1442"/>
      <c r="K34" s="1046" t="s">
        <v>413</v>
      </c>
      <c r="L34" s="1046" t="s">
        <v>413</v>
      </c>
      <c r="M34" s="1046" t="s">
        <v>413</v>
      </c>
      <c r="N34" s="1047">
        <v>0</v>
      </c>
      <c r="O34" s="1047">
        <v>204579.47524406295</v>
      </c>
      <c r="P34" s="1046" t="s">
        <v>413</v>
      </c>
      <c r="Q34" s="1046" t="s">
        <v>413</v>
      </c>
      <c r="R34" s="1048">
        <v>203483.84423337385</v>
      </c>
      <c r="S34" s="121"/>
      <c r="T34" s="540"/>
      <c r="U34" s="667"/>
      <c r="V34" s="483"/>
      <c r="W34" s="117"/>
      <c r="X34" s="483"/>
    </row>
    <row r="35" spans="2:24" ht="15.6" x14ac:dyDescent="0.3">
      <c r="B35" s="1443" t="s">
        <v>448</v>
      </c>
      <c r="C35" s="1444"/>
      <c r="D35" s="1445"/>
      <c r="E35" s="1437" t="s">
        <v>449</v>
      </c>
      <c r="F35" s="1438"/>
      <c r="G35" s="1439"/>
      <c r="H35" s="1440" t="s">
        <v>467</v>
      </c>
      <c r="I35" s="1441"/>
      <c r="J35" s="1442"/>
      <c r="K35" s="1046" t="s">
        <v>413</v>
      </c>
      <c r="L35" s="1046" t="s">
        <v>413</v>
      </c>
      <c r="M35" s="1046" t="s">
        <v>413</v>
      </c>
      <c r="N35" s="1047">
        <v>0</v>
      </c>
      <c r="O35" s="1047">
        <v>30990.725244111152</v>
      </c>
      <c r="P35" s="1046" t="s">
        <v>413</v>
      </c>
      <c r="Q35" s="1046" t="s">
        <v>413</v>
      </c>
      <c r="R35" s="1048">
        <v>30824.753562051232</v>
      </c>
      <c r="S35" s="121"/>
      <c r="T35" s="540"/>
      <c r="U35" s="667"/>
      <c r="V35" s="483"/>
      <c r="W35" s="117"/>
      <c r="X35" s="483"/>
    </row>
    <row r="36" spans="2:24" ht="15.6" x14ac:dyDescent="0.3">
      <c r="B36" s="1443" t="s">
        <v>448</v>
      </c>
      <c r="C36" s="1444"/>
      <c r="D36" s="1445"/>
      <c r="E36" s="1437" t="s">
        <v>449</v>
      </c>
      <c r="F36" s="1438"/>
      <c r="G36" s="1439"/>
      <c r="H36" s="1440" t="s">
        <v>468</v>
      </c>
      <c r="I36" s="1441"/>
      <c r="J36" s="1442"/>
      <c r="K36" s="1046" t="s">
        <v>413</v>
      </c>
      <c r="L36" s="1046" t="s">
        <v>413</v>
      </c>
      <c r="M36" s="1046" t="s">
        <v>413</v>
      </c>
      <c r="N36" s="1047">
        <v>0</v>
      </c>
      <c r="O36" s="1047">
        <v>43337.918197980536</v>
      </c>
      <c r="P36" s="1046" t="s">
        <v>413</v>
      </c>
      <c r="Q36" s="1046" t="s">
        <v>413</v>
      </c>
      <c r="R36" s="1048">
        <v>43105.820784201525</v>
      </c>
      <c r="S36" s="121"/>
      <c r="T36" s="540"/>
      <c r="U36" s="667"/>
      <c r="V36" s="483"/>
      <c r="W36" s="117"/>
      <c r="X36" s="483"/>
    </row>
    <row r="37" spans="2:24" ht="15.6" x14ac:dyDescent="0.3">
      <c r="B37" s="1443" t="s">
        <v>448</v>
      </c>
      <c r="C37" s="1444"/>
      <c r="D37" s="1445"/>
      <c r="E37" s="1437" t="s">
        <v>184</v>
      </c>
      <c r="F37" s="1438"/>
      <c r="G37" s="1439"/>
      <c r="H37" s="1440" t="s">
        <v>469</v>
      </c>
      <c r="I37" s="1441"/>
      <c r="J37" s="1442"/>
      <c r="K37" s="1046" t="s">
        <v>413</v>
      </c>
      <c r="L37" s="1046" t="s">
        <v>413</v>
      </c>
      <c r="M37" s="1046" t="s">
        <v>413</v>
      </c>
      <c r="N37" s="1047">
        <v>0</v>
      </c>
      <c r="O37" s="1047">
        <v>14571.994485011055</v>
      </c>
      <c r="P37" s="1046" t="s">
        <v>413</v>
      </c>
      <c r="Q37" s="1046" t="s">
        <v>413</v>
      </c>
      <c r="R37" s="1048">
        <v>14493.953767454606</v>
      </c>
      <c r="S37" s="121"/>
      <c r="T37" s="540"/>
      <c r="U37" s="667"/>
      <c r="V37" s="483"/>
      <c r="W37" s="117"/>
      <c r="X37" s="483"/>
    </row>
    <row r="38" spans="2:24" ht="15.6" x14ac:dyDescent="0.3">
      <c r="B38" s="1443" t="s">
        <v>448</v>
      </c>
      <c r="C38" s="1444"/>
      <c r="D38" s="1445"/>
      <c r="E38" s="1437" t="s">
        <v>184</v>
      </c>
      <c r="F38" s="1438"/>
      <c r="G38" s="1439"/>
      <c r="H38" s="1440" t="s">
        <v>470</v>
      </c>
      <c r="I38" s="1441"/>
      <c r="J38" s="1442"/>
      <c r="K38" s="1046" t="s">
        <v>413</v>
      </c>
      <c r="L38" s="1046" t="s">
        <v>413</v>
      </c>
      <c r="M38" s="1046" t="s">
        <v>413</v>
      </c>
      <c r="N38" s="1047">
        <v>0</v>
      </c>
      <c r="O38" s="1047">
        <v>1895.3783036447842</v>
      </c>
      <c r="P38" s="1046" t="s">
        <v>413</v>
      </c>
      <c r="Q38" s="1046" t="s">
        <v>413</v>
      </c>
      <c r="R38" s="1048">
        <v>1885.2275529696099</v>
      </c>
      <c r="S38" s="121"/>
      <c r="T38" s="540"/>
      <c r="U38" s="667"/>
      <c r="V38" s="483"/>
      <c r="W38" s="117"/>
      <c r="X38" s="483"/>
    </row>
    <row r="39" spans="2:24" ht="15.6" x14ac:dyDescent="0.3">
      <c r="B39" s="1443" t="s">
        <v>448</v>
      </c>
      <c r="C39" s="1444"/>
      <c r="D39" s="1445"/>
      <c r="E39" s="1437" t="s">
        <v>184</v>
      </c>
      <c r="F39" s="1438"/>
      <c r="G39" s="1439"/>
      <c r="H39" s="1440" t="s">
        <v>471</v>
      </c>
      <c r="I39" s="1441"/>
      <c r="J39" s="1442"/>
      <c r="K39" s="1046" t="s">
        <v>413</v>
      </c>
      <c r="L39" s="1046" t="s">
        <v>413</v>
      </c>
      <c r="M39" s="1046" t="s">
        <v>413</v>
      </c>
      <c r="N39" s="1047">
        <v>0</v>
      </c>
      <c r="O39" s="1047">
        <v>5534.2386504228516</v>
      </c>
      <c r="P39" s="1046" t="s">
        <v>413</v>
      </c>
      <c r="Q39" s="1046" t="s">
        <v>413</v>
      </c>
      <c r="R39" s="1048">
        <v>5504.5998830014196</v>
      </c>
      <c r="S39" s="121"/>
      <c r="T39" s="540"/>
      <c r="U39" s="667"/>
      <c r="V39" s="483"/>
      <c r="W39" s="117"/>
      <c r="X39" s="483"/>
    </row>
    <row r="40" spans="2:24" ht="15.6" x14ac:dyDescent="0.3">
      <c r="B40" s="1443" t="s">
        <v>448</v>
      </c>
      <c r="C40" s="1444"/>
      <c r="D40" s="1445"/>
      <c r="E40" s="1437" t="s">
        <v>184</v>
      </c>
      <c r="F40" s="1438"/>
      <c r="G40" s="1439"/>
      <c r="H40" s="1449" t="s">
        <v>472</v>
      </c>
      <c r="I40" s="1450"/>
      <c r="J40" s="1451"/>
      <c r="K40" s="1046" t="s">
        <v>413</v>
      </c>
      <c r="L40" s="1046" t="s">
        <v>413</v>
      </c>
      <c r="M40" s="1046" t="s">
        <v>413</v>
      </c>
      <c r="N40" s="1046" t="s">
        <v>413</v>
      </c>
      <c r="O40" s="1047">
        <v>8251.6154088931034</v>
      </c>
      <c r="P40" s="1046" t="s">
        <v>413</v>
      </c>
      <c r="Q40" s="1046" t="s">
        <v>413</v>
      </c>
      <c r="R40" s="1048">
        <v>8207.423655446295</v>
      </c>
      <c r="S40" s="121"/>
      <c r="T40" s="540"/>
      <c r="U40" s="667"/>
      <c r="V40" s="483"/>
      <c r="W40" s="117"/>
      <c r="X40" s="483"/>
    </row>
    <row r="41" spans="2:24" ht="15.6" x14ac:dyDescent="0.3">
      <c r="B41" s="1443" t="s">
        <v>448</v>
      </c>
      <c r="C41" s="1444"/>
      <c r="D41" s="1445"/>
      <c r="E41" s="1437" t="s">
        <v>184</v>
      </c>
      <c r="F41" s="1438"/>
      <c r="G41" s="1439"/>
      <c r="H41" s="1449" t="s">
        <v>473</v>
      </c>
      <c r="I41" s="1450"/>
      <c r="J41" s="1451"/>
      <c r="K41" s="1046" t="s">
        <v>413</v>
      </c>
      <c r="L41" s="1046" t="s">
        <v>413</v>
      </c>
      <c r="M41" s="1046" t="s">
        <v>413</v>
      </c>
      <c r="N41" s="1046" t="s">
        <v>413</v>
      </c>
      <c r="O41" s="1047">
        <v>8991.9283168601269</v>
      </c>
      <c r="P41" s="1046" t="s">
        <v>413</v>
      </c>
      <c r="Q41" s="1046" t="s">
        <v>413</v>
      </c>
      <c r="R41" s="1048">
        <v>8943.7717972576993</v>
      </c>
      <c r="S41" s="121"/>
      <c r="T41" s="540"/>
      <c r="U41" s="667"/>
      <c r="V41" s="483"/>
      <c r="W41" s="117"/>
      <c r="X41" s="483"/>
    </row>
    <row r="42" spans="2:24" ht="15.6" x14ac:dyDescent="0.3">
      <c r="B42" s="1443" t="s">
        <v>474</v>
      </c>
      <c r="C42" s="1444"/>
      <c r="D42" s="1445"/>
      <c r="E42" s="1437" t="s">
        <v>185</v>
      </c>
      <c r="F42" s="1438"/>
      <c r="G42" s="1439"/>
      <c r="H42" s="1449" t="s">
        <v>475</v>
      </c>
      <c r="I42" s="1450"/>
      <c r="J42" s="1451"/>
      <c r="K42" s="1046" t="s">
        <v>413</v>
      </c>
      <c r="L42" s="1046" t="s">
        <v>413</v>
      </c>
      <c r="M42" s="1046" t="s">
        <v>413</v>
      </c>
      <c r="N42" s="1047">
        <v>0</v>
      </c>
      <c r="O42" s="1047">
        <v>0</v>
      </c>
      <c r="P42" s="1047">
        <v>0</v>
      </c>
      <c r="Q42" s="1046" t="s">
        <v>413</v>
      </c>
      <c r="R42" s="1048">
        <v>0</v>
      </c>
      <c r="S42" s="121"/>
      <c r="T42" s="540"/>
      <c r="U42" s="667"/>
      <c r="V42" s="483"/>
      <c r="W42" s="117"/>
      <c r="X42" s="483"/>
    </row>
    <row r="43" spans="2:24" ht="15.6" x14ac:dyDescent="0.3">
      <c r="B43" s="1437" t="s">
        <v>448</v>
      </c>
      <c r="C43" s="1438"/>
      <c r="D43" s="1439"/>
      <c r="E43" s="1437" t="s">
        <v>186</v>
      </c>
      <c r="F43" s="1438"/>
      <c r="G43" s="1439"/>
      <c r="H43" s="1449" t="s">
        <v>476</v>
      </c>
      <c r="I43" s="1450"/>
      <c r="J43" s="1451"/>
      <c r="K43" s="1046" t="s">
        <v>413</v>
      </c>
      <c r="L43" s="1046" t="s">
        <v>413</v>
      </c>
      <c r="M43" s="1046" t="s">
        <v>413</v>
      </c>
      <c r="N43" s="1047">
        <v>0</v>
      </c>
      <c r="O43" s="1047">
        <v>17528.003039511197</v>
      </c>
      <c r="P43" s="1046" t="s">
        <v>413</v>
      </c>
      <c r="Q43" s="1046" t="s">
        <v>413</v>
      </c>
      <c r="R43" s="1048">
        <v>17434.131336777427</v>
      </c>
      <c r="S43" s="121"/>
      <c r="T43" s="540"/>
      <c r="U43" s="667"/>
      <c r="V43" s="483"/>
      <c r="W43" s="117"/>
      <c r="X43" s="483"/>
    </row>
    <row r="44" spans="2:24" ht="15.6" x14ac:dyDescent="0.3">
      <c r="B44" s="1437" t="s">
        <v>448</v>
      </c>
      <c r="C44" s="1438"/>
      <c r="D44" s="1439"/>
      <c r="E44" s="1437" t="s">
        <v>183</v>
      </c>
      <c r="F44" s="1438"/>
      <c r="G44" s="1439"/>
      <c r="H44" s="1449" t="s">
        <v>477</v>
      </c>
      <c r="I44" s="1450"/>
      <c r="J44" s="1451"/>
      <c r="K44" s="1046" t="s">
        <v>413</v>
      </c>
      <c r="L44" s="1046" t="s">
        <v>413</v>
      </c>
      <c r="M44" s="1046" t="s">
        <v>413</v>
      </c>
      <c r="N44" s="1047">
        <v>0</v>
      </c>
      <c r="O44" s="1047">
        <v>103548.72881426691</v>
      </c>
      <c r="P44" s="1046" t="s">
        <v>413</v>
      </c>
      <c r="Q44" s="1046" t="s">
        <v>413</v>
      </c>
      <c r="R44" s="1048">
        <v>102994.17074693881</v>
      </c>
      <c r="S44" s="121"/>
      <c r="T44" s="540"/>
      <c r="U44" s="667"/>
      <c r="V44" s="483"/>
      <c r="W44" s="117"/>
      <c r="X44" s="483"/>
    </row>
    <row r="45" spans="2:24" ht="15.6" x14ac:dyDescent="0.3">
      <c r="B45" s="1437" t="s">
        <v>448</v>
      </c>
      <c r="C45" s="1438"/>
      <c r="D45" s="1439"/>
      <c r="E45" s="1437" t="s">
        <v>183</v>
      </c>
      <c r="F45" s="1438"/>
      <c r="G45" s="1439"/>
      <c r="H45" s="1449" t="s">
        <v>478</v>
      </c>
      <c r="I45" s="1450"/>
      <c r="J45" s="1451"/>
      <c r="K45" s="1046" t="s">
        <v>413</v>
      </c>
      <c r="L45" s="1046" t="s">
        <v>413</v>
      </c>
      <c r="M45" s="1046" t="s">
        <v>413</v>
      </c>
      <c r="N45" s="1047">
        <v>0</v>
      </c>
      <c r="O45" s="1047">
        <v>20270.616269988157</v>
      </c>
      <c r="P45" s="1046" t="s">
        <v>413</v>
      </c>
      <c r="Q45" s="1046" t="s">
        <v>413</v>
      </c>
      <c r="R45" s="1048">
        <v>20162.056426608549</v>
      </c>
      <c r="S45" s="121"/>
      <c r="T45" s="540"/>
      <c r="U45" s="667"/>
      <c r="V45" s="483"/>
      <c r="W45" s="117"/>
      <c r="X45" s="483"/>
    </row>
    <row r="46" spans="2:24" ht="15.6" x14ac:dyDescent="0.3">
      <c r="B46" s="1437" t="s">
        <v>448</v>
      </c>
      <c r="C46" s="1438"/>
      <c r="D46" s="1439"/>
      <c r="E46" s="1437" t="s">
        <v>183</v>
      </c>
      <c r="F46" s="1438"/>
      <c r="G46" s="1439"/>
      <c r="H46" s="1449" t="s">
        <v>479</v>
      </c>
      <c r="I46" s="1450"/>
      <c r="J46" s="1451"/>
      <c r="K46" s="1046" t="s">
        <v>413</v>
      </c>
      <c r="L46" s="1046" t="s">
        <v>413</v>
      </c>
      <c r="M46" s="1046" t="s">
        <v>413</v>
      </c>
      <c r="N46" s="1047">
        <v>0</v>
      </c>
      <c r="O46" s="1047">
        <v>0</v>
      </c>
      <c r="P46" s="1046" t="s">
        <v>413</v>
      </c>
      <c r="Q46" s="1046" t="s">
        <v>413</v>
      </c>
      <c r="R46" s="1048">
        <v>0</v>
      </c>
      <c r="S46" s="121"/>
      <c r="T46" s="540"/>
      <c r="U46" s="667"/>
      <c r="V46" s="483"/>
      <c r="W46" s="117"/>
      <c r="X46" s="483"/>
    </row>
    <row r="47" spans="2:24" ht="15.6" x14ac:dyDescent="0.3">
      <c r="B47" s="1437" t="s">
        <v>448</v>
      </c>
      <c r="C47" s="1438"/>
      <c r="D47" s="1439"/>
      <c r="E47" s="1437" t="s">
        <v>183</v>
      </c>
      <c r="F47" s="1438"/>
      <c r="G47" s="1439"/>
      <c r="H47" s="1449" t="s">
        <v>480</v>
      </c>
      <c r="I47" s="1450"/>
      <c r="J47" s="1451"/>
      <c r="K47" s="1046" t="s">
        <v>413</v>
      </c>
      <c r="L47" s="1046" t="s">
        <v>413</v>
      </c>
      <c r="M47" s="1046" t="s">
        <v>413</v>
      </c>
      <c r="N47" s="1047">
        <v>0</v>
      </c>
      <c r="O47" s="1047">
        <v>1878.7244830189381</v>
      </c>
      <c r="P47" s="1046" t="s">
        <v>413</v>
      </c>
      <c r="Q47" s="1046" t="s">
        <v>413</v>
      </c>
      <c r="R47" s="1048">
        <v>1868.6629223385194</v>
      </c>
      <c r="S47" s="121"/>
      <c r="T47" s="540"/>
      <c r="U47" s="667"/>
      <c r="V47" s="483"/>
      <c r="W47" s="117"/>
      <c r="X47" s="483"/>
    </row>
    <row r="48" spans="2:24" ht="15.6" x14ac:dyDescent="0.3">
      <c r="B48" s="1437" t="s">
        <v>448</v>
      </c>
      <c r="C48" s="1438"/>
      <c r="D48" s="1439"/>
      <c r="E48" s="1437" t="s">
        <v>190</v>
      </c>
      <c r="F48" s="1438"/>
      <c r="G48" s="1439"/>
      <c r="H48" s="1449" t="s">
        <v>481</v>
      </c>
      <c r="I48" s="1450"/>
      <c r="J48" s="1451"/>
      <c r="K48" s="1046" t="s">
        <v>413</v>
      </c>
      <c r="L48" s="1046" t="s">
        <v>413</v>
      </c>
      <c r="M48" s="1046" t="s">
        <v>413</v>
      </c>
      <c r="N48" s="1046" t="s">
        <v>413</v>
      </c>
      <c r="O48" s="1047">
        <v>1641.1579550884644</v>
      </c>
      <c r="P48" s="1046" t="s">
        <v>413</v>
      </c>
      <c r="Q48" s="1046" t="s">
        <v>413</v>
      </c>
      <c r="R48" s="1048">
        <v>1632.3686884873607</v>
      </c>
      <c r="S48" s="121"/>
      <c r="T48" s="540"/>
      <c r="U48" s="667"/>
      <c r="V48" s="483"/>
      <c r="W48" s="117"/>
      <c r="X48" s="483"/>
    </row>
    <row r="49" spans="2:24" ht="15.6" x14ac:dyDescent="0.3">
      <c r="B49" s="1437" t="s">
        <v>448</v>
      </c>
      <c r="C49" s="1438"/>
      <c r="D49" s="1439"/>
      <c r="E49" s="1437" t="s">
        <v>482</v>
      </c>
      <c r="F49" s="1438"/>
      <c r="G49" s="1439"/>
      <c r="H49" s="1449" t="s">
        <v>483</v>
      </c>
      <c r="I49" s="1450"/>
      <c r="J49" s="1451"/>
      <c r="K49" s="1046" t="s">
        <v>413</v>
      </c>
      <c r="L49" s="1046" t="s">
        <v>413</v>
      </c>
      <c r="M49" s="1046" t="s">
        <v>413</v>
      </c>
      <c r="N49" s="1047">
        <v>0</v>
      </c>
      <c r="O49" s="1047">
        <v>978.88043317508254</v>
      </c>
      <c r="P49" s="1046" t="s">
        <v>413</v>
      </c>
      <c r="Q49" s="1046" t="s">
        <v>413</v>
      </c>
      <c r="R49" s="1048">
        <v>973.63801207167569</v>
      </c>
      <c r="S49" s="121"/>
      <c r="T49" s="540"/>
      <c r="U49" s="667"/>
      <c r="V49" s="483"/>
      <c r="W49" s="117"/>
      <c r="X49" s="483"/>
    </row>
    <row r="50" spans="2:24" ht="15.6" x14ac:dyDescent="0.3">
      <c r="B50" s="1437" t="s">
        <v>448</v>
      </c>
      <c r="C50" s="1438"/>
      <c r="D50" s="1439"/>
      <c r="E50" s="1437" t="s">
        <v>482</v>
      </c>
      <c r="F50" s="1438"/>
      <c r="G50" s="1439"/>
      <c r="H50" s="1449" t="s">
        <v>484</v>
      </c>
      <c r="I50" s="1450"/>
      <c r="J50" s="1451"/>
      <c r="K50" s="1046" t="s">
        <v>413</v>
      </c>
      <c r="L50" s="1046" t="s">
        <v>413</v>
      </c>
      <c r="M50" s="1046" t="s">
        <v>413</v>
      </c>
      <c r="N50" s="1047">
        <v>0</v>
      </c>
      <c r="O50" s="1047">
        <v>1842.7447695561841</v>
      </c>
      <c r="P50" s="1046" t="s">
        <v>413</v>
      </c>
      <c r="Q50" s="1046" t="s">
        <v>413</v>
      </c>
      <c r="R50" s="1048">
        <v>1832.8758992215517</v>
      </c>
      <c r="S50" s="121"/>
      <c r="T50" s="540"/>
      <c r="U50" s="667"/>
      <c r="V50" s="483"/>
      <c r="W50" s="117"/>
      <c r="X50" s="483"/>
    </row>
    <row r="51" spans="2:24" ht="15.6" x14ac:dyDescent="0.3">
      <c r="B51" s="1437" t="s">
        <v>448</v>
      </c>
      <c r="C51" s="1438"/>
      <c r="D51" s="1439"/>
      <c r="E51" s="1437" t="s">
        <v>482</v>
      </c>
      <c r="F51" s="1438"/>
      <c r="G51" s="1439"/>
      <c r="H51" s="1440" t="s">
        <v>485</v>
      </c>
      <c r="I51" s="1441"/>
      <c r="J51" s="1442"/>
      <c r="K51" s="1046" t="s">
        <v>413</v>
      </c>
      <c r="L51" s="1046" t="s">
        <v>413</v>
      </c>
      <c r="M51" s="1046" t="s">
        <v>413</v>
      </c>
      <c r="N51" s="1047">
        <v>0</v>
      </c>
      <c r="O51" s="1047">
        <v>0</v>
      </c>
      <c r="P51" s="1046" t="s">
        <v>413</v>
      </c>
      <c r="Q51" s="1046" t="s">
        <v>413</v>
      </c>
      <c r="R51" s="1048">
        <v>0</v>
      </c>
      <c r="S51" s="121"/>
      <c r="T51" s="540"/>
      <c r="U51" s="667"/>
      <c r="V51" s="483"/>
      <c r="W51" s="117"/>
      <c r="X51" s="483"/>
    </row>
    <row r="52" spans="2:24" ht="15.6" x14ac:dyDescent="0.3">
      <c r="B52" s="1437" t="s">
        <v>448</v>
      </c>
      <c r="C52" s="1438"/>
      <c r="D52" s="1439"/>
      <c r="E52" s="1446" t="s">
        <v>482</v>
      </c>
      <c r="F52" s="1447"/>
      <c r="G52" s="1448"/>
      <c r="H52" s="1440" t="s">
        <v>486</v>
      </c>
      <c r="I52" s="1441"/>
      <c r="J52" s="1442"/>
      <c r="K52" s="1046" t="s">
        <v>413</v>
      </c>
      <c r="L52" s="1046" t="s">
        <v>413</v>
      </c>
      <c r="M52" s="1046" t="s">
        <v>413</v>
      </c>
      <c r="N52" s="1047">
        <v>0</v>
      </c>
      <c r="O52" s="1047">
        <v>225.22939086656254</v>
      </c>
      <c r="P52" s="1046" t="s">
        <v>413</v>
      </c>
      <c r="Q52" s="1046" t="s">
        <v>413</v>
      </c>
      <c r="R52" s="1048">
        <v>224.02316866437133</v>
      </c>
      <c r="S52" s="121"/>
      <c r="T52" s="540"/>
      <c r="U52" s="667"/>
      <c r="V52" s="483"/>
      <c r="W52" s="117"/>
      <c r="X52" s="483"/>
    </row>
    <row r="53" spans="2:24" ht="15.6" x14ac:dyDescent="0.3">
      <c r="B53" s="1446" t="s">
        <v>448</v>
      </c>
      <c r="C53" s="1447"/>
      <c r="D53" s="1448"/>
      <c r="E53" s="1446" t="s">
        <v>482</v>
      </c>
      <c r="F53" s="1447"/>
      <c r="G53" s="1448"/>
      <c r="H53" s="1449" t="s">
        <v>487</v>
      </c>
      <c r="I53" s="1450"/>
      <c r="J53" s="1451"/>
      <c r="K53" s="1046" t="s">
        <v>413</v>
      </c>
      <c r="L53" s="1046" t="s">
        <v>413</v>
      </c>
      <c r="M53" s="1046" t="s">
        <v>413</v>
      </c>
      <c r="N53" s="1047">
        <v>0</v>
      </c>
      <c r="O53" s="1047">
        <v>0</v>
      </c>
      <c r="P53" s="1046" t="s">
        <v>413</v>
      </c>
      <c r="Q53" s="1046" t="s">
        <v>413</v>
      </c>
      <c r="R53" s="1048">
        <v>0</v>
      </c>
      <c r="S53" s="121"/>
      <c r="T53" s="540"/>
      <c r="U53" s="667"/>
      <c r="V53" s="483"/>
      <c r="W53" s="117"/>
      <c r="X53" s="483"/>
    </row>
    <row r="54" spans="2:24" ht="15.6" x14ac:dyDescent="0.3">
      <c r="B54" s="1446" t="s">
        <v>448</v>
      </c>
      <c r="C54" s="1447"/>
      <c r="D54" s="1448"/>
      <c r="E54" s="1446" t="s">
        <v>482</v>
      </c>
      <c r="F54" s="1447"/>
      <c r="G54" s="1448"/>
      <c r="H54" s="1449" t="s">
        <v>488</v>
      </c>
      <c r="I54" s="1450"/>
      <c r="J54" s="1451"/>
      <c r="K54" s="1046" t="s">
        <v>413</v>
      </c>
      <c r="L54" s="1046" t="s">
        <v>413</v>
      </c>
      <c r="M54" s="1046" t="s">
        <v>413</v>
      </c>
      <c r="N54" s="1046">
        <v>0</v>
      </c>
      <c r="O54" s="1046">
        <v>0.25384140741678735</v>
      </c>
      <c r="P54" s="1046" t="s">
        <v>413</v>
      </c>
      <c r="Q54" s="1046" t="s">
        <v>413</v>
      </c>
      <c r="R54" s="1048">
        <v>0.25248195277241992</v>
      </c>
      <c r="S54" s="121"/>
      <c r="T54" s="540"/>
      <c r="U54" s="667"/>
      <c r="V54" s="483"/>
      <c r="W54" s="117"/>
      <c r="X54" s="483"/>
    </row>
    <row r="55" spans="2:24" ht="15.6" x14ac:dyDescent="0.3">
      <c r="B55" s="1446" t="s">
        <v>474</v>
      </c>
      <c r="C55" s="1447"/>
      <c r="D55" s="1448"/>
      <c r="E55" s="1446" t="s">
        <v>191</v>
      </c>
      <c r="F55" s="1447"/>
      <c r="G55" s="1448"/>
      <c r="H55" s="1449" t="s">
        <v>489</v>
      </c>
      <c r="I55" s="1450"/>
      <c r="J55" s="1451"/>
      <c r="K55" s="1046" t="s">
        <v>413</v>
      </c>
      <c r="L55" s="1046" t="s">
        <v>413</v>
      </c>
      <c r="M55" s="1047">
        <v>103.06175892504221</v>
      </c>
      <c r="N55" s="1047">
        <v>0</v>
      </c>
      <c r="O55" s="1047">
        <v>0</v>
      </c>
      <c r="P55" s="1046" t="s">
        <v>413</v>
      </c>
      <c r="Q55" s="1046" t="s">
        <v>413</v>
      </c>
      <c r="R55" s="1048">
        <v>102.50980883835962</v>
      </c>
      <c r="S55" s="121"/>
      <c r="T55" s="540"/>
      <c r="U55" s="667"/>
      <c r="V55" s="483"/>
      <c r="W55" s="117"/>
      <c r="X55" s="483"/>
    </row>
    <row r="56" spans="2:24" ht="15.6" x14ac:dyDescent="0.3">
      <c r="B56" s="1446" t="s">
        <v>474</v>
      </c>
      <c r="C56" s="1447"/>
      <c r="D56" s="1448"/>
      <c r="E56" s="1446" t="s">
        <v>490</v>
      </c>
      <c r="F56" s="1447"/>
      <c r="G56" s="1448"/>
      <c r="H56" s="1449" t="s">
        <v>491</v>
      </c>
      <c r="I56" s="1450"/>
      <c r="J56" s="1451"/>
      <c r="K56" s="1046" t="s">
        <v>413</v>
      </c>
      <c r="L56" s="1046" t="s">
        <v>413</v>
      </c>
      <c r="M56" s="1047">
        <v>17.417537363544106</v>
      </c>
      <c r="N56" s="1047">
        <v>0</v>
      </c>
      <c r="O56" s="1047">
        <v>0</v>
      </c>
      <c r="P56" s="1046" t="s">
        <v>413</v>
      </c>
      <c r="Q56" s="1046" t="s">
        <v>413</v>
      </c>
      <c r="R56" s="1048">
        <v>17.324257262778531</v>
      </c>
      <c r="S56" s="121"/>
      <c r="T56" s="540"/>
      <c r="U56" s="667"/>
      <c r="V56" s="483"/>
      <c r="W56" s="117"/>
      <c r="X56" s="483"/>
    </row>
    <row r="57" spans="2:24" ht="15.6" x14ac:dyDescent="0.3">
      <c r="B57" s="1437" t="s">
        <v>474</v>
      </c>
      <c r="C57" s="1438"/>
      <c r="D57" s="1439"/>
      <c r="E57" s="1437" t="s">
        <v>187</v>
      </c>
      <c r="F57" s="1438"/>
      <c r="G57" s="1439"/>
      <c r="H57" s="1440" t="s">
        <v>492</v>
      </c>
      <c r="I57" s="1441"/>
      <c r="J57" s="1442"/>
      <c r="K57" s="1046" t="s">
        <v>413</v>
      </c>
      <c r="L57" s="1046" t="s">
        <v>413</v>
      </c>
      <c r="M57" s="1046" t="s">
        <v>413</v>
      </c>
      <c r="N57" s="1047">
        <v>0</v>
      </c>
      <c r="O57" s="1047">
        <v>0</v>
      </c>
      <c r="P57" s="1047">
        <v>33940.028540670588</v>
      </c>
      <c r="Q57" s="1046" t="s">
        <v>413</v>
      </c>
      <c r="R57" s="1048">
        <v>33758.261783626811</v>
      </c>
      <c r="S57" s="121"/>
      <c r="T57" s="540"/>
      <c r="U57" s="667"/>
      <c r="V57" s="483"/>
      <c r="W57" s="117"/>
      <c r="X57" s="483"/>
    </row>
    <row r="58" spans="2:24" ht="15.6" x14ac:dyDescent="0.3">
      <c r="B58" s="1437" t="s">
        <v>474</v>
      </c>
      <c r="C58" s="1438"/>
      <c r="D58" s="1439"/>
      <c r="E58" s="1446" t="s">
        <v>185</v>
      </c>
      <c r="F58" s="1447"/>
      <c r="G58" s="1448"/>
      <c r="H58" s="1440" t="s">
        <v>493</v>
      </c>
      <c r="I58" s="1441"/>
      <c r="J58" s="1442"/>
      <c r="K58" s="1046" t="s">
        <v>413</v>
      </c>
      <c r="L58" s="1046" t="s">
        <v>413</v>
      </c>
      <c r="M58" s="1046" t="s">
        <v>413</v>
      </c>
      <c r="N58" s="1047">
        <v>0</v>
      </c>
      <c r="O58" s="1047">
        <v>0</v>
      </c>
      <c r="P58" s="1047">
        <v>0</v>
      </c>
      <c r="Q58" s="1046" t="s">
        <v>413</v>
      </c>
      <c r="R58" s="1048">
        <v>0</v>
      </c>
      <c r="S58" s="121"/>
      <c r="T58" s="540"/>
      <c r="U58" s="667"/>
      <c r="V58" s="483"/>
      <c r="W58" s="117"/>
      <c r="X58" s="483"/>
    </row>
    <row r="59" spans="2:24" ht="15.6" x14ac:dyDescent="0.3">
      <c r="B59" s="1437" t="s">
        <v>474</v>
      </c>
      <c r="C59" s="1438"/>
      <c r="D59" s="1439"/>
      <c r="E59" s="1437" t="s">
        <v>185</v>
      </c>
      <c r="F59" s="1438"/>
      <c r="G59" s="1439"/>
      <c r="H59" s="1440" t="s">
        <v>494</v>
      </c>
      <c r="I59" s="1441"/>
      <c r="J59" s="1442"/>
      <c r="K59" s="1046" t="s">
        <v>413</v>
      </c>
      <c r="L59" s="1046" t="s">
        <v>413</v>
      </c>
      <c r="M59" s="1046" t="s">
        <v>413</v>
      </c>
      <c r="N59" s="1047">
        <v>0</v>
      </c>
      <c r="O59" s="1047">
        <v>0</v>
      </c>
      <c r="P59" s="1047">
        <v>725.94128059466539</v>
      </c>
      <c r="Q59" s="1046" t="s">
        <v>413</v>
      </c>
      <c r="R59" s="1048">
        <v>722.0534820850155</v>
      </c>
      <c r="S59" s="121"/>
      <c r="T59" s="540"/>
      <c r="U59" s="667"/>
      <c r="V59" s="483"/>
      <c r="W59" s="117"/>
      <c r="X59" s="483"/>
    </row>
    <row r="60" spans="2:24" ht="15.6" x14ac:dyDescent="0.3">
      <c r="B60" s="1437" t="s">
        <v>474</v>
      </c>
      <c r="C60" s="1438"/>
      <c r="D60" s="1439"/>
      <c r="E60" s="1437" t="s">
        <v>185</v>
      </c>
      <c r="F60" s="1438"/>
      <c r="G60" s="1439"/>
      <c r="H60" s="1440" t="s">
        <v>495</v>
      </c>
      <c r="I60" s="1441"/>
      <c r="J60" s="1442"/>
      <c r="K60" s="1046" t="s">
        <v>413</v>
      </c>
      <c r="L60" s="1046" t="s">
        <v>413</v>
      </c>
      <c r="M60" s="1046" t="s">
        <v>413</v>
      </c>
      <c r="N60" s="1047">
        <v>2288.9691145888128</v>
      </c>
      <c r="O60" s="1047">
        <v>0</v>
      </c>
      <c r="P60" s="1046" t="s">
        <v>413</v>
      </c>
      <c r="Q60" s="1046" t="s">
        <v>413</v>
      </c>
      <c r="R60" s="1048">
        <v>2276.710477492099</v>
      </c>
      <c r="S60" s="121"/>
      <c r="T60" s="540"/>
      <c r="U60" s="667"/>
      <c r="V60" s="483"/>
      <c r="W60" s="117"/>
      <c r="X60" s="483"/>
    </row>
    <row r="61" spans="2:24" ht="15.6" x14ac:dyDescent="0.3">
      <c r="B61" s="1446" t="s">
        <v>474</v>
      </c>
      <c r="C61" s="1447"/>
      <c r="D61" s="1448"/>
      <c r="E61" s="1446" t="s">
        <v>185</v>
      </c>
      <c r="F61" s="1447"/>
      <c r="G61" s="1448"/>
      <c r="H61" s="1449" t="s">
        <v>496</v>
      </c>
      <c r="I61" s="1450"/>
      <c r="J61" s="1451"/>
      <c r="K61" s="1046" t="s">
        <v>413</v>
      </c>
      <c r="L61" s="1046" t="s">
        <v>413</v>
      </c>
      <c r="M61" s="1046" t="s">
        <v>413</v>
      </c>
      <c r="N61" s="1047">
        <v>2570.7440626693519</v>
      </c>
      <c r="O61" s="1046" t="s">
        <v>413</v>
      </c>
      <c r="P61" s="1046" t="s">
        <v>413</v>
      </c>
      <c r="Q61" s="1046" t="s">
        <v>413</v>
      </c>
      <c r="R61" s="1048">
        <v>2556.9763720823798</v>
      </c>
      <c r="S61" s="121"/>
      <c r="T61" s="540"/>
      <c r="U61" s="667"/>
      <c r="V61" s="483"/>
      <c r="W61" s="117"/>
      <c r="X61" s="483"/>
    </row>
    <row r="62" spans="2:24" ht="15.6" x14ac:dyDescent="0.3">
      <c r="B62" s="1446" t="s">
        <v>474</v>
      </c>
      <c r="C62" s="1447"/>
      <c r="D62" s="1448"/>
      <c r="E62" s="1446" t="s">
        <v>185</v>
      </c>
      <c r="F62" s="1447"/>
      <c r="G62" s="1448"/>
      <c r="H62" s="1449" t="s">
        <v>497</v>
      </c>
      <c r="I62" s="1450"/>
      <c r="J62" s="1451"/>
      <c r="K62" s="1046" t="s">
        <v>413</v>
      </c>
      <c r="L62" s="1046" t="s">
        <v>413</v>
      </c>
      <c r="M62" s="1046" t="s">
        <v>413</v>
      </c>
      <c r="N62" s="1047">
        <v>5.9234479578158163</v>
      </c>
      <c r="O62" s="1046" t="s">
        <v>413</v>
      </c>
      <c r="P62" s="1046" t="s">
        <v>413</v>
      </c>
      <c r="Q62" s="1046" t="s">
        <v>413</v>
      </c>
      <c r="R62" s="1048">
        <v>5.8917247692357142</v>
      </c>
      <c r="S62" s="121"/>
      <c r="T62" s="540"/>
      <c r="U62" s="667"/>
      <c r="V62" s="483"/>
      <c r="W62" s="117"/>
      <c r="X62" s="483"/>
    </row>
    <row r="63" spans="2:24" ht="15.6" x14ac:dyDescent="0.3">
      <c r="B63" s="1437" t="s">
        <v>474</v>
      </c>
      <c r="C63" s="1438"/>
      <c r="D63" s="1439"/>
      <c r="E63" s="1437" t="s">
        <v>185</v>
      </c>
      <c r="F63" s="1438"/>
      <c r="G63" s="1439"/>
      <c r="H63" s="1440" t="s">
        <v>498</v>
      </c>
      <c r="I63" s="1441"/>
      <c r="J63" s="1442"/>
      <c r="K63" s="1046" t="s">
        <v>413</v>
      </c>
      <c r="L63" s="1046" t="s">
        <v>413</v>
      </c>
      <c r="M63" s="1046" t="s">
        <v>413</v>
      </c>
      <c r="N63" s="1047">
        <v>3258.3067877859262</v>
      </c>
      <c r="O63" s="1047">
        <v>0</v>
      </c>
      <c r="P63" s="1046" t="s">
        <v>413</v>
      </c>
      <c r="Q63" s="1046" t="s">
        <v>413</v>
      </c>
      <c r="R63" s="1048">
        <v>3240.8568360995309</v>
      </c>
      <c r="S63" s="121"/>
      <c r="T63" s="540"/>
      <c r="U63" s="667"/>
      <c r="V63" s="483"/>
      <c r="W63" s="117"/>
      <c r="X63" s="483"/>
    </row>
    <row r="64" spans="2:24" ht="15.6" x14ac:dyDescent="0.3">
      <c r="B64" s="1443" t="s">
        <v>474</v>
      </c>
      <c r="C64" s="1444"/>
      <c r="D64" s="1445"/>
      <c r="E64" s="1437" t="s">
        <v>185</v>
      </c>
      <c r="F64" s="1438"/>
      <c r="G64" s="1439"/>
      <c r="H64" s="1440" t="s">
        <v>499</v>
      </c>
      <c r="I64" s="1441"/>
      <c r="J64" s="1442"/>
      <c r="K64" s="1046" t="s">
        <v>413</v>
      </c>
      <c r="L64" s="1046" t="s">
        <v>413</v>
      </c>
      <c r="M64" s="1046" t="s">
        <v>413</v>
      </c>
      <c r="N64" s="1047">
        <v>0</v>
      </c>
      <c r="O64" s="1047">
        <v>0</v>
      </c>
      <c r="P64" s="1047">
        <v>3619.6692474326073</v>
      </c>
      <c r="Q64" s="1046" t="s">
        <v>413</v>
      </c>
      <c r="R64" s="1048">
        <v>3600.2840091471262</v>
      </c>
      <c r="S64" s="121"/>
      <c r="T64" s="540"/>
      <c r="U64" s="667"/>
      <c r="V64" s="483"/>
      <c r="W64" s="117"/>
      <c r="X64" s="483"/>
    </row>
    <row r="65" spans="11:20" ht="15.6" x14ac:dyDescent="0.3">
      <c r="K65" s="177" t="s">
        <v>500</v>
      </c>
      <c r="L65" s="177" t="s">
        <v>500</v>
      </c>
      <c r="M65" s="177" t="s">
        <v>500</v>
      </c>
      <c r="N65" s="177" t="s">
        <v>500</v>
      </c>
      <c r="O65" s="177" t="s">
        <v>500</v>
      </c>
      <c r="P65" s="177" t="s">
        <v>500</v>
      </c>
      <c r="Q65" s="1049" t="s">
        <v>501</v>
      </c>
      <c r="R65" s="1050">
        <f>SUM(R16:R64)</f>
        <v>1010103.6196923096</v>
      </c>
      <c r="S65" s="688" t="s">
        <v>500</v>
      </c>
      <c r="T65" s="483"/>
    </row>
  </sheetData>
  <sheetProtection algorithmName="SHA-512" hashValue="oEeJdeZS8cDTUmTPWN3HWAEDss0OF7HjpLHLVqWjfMDsLTqkDOxQmw3iQR1KhCxbEnPT9c0Zz6tn8ZsrCgKJNQ==" saltValue="bA6PCMOkCtDdcHqme2F9ag==" spinCount="100000" sheet="1"/>
  <mergeCells count="162">
    <mergeCell ref="B7:D7"/>
    <mergeCell ref="E7:G7"/>
    <mergeCell ref="H7:J7"/>
    <mergeCell ref="B9:D9"/>
    <mergeCell ref="E9:G9"/>
    <mergeCell ref="H9:J9"/>
    <mergeCell ref="K6:R6"/>
    <mergeCell ref="B6:J6"/>
    <mergeCell ref="H8:J8"/>
    <mergeCell ref="B16:D16"/>
    <mergeCell ref="E16:G16"/>
    <mergeCell ref="H16:J16"/>
    <mergeCell ref="B17:D17"/>
    <mergeCell ref="E17:G17"/>
    <mergeCell ref="H17:J17"/>
    <mergeCell ref="K13:R13"/>
    <mergeCell ref="B13:J13"/>
    <mergeCell ref="B14:D14"/>
    <mergeCell ref="E14:G14"/>
    <mergeCell ref="H14:J14"/>
    <mergeCell ref="B15:J15"/>
    <mergeCell ref="B20:D20"/>
    <mergeCell ref="E20:G20"/>
    <mergeCell ref="H20:J20"/>
    <mergeCell ref="B21:D21"/>
    <mergeCell ref="E21:G21"/>
    <mergeCell ref="H21:J21"/>
    <mergeCell ref="B18:D18"/>
    <mergeCell ref="E18:G18"/>
    <mergeCell ref="H18:J18"/>
    <mergeCell ref="B19:D19"/>
    <mergeCell ref="E19:G19"/>
    <mergeCell ref="H19:J19"/>
    <mergeCell ref="B24:D24"/>
    <mergeCell ref="E24:G24"/>
    <mergeCell ref="H24:J24"/>
    <mergeCell ref="B25:D25"/>
    <mergeCell ref="E25:G25"/>
    <mergeCell ref="H25:J25"/>
    <mergeCell ref="B22:D22"/>
    <mergeCell ref="E22:G22"/>
    <mergeCell ref="H22:J22"/>
    <mergeCell ref="B23:D23"/>
    <mergeCell ref="E23:G23"/>
    <mergeCell ref="H23:J23"/>
    <mergeCell ref="B28:D28"/>
    <mergeCell ref="E28:G28"/>
    <mergeCell ref="H28:J28"/>
    <mergeCell ref="B29:D29"/>
    <mergeCell ref="E29:G29"/>
    <mergeCell ref="H29:J29"/>
    <mergeCell ref="B26:D26"/>
    <mergeCell ref="E26:G26"/>
    <mergeCell ref="H26:J26"/>
    <mergeCell ref="B27:D27"/>
    <mergeCell ref="E27:G27"/>
    <mergeCell ref="H27:J27"/>
    <mergeCell ref="B32:D32"/>
    <mergeCell ref="E32:G32"/>
    <mergeCell ref="H32:J32"/>
    <mergeCell ref="B33:D33"/>
    <mergeCell ref="E33:G33"/>
    <mergeCell ref="H33:J33"/>
    <mergeCell ref="B30:D30"/>
    <mergeCell ref="E30:G30"/>
    <mergeCell ref="H30:J30"/>
    <mergeCell ref="B31:D31"/>
    <mergeCell ref="E31:G31"/>
    <mergeCell ref="H31:J31"/>
    <mergeCell ref="B36:D36"/>
    <mergeCell ref="E36:G36"/>
    <mergeCell ref="H36:J36"/>
    <mergeCell ref="B37:D37"/>
    <mergeCell ref="E37:G37"/>
    <mergeCell ref="H37:J37"/>
    <mergeCell ref="B34:D34"/>
    <mergeCell ref="E34:G34"/>
    <mergeCell ref="H34:J34"/>
    <mergeCell ref="B35:D35"/>
    <mergeCell ref="E35:G35"/>
    <mergeCell ref="H35:J35"/>
    <mergeCell ref="B40:D40"/>
    <mergeCell ref="E40:G40"/>
    <mergeCell ref="H40:J40"/>
    <mergeCell ref="B41:D41"/>
    <mergeCell ref="E41:G41"/>
    <mergeCell ref="H41:J41"/>
    <mergeCell ref="B38:D38"/>
    <mergeCell ref="E38:G38"/>
    <mergeCell ref="H38:J38"/>
    <mergeCell ref="B39:D39"/>
    <mergeCell ref="E39:G39"/>
    <mergeCell ref="H39:J39"/>
    <mergeCell ref="B44:D44"/>
    <mergeCell ref="E44:G44"/>
    <mergeCell ref="H44:J44"/>
    <mergeCell ref="B45:D45"/>
    <mergeCell ref="E45:G45"/>
    <mergeCell ref="H45:J45"/>
    <mergeCell ref="B42:D42"/>
    <mergeCell ref="E42:G42"/>
    <mergeCell ref="H42:J42"/>
    <mergeCell ref="B43:D43"/>
    <mergeCell ref="E43:G43"/>
    <mergeCell ref="H43:J43"/>
    <mergeCell ref="B48:D48"/>
    <mergeCell ref="E48:G48"/>
    <mergeCell ref="H48:J48"/>
    <mergeCell ref="B49:D49"/>
    <mergeCell ref="E49:G49"/>
    <mergeCell ref="H49:J49"/>
    <mergeCell ref="B46:D46"/>
    <mergeCell ref="E46:G46"/>
    <mergeCell ref="H46:J46"/>
    <mergeCell ref="B47:D47"/>
    <mergeCell ref="E47:G47"/>
    <mergeCell ref="H47:J47"/>
    <mergeCell ref="B52:D52"/>
    <mergeCell ref="E52:G52"/>
    <mergeCell ref="H52:J52"/>
    <mergeCell ref="B53:D53"/>
    <mergeCell ref="E53:G53"/>
    <mergeCell ref="H53:J53"/>
    <mergeCell ref="B50:D50"/>
    <mergeCell ref="E50:G50"/>
    <mergeCell ref="H50:J50"/>
    <mergeCell ref="B51:D51"/>
    <mergeCell ref="E51:G51"/>
    <mergeCell ref="H51:J51"/>
    <mergeCell ref="B56:D56"/>
    <mergeCell ref="E56:G56"/>
    <mergeCell ref="H56:J56"/>
    <mergeCell ref="B54:D54"/>
    <mergeCell ref="E54:G54"/>
    <mergeCell ref="H54:J54"/>
    <mergeCell ref="B55:D55"/>
    <mergeCell ref="E55:G55"/>
    <mergeCell ref="H55:J55"/>
    <mergeCell ref="B59:D59"/>
    <mergeCell ref="E59:G59"/>
    <mergeCell ref="H59:J59"/>
    <mergeCell ref="B60:D60"/>
    <mergeCell ref="E60:G60"/>
    <mergeCell ref="H60:J60"/>
    <mergeCell ref="B57:D57"/>
    <mergeCell ref="E57:G57"/>
    <mergeCell ref="H57:J57"/>
    <mergeCell ref="B58:D58"/>
    <mergeCell ref="E58:G58"/>
    <mergeCell ref="H58:J58"/>
    <mergeCell ref="B63:D63"/>
    <mergeCell ref="E63:G63"/>
    <mergeCell ref="H63:J63"/>
    <mergeCell ref="B64:D64"/>
    <mergeCell ref="E64:G64"/>
    <mergeCell ref="H64:J64"/>
    <mergeCell ref="B61:D61"/>
    <mergeCell ref="E61:G61"/>
    <mergeCell ref="H61:J61"/>
    <mergeCell ref="B62:D62"/>
    <mergeCell ref="E62:G62"/>
    <mergeCell ref="H62:J62"/>
  </mergeCells>
  <dataValidations count="4">
    <dataValidation type="list" allowBlank="1" showInputMessage="1" showErrorMessage="1" sqref="B9" xr:uid="{6F0733BB-410B-4EA5-BB26-0A872CD80F99}">
      <formula1>IPPU_IP</formula1>
    </dataValidation>
    <dataValidation type="list" allowBlank="1" sqref="E9:G9" xr:uid="{E2F2E837-AB10-47F6-B525-AEC8A30C40FA}">
      <formula1>INDIRECT(B9)</formula1>
    </dataValidation>
    <dataValidation type="list" allowBlank="1" sqref="E16:G64" xr:uid="{3E548831-6471-45C6-8249-A1E937F0E256}">
      <formula1>INDIRECT("IPPU_" &amp; B16)</formula1>
    </dataValidation>
    <dataValidation type="list" allowBlank="1" showInputMessage="1" showErrorMessage="1" sqref="B16:B64" xr:uid="{56068082-D2DB-42C5-AF53-7794BA728191}">
      <formula1>IPPU_PU</formula1>
    </dataValidation>
  </dataValidation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AD148"/>
  <sheetViews>
    <sheetView zoomScale="90" zoomScaleNormal="90" workbookViewId="0"/>
  </sheetViews>
  <sheetFormatPr defaultColWidth="9" defaultRowHeight="14.4" x14ac:dyDescent="0.3"/>
  <cols>
    <col min="1" max="1" width="9.88671875" style="70" customWidth="1"/>
    <col min="2" max="2" width="39.77734375" style="70" customWidth="1"/>
    <col min="3" max="3" width="42.21875" style="70" customWidth="1"/>
    <col min="4" max="4" width="16.109375" style="70" customWidth="1"/>
    <col min="5" max="5" width="14.21875" style="70" bestFit="1" customWidth="1"/>
    <col min="6" max="6" width="17.109375" style="70" customWidth="1"/>
    <col min="7" max="7" width="21" style="70" customWidth="1"/>
    <col min="8" max="8" width="23.88671875" style="70" customWidth="1"/>
    <col min="9" max="9" width="10.5546875" style="70" bestFit="1" customWidth="1"/>
    <col min="10" max="10" width="10.77734375" style="70" bestFit="1" customWidth="1"/>
    <col min="11" max="11" width="9.5546875" style="70" bestFit="1" customWidth="1"/>
    <col min="12" max="12" width="12.88671875" style="70" customWidth="1"/>
    <col min="13" max="13" width="9.5546875" style="70" bestFit="1" customWidth="1"/>
    <col min="14" max="14" width="10.77734375" style="70" bestFit="1" customWidth="1"/>
    <col min="15" max="15" width="11.77734375" style="70" customWidth="1"/>
    <col min="16" max="16" width="15" style="70" customWidth="1"/>
    <col min="17" max="17" width="44" style="70" customWidth="1"/>
    <col min="18" max="18" width="18.88671875" style="70" customWidth="1"/>
    <col min="19" max="19" width="21" style="70" customWidth="1"/>
    <col min="20" max="22" width="9.5546875" style="70" bestFit="1" customWidth="1"/>
    <col min="23" max="23" width="13.21875" style="70" bestFit="1" customWidth="1"/>
    <col min="24" max="24" width="14.5546875" style="70" customWidth="1"/>
    <col min="25" max="16384" width="9" style="70"/>
  </cols>
  <sheetData>
    <row r="1" spans="1:30" ht="21" x14ac:dyDescent="0.3">
      <c r="A1" s="119" t="s">
        <v>502</v>
      </c>
    </row>
    <row r="2" spans="1:30" ht="21" x14ac:dyDescent="0.3">
      <c r="A2" s="564">
        <v>2022</v>
      </c>
    </row>
    <row r="3" spans="1:30" x14ac:dyDescent="0.3">
      <c r="A3" s="714" t="s">
        <v>503</v>
      </c>
    </row>
    <row r="4" spans="1:30" x14ac:dyDescent="0.3">
      <c r="A4" s="714"/>
    </row>
    <row r="5" spans="1:30" ht="21" x14ac:dyDescent="0.4">
      <c r="B5" s="260" t="s">
        <v>504</v>
      </c>
      <c r="C5" s="259"/>
    </row>
    <row r="6" spans="1:30" ht="15" thickBot="1" x14ac:dyDescent="0.35"/>
    <row r="7" spans="1:30" customFormat="1" ht="15.6" thickBot="1" x14ac:dyDescent="0.4">
      <c r="A7" s="70"/>
      <c r="B7" s="355"/>
      <c r="C7" s="351"/>
      <c r="D7" s="1466" t="s">
        <v>273</v>
      </c>
      <c r="E7" s="1467"/>
      <c r="F7" s="1467"/>
      <c r="G7" s="1468"/>
      <c r="H7" s="1462" t="s">
        <v>505</v>
      </c>
      <c r="I7" s="70"/>
      <c r="J7" s="70"/>
      <c r="K7" s="70"/>
      <c r="L7" s="70"/>
      <c r="M7" s="70"/>
      <c r="N7" s="70"/>
      <c r="O7" s="70"/>
      <c r="P7" s="70"/>
      <c r="Q7" s="70"/>
      <c r="R7" s="70"/>
      <c r="S7" s="70"/>
      <c r="T7" s="70"/>
      <c r="U7" s="70"/>
      <c r="V7" s="70"/>
      <c r="W7" s="70"/>
      <c r="X7" s="70"/>
      <c r="Y7" s="70"/>
      <c r="Z7" s="70"/>
      <c r="AA7" s="70"/>
      <c r="AB7" s="70"/>
      <c r="AC7" s="70"/>
      <c r="AD7" s="70"/>
    </row>
    <row r="8" spans="1:30" customFormat="1" ht="15" x14ac:dyDescent="0.3">
      <c r="A8" s="70"/>
      <c r="B8" s="353" t="s">
        <v>275</v>
      </c>
      <c r="C8" s="353" t="s">
        <v>506</v>
      </c>
      <c r="D8" s="354" t="s">
        <v>265</v>
      </c>
      <c r="E8" s="354" t="s">
        <v>266</v>
      </c>
      <c r="F8" s="354" t="s">
        <v>267</v>
      </c>
      <c r="G8" s="354" t="s">
        <v>507</v>
      </c>
      <c r="H8" s="1463"/>
      <c r="I8" s="70"/>
      <c r="J8" s="70"/>
      <c r="K8" s="70"/>
      <c r="L8" s="70"/>
      <c r="M8" s="70"/>
      <c r="N8" s="70"/>
      <c r="O8" s="70"/>
      <c r="P8" s="70"/>
      <c r="Q8" s="70"/>
      <c r="R8" s="70"/>
      <c r="S8" s="70"/>
      <c r="T8" s="70"/>
      <c r="U8" s="70"/>
      <c r="V8" s="70"/>
      <c r="W8" s="70"/>
      <c r="X8" s="70"/>
      <c r="Y8" s="70"/>
      <c r="Z8" s="70"/>
      <c r="AA8" s="70"/>
      <c r="AB8" s="70"/>
      <c r="AC8" s="70"/>
      <c r="AD8" s="70"/>
    </row>
    <row r="9" spans="1:30" customFormat="1" x14ac:dyDescent="0.3">
      <c r="A9" s="70"/>
      <c r="B9" s="572" t="s">
        <v>508</v>
      </c>
      <c r="C9" s="572" t="s">
        <v>509</v>
      </c>
      <c r="D9" s="541"/>
      <c r="E9" s="597">
        <v>2592.7493801043752</v>
      </c>
      <c r="F9" s="598"/>
      <c r="G9" s="542"/>
      <c r="H9" s="597">
        <f>SUM(D9:F9)</f>
        <v>2592.7493801043752</v>
      </c>
      <c r="I9" s="116"/>
      <c r="J9" s="70"/>
      <c r="K9" s="70"/>
      <c r="L9" s="70"/>
      <c r="M9" s="70"/>
      <c r="N9" s="70"/>
      <c r="O9" s="70"/>
      <c r="P9" s="70"/>
      <c r="Q9" s="70"/>
      <c r="R9" s="70"/>
      <c r="S9" s="70"/>
      <c r="T9" s="70"/>
      <c r="U9" s="70"/>
      <c r="V9" s="70"/>
      <c r="W9" s="70"/>
      <c r="X9" s="70"/>
      <c r="Y9" s="70"/>
      <c r="Z9" s="70"/>
      <c r="AA9" s="70"/>
      <c r="AB9" s="70"/>
      <c r="AC9" s="70"/>
      <c r="AD9" s="70"/>
    </row>
    <row r="10" spans="1:30" customFormat="1" x14ac:dyDescent="0.3">
      <c r="A10" s="70"/>
      <c r="B10" s="572" t="s">
        <v>510</v>
      </c>
      <c r="C10" s="572" t="s">
        <v>509</v>
      </c>
      <c r="D10" s="541"/>
      <c r="E10" s="597">
        <v>2418.1831782551526</v>
      </c>
      <c r="F10" s="598"/>
      <c r="G10" s="542"/>
      <c r="H10" s="597">
        <f>SUM(D10:F10)</f>
        <v>2418.1831782551526</v>
      </c>
      <c r="I10" s="70"/>
      <c r="J10" s="70"/>
      <c r="K10" s="70"/>
      <c r="L10" s="70"/>
      <c r="M10" s="70"/>
      <c r="N10" s="70"/>
      <c r="O10" s="70"/>
      <c r="P10" s="70"/>
      <c r="Q10" s="70"/>
      <c r="R10" s="70"/>
      <c r="S10" s="70"/>
      <c r="T10" s="70"/>
      <c r="U10" s="70"/>
      <c r="V10" s="70"/>
      <c r="W10" s="70"/>
      <c r="X10" s="70"/>
      <c r="Y10" s="70"/>
      <c r="Z10" s="70"/>
      <c r="AA10" s="70"/>
      <c r="AB10" s="70"/>
      <c r="AC10" s="70"/>
      <c r="AD10" s="70"/>
    </row>
    <row r="11" spans="1:30" customFormat="1" x14ac:dyDescent="0.3">
      <c r="A11" s="70"/>
      <c r="B11" s="572" t="s">
        <v>511</v>
      </c>
      <c r="C11" s="572" t="s">
        <v>509</v>
      </c>
      <c r="D11" s="541"/>
      <c r="E11" s="597">
        <v>545.47203982351004</v>
      </c>
      <c r="F11" s="598"/>
      <c r="G11" s="542"/>
      <c r="H11" s="597">
        <f t="shared" ref="H11:H18" si="0">SUM(D11:F11)</f>
        <v>545.47203982351004</v>
      </c>
      <c r="I11" s="70"/>
      <c r="J11" s="70"/>
      <c r="K11" s="70"/>
      <c r="L11" s="70"/>
      <c r="M11" s="70"/>
      <c r="N11" s="70"/>
      <c r="O11" s="70"/>
      <c r="P11" s="70"/>
      <c r="Q11" s="70"/>
      <c r="R11" s="70"/>
      <c r="S11" s="70"/>
      <c r="T11" s="70"/>
      <c r="U11" s="70"/>
      <c r="V11" s="70"/>
      <c r="W11" s="70"/>
      <c r="X11" s="70"/>
      <c r="Y11" s="70"/>
      <c r="Z11" s="70"/>
      <c r="AA11" s="70"/>
      <c r="AB11" s="70"/>
      <c r="AC11" s="70"/>
      <c r="AD11" s="70"/>
    </row>
    <row r="12" spans="1:30" customFormat="1" x14ac:dyDescent="0.3">
      <c r="A12" s="70"/>
      <c r="B12" s="572" t="s">
        <v>512</v>
      </c>
      <c r="C12" s="572" t="s">
        <v>509</v>
      </c>
      <c r="D12" s="541"/>
      <c r="E12" s="597">
        <v>46.599355257150499</v>
      </c>
      <c r="F12" s="598"/>
      <c r="G12" s="542"/>
      <c r="H12" s="597">
        <f t="shared" si="0"/>
        <v>46.599355257150499</v>
      </c>
      <c r="I12" s="70"/>
      <c r="J12" s="70"/>
      <c r="K12" s="70"/>
      <c r="L12" s="70"/>
      <c r="M12" s="173"/>
      <c r="N12" s="70"/>
      <c r="O12" s="70"/>
      <c r="P12" s="70"/>
      <c r="Q12" s="70"/>
      <c r="R12" s="70"/>
      <c r="S12" s="70"/>
      <c r="T12" s="70"/>
      <c r="U12" s="70"/>
      <c r="V12" s="70"/>
      <c r="W12" s="70"/>
      <c r="X12" s="70"/>
      <c r="Y12" s="70"/>
      <c r="Z12" s="70"/>
      <c r="AA12" s="70"/>
      <c r="AB12" s="70"/>
      <c r="AC12" s="70"/>
      <c r="AD12" s="70"/>
    </row>
    <row r="13" spans="1:30" customFormat="1" x14ac:dyDescent="0.3">
      <c r="A13" s="70"/>
      <c r="B13" s="572" t="s">
        <v>513</v>
      </c>
      <c r="C13" s="572" t="s">
        <v>509</v>
      </c>
      <c r="D13" s="541"/>
      <c r="E13" s="597">
        <v>3155.0884527666176</v>
      </c>
      <c r="F13" s="598"/>
      <c r="G13" s="542"/>
      <c r="H13" s="597">
        <f t="shared" si="0"/>
        <v>3155.0884527666176</v>
      </c>
      <c r="I13" s="70"/>
      <c r="J13" s="70"/>
      <c r="K13" s="70"/>
      <c r="L13" s="70"/>
      <c r="M13" s="70"/>
      <c r="N13" s="70"/>
      <c r="O13" s="70"/>
      <c r="P13" s="70"/>
      <c r="Q13" s="70"/>
      <c r="R13" s="70"/>
      <c r="S13" s="70"/>
      <c r="T13" s="70"/>
      <c r="U13" s="70"/>
      <c r="V13" s="70"/>
      <c r="W13" s="70"/>
      <c r="X13" s="70"/>
      <c r="Y13" s="70"/>
      <c r="Z13" s="70"/>
      <c r="AA13" s="70"/>
      <c r="AB13" s="70"/>
      <c r="AC13" s="70"/>
      <c r="AD13" s="70"/>
    </row>
    <row r="14" spans="1:30" customFormat="1" x14ac:dyDescent="0.3">
      <c r="A14" s="70"/>
      <c r="B14" s="572" t="s">
        <v>514</v>
      </c>
      <c r="C14" s="572" t="s">
        <v>515</v>
      </c>
      <c r="D14" s="541"/>
      <c r="E14" s="597">
        <v>984.01043023582486</v>
      </c>
      <c r="F14" s="597">
        <v>495.87611469757223</v>
      </c>
      <c r="G14" s="542"/>
      <c r="H14" s="597">
        <f t="shared" si="0"/>
        <v>1479.8865449333971</v>
      </c>
      <c r="I14" s="70"/>
      <c r="J14" s="116"/>
      <c r="K14" s="70"/>
      <c r="L14" s="70"/>
      <c r="M14" s="70"/>
      <c r="N14" s="70"/>
      <c r="O14" s="70"/>
      <c r="P14" s="70"/>
      <c r="Q14" s="70"/>
      <c r="R14" s="70"/>
      <c r="S14" s="70"/>
      <c r="T14" s="70"/>
      <c r="U14" s="70"/>
      <c r="V14" s="70"/>
      <c r="W14" s="70"/>
      <c r="X14" s="70"/>
      <c r="Y14" s="70"/>
      <c r="Z14" s="70"/>
      <c r="AA14" s="70"/>
      <c r="AB14" s="70"/>
      <c r="AC14" s="70"/>
      <c r="AD14" s="70"/>
    </row>
    <row r="15" spans="1:30" customFormat="1" x14ac:dyDescent="0.3">
      <c r="A15" s="70"/>
      <c r="B15" s="572" t="s">
        <v>511</v>
      </c>
      <c r="C15" s="572" t="s">
        <v>515</v>
      </c>
      <c r="D15" s="541"/>
      <c r="E15" s="597">
        <v>14.6319649146477</v>
      </c>
      <c r="F15" s="597">
        <v>4.6074276649681067</v>
      </c>
      <c r="G15" s="542"/>
      <c r="H15" s="597">
        <f t="shared" si="0"/>
        <v>19.239392579615807</v>
      </c>
      <c r="I15" s="70"/>
      <c r="J15" s="116"/>
      <c r="K15" s="70"/>
      <c r="L15" s="70"/>
      <c r="M15" s="70"/>
      <c r="N15" s="70"/>
      <c r="O15" s="70"/>
      <c r="P15" s="70"/>
      <c r="Q15" s="70"/>
      <c r="R15" s="70"/>
      <c r="S15" s="70"/>
      <c r="T15" s="70"/>
      <c r="U15" s="70"/>
      <c r="V15" s="70"/>
      <c r="W15" s="70"/>
      <c r="X15" s="70"/>
      <c r="Y15" s="70"/>
      <c r="Z15" s="70"/>
      <c r="AA15" s="70"/>
      <c r="AB15" s="70"/>
      <c r="AC15" s="70"/>
      <c r="AD15" s="70"/>
    </row>
    <row r="16" spans="1:30" customFormat="1" x14ac:dyDescent="0.3">
      <c r="A16" s="70"/>
      <c r="B16" s="572" t="s">
        <v>512</v>
      </c>
      <c r="C16" s="572" t="s">
        <v>515</v>
      </c>
      <c r="D16" s="541"/>
      <c r="E16" s="597">
        <v>119.9896330197565</v>
      </c>
      <c r="F16" s="597">
        <v>68.895948384847657</v>
      </c>
      <c r="G16" s="542"/>
      <c r="H16" s="597">
        <f t="shared" si="0"/>
        <v>188.88558140460415</v>
      </c>
      <c r="I16" s="70"/>
      <c r="J16" s="70"/>
      <c r="K16" s="70"/>
      <c r="L16" s="70"/>
      <c r="M16" s="70"/>
      <c r="N16" s="70"/>
      <c r="O16" s="70"/>
      <c r="P16" s="70"/>
      <c r="Q16" s="70"/>
      <c r="R16" s="70"/>
      <c r="S16" s="70"/>
      <c r="T16" s="70"/>
      <c r="U16" s="70"/>
      <c r="V16" s="70"/>
      <c r="W16" s="70"/>
      <c r="X16" s="70"/>
      <c r="Y16" s="70"/>
      <c r="Z16" s="70"/>
      <c r="AA16" s="70"/>
      <c r="AB16" s="70"/>
      <c r="AC16" s="70"/>
      <c r="AD16" s="70"/>
    </row>
    <row r="17" spans="1:30" customFormat="1" x14ac:dyDescent="0.3">
      <c r="A17" s="70"/>
      <c r="B17" s="572" t="s">
        <v>516</v>
      </c>
      <c r="C17" s="572" t="s">
        <v>515</v>
      </c>
      <c r="D17" s="541"/>
      <c r="E17" s="597">
        <v>11.159180618989799</v>
      </c>
      <c r="F17" s="597">
        <v>44.224136016003705</v>
      </c>
      <c r="G17" s="542"/>
      <c r="H17" s="597">
        <f t="shared" si="0"/>
        <v>55.383316634993506</v>
      </c>
      <c r="I17" s="70"/>
      <c r="J17" s="70"/>
      <c r="K17" s="70"/>
      <c r="L17" s="70"/>
      <c r="M17" s="70"/>
      <c r="N17" s="70"/>
      <c r="O17" s="70"/>
      <c r="P17" s="70"/>
      <c r="Q17" s="70"/>
      <c r="R17" s="70"/>
      <c r="S17" s="70"/>
      <c r="T17" s="70"/>
      <c r="U17" s="70"/>
      <c r="V17" s="70"/>
      <c r="W17" s="70"/>
      <c r="X17" s="70"/>
      <c r="Y17" s="70"/>
      <c r="Z17" s="70"/>
      <c r="AA17" s="70"/>
      <c r="AB17" s="70"/>
      <c r="AC17" s="70"/>
      <c r="AD17" s="70"/>
    </row>
    <row r="18" spans="1:30" customFormat="1" ht="15" thickBot="1" x14ac:dyDescent="0.35">
      <c r="A18" s="70"/>
      <c r="B18" s="573" t="s">
        <v>513</v>
      </c>
      <c r="C18" s="573" t="s">
        <v>515</v>
      </c>
      <c r="D18" s="543"/>
      <c r="E18" s="599">
        <v>73.201756250539702</v>
      </c>
      <c r="F18" s="599">
        <v>1340.054957658085</v>
      </c>
      <c r="G18" s="544"/>
      <c r="H18" s="599">
        <f t="shared" si="0"/>
        <v>1413.2567139086248</v>
      </c>
      <c r="I18" s="70"/>
      <c r="J18" s="70"/>
      <c r="K18" s="70"/>
      <c r="L18" s="70"/>
      <c r="M18" s="70"/>
      <c r="N18" s="70"/>
      <c r="O18" s="70"/>
      <c r="P18" s="70"/>
      <c r="Q18" s="70"/>
      <c r="R18" s="70"/>
      <c r="S18" s="70"/>
      <c r="T18" s="70"/>
      <c r="U18" s="70"/>
      <c r="V18" s="70"/>
      <c r="W18" s="70"/>
      <c r="X18" s="70"/>
      <c r="Y18" s="70"/>
      <c r="Z18" s="70"/>
      <c r="AA18" s="70"/>
      <c r="AB18" s="70"/>
      <c r="AC18" s="70"/>
      <c r="AD18" s="70"/>
    </row>
    <row r="19" spans="1:30" x14ac:dyDescent="0.3">
      <c r="B19" s="144"/>
      <c r="C19" s="144"/>
      <c r="D19" s="144"/>
      <c r="E19" s="545"/>
      <c r="F19" s="545"/>
      <c r="G19" s="601" t="s">
        <v>517</v>
      </c>
      <c r="H19" s="600">
        <f>SUM(H9:H18)</f>
        <v>11914.74395566804</v>
      </c>
      <c r="I19" s="255"/>
      <c r="J19" s="255"/>
      <c r="K19" s="255"/>
      <c r="L19" s="255"/>
      <c r="M19" s="255"/>
      <c r="N19" s="255"/>
      <c r="U19" s="116"/>
      <c r="V19" s="116"/>
      <c r="W19" s="116"/>
    </row>
    <row r="20" spans="1:30" ht="15" thickBot="1" x14ac:dyDescent="0.35">
      <c r="B20" s="144"/>
      <c r="C20" s="144"/>
      <c r="D20" s="144"/>
      <c r="E20" s="545"/>
      <c r="F20" s="545"/>
      <c r="G20" s="1051" t="s">
        <v>518</v>
      </c>
      <c r="H20" s="1052">
        <f>SUM(H19/1000000)</f>
        <v>1.191474395566804E-2</v>
      </c>
      <c r="I20" s="255"/>
      <c r="J20" s="255"/>
      <c r="K20" s="255"/>
      <c r="L20" s="255"/>
      <c r="M20" s="255"/>
      <c r="N20" s="255"/>
    </row>
    <row r="21" spans="1:30" ht="21" x14ac:dyDescent="0.4">
      <c r="B21" s="260" t="s">
        <v>519</v>
      </c>
      <c r="C21" s="260"/>
    </row>
    <row r="22" spans="1:30" ht="15" thickBot="1" x14ac:dyDescent="0.35"/>
    <row r="23" spans="1:30" customFormat="1" ht="15.6" thickBot="1" x14ac:dyDescent="0.4">
      <c r="A23" s="70"/>
      <c r="B23" s="352"/>
      <c r="C23" s="352"/>
      <c r="D23" s="1469" t="s">
        <v>520</v>
      </c>
      <c r="E23" s="1469"/>
      <c r="F23" s="1469"/>
      <c r="G23" s="1469"/>
      <c r="H23" s="1462" t="s">
        <v>505</v>
      </c>
      <c r="I23" s="70"/>
      <c r="J23" s="70"/>
      <c r="K23" s="70"/>
      <c r="L23" s="70"/>
      <c r="M23" s="70"/>
      <c r="N23" s="70"/>
      <c r="O23" s="70"/>
      <c r="P23" s="70"/>
      <c r="Q23" s="70"/>
      <c r="R23" s="70"/>
      <c r="S23" s="70"/>
      <c r="T23" s="70"/>
      <c r="U23" s="70"/>
      <c r="V23" s="70"/>
      <c r="W23" s="70"/>
      <c r="X23" s="70"/>
      <c r="Y23" s="70"/>
      <c r="Z23" s="70"/>
      <c r="AA23" s="70"/>
      <c r="AB23" s="70"/>
      <c r="AC23" s="70"/>
      <c r="AD23" s="70"/>
    </row>
    <row r="24" spans="1:30" customFormat="1" ht="15.6" thickBot="1" x14ac:dyDescent="0.35">
      <c r="A24" s="70"/>
      <c r="B24" s="257" t="s">
        <v>275</v>
      </c>
      <c r="C24" s="257" t="s">
        <v>506</v>
      </c>
      <c r="D24" s="258" t="s">
        <v>265</v>
      </c>
      <c r="E24" s="258" t="s">
        <v>266</v>
      </c>
      <c r="F24" s="258" t="s">
        <v>267</v>
      </c>
      <c r="G24" s="258" t="s">
        <v>507</v>
      </c>
      <c r="H24" s="1463"/>
      <c r="I24" s="173"/>
      <c r="J24" s="70"/>
      <c r="K24" s="70"/>
      <c r="L24" s="70"/>
      <c r="M24" s="70"/>
      <c r="N24" s="70"/>
      <c r="O24" s="70"/>
      <c r="P24" s="70"/>
      <c r="Q24" s="70"/>
      <c r="R24" s="70"/>
      <c r="S24" s="70"/>
      <c r="T24" s="70"/>
      <c r="U24" s="70"/>
      <c r="V24" s="70"/>
      <c r="W24" s="70"/>
      <c r="X24" s="70"/>
      <c r="Y24" s="70"/>
      <c r="Z24" s="70"/>
      <c r="AA24" s="70"/>
      <c r="AB24" s="70"/>
      <c r="AC24" s="70"/>
      <c r="AD24" s="70"/>
    </row>
    <row r="25" spans="1:30" customFormat="1" x14ac:dyDescent="0.3">
      <c r="A25" s="70"/>
      <c r="B25" s="606" t="s">
        <v>521</v>
      </c>
      <c r="C25" s="606" t="s">
        <v>522</v>
      </c>
      <c r="D25" s="611" t="s">
        <v>500</v>
      </c>
      <c r="E25" s="611"/>
      <c r="F25" s="611"/>
      <c r="G25" s="612">
        <v>-11.297910775446999</v>
      </c>
      <c r="H25" s="613">
        <f>SUM(D25:F25)</f>
        <v>0</v>
      </c>
      <c r="I25" s="70"/>
      <c r="J25" s="70"/>
      <c r="K25" s="70"/>
      <c r="L25" s="70"/>
      <c r="M25" s="70"/>
      <c r="N25" s="70"/>
      <c r="O25" s="70"/>
      <c r="P25" s="70"/>
      <c r="Q25" s="70"/>
      <c r="R25" s="70"/>
      <c r="S25" s="70"/>
      <c r="T25" s="70"/>
      <c r="U25" s="70"/>
      <c r="V25" s="70"/>
      <c r="W25" s="70"/>
      <c r="X25" s="70"/>
      <c r="Y25" s="70"/>
      <c r="Z25" s="70"/>
      <c r="AA25" s="70"/>
      <c r="AB25" s="70"/>
      <c r="AC25" s="70"/>
      <c r="AD25" s="70"/>
    </row>
    <row r="26" spans="1:30" customFormat="1" x14ac:dyDescent="0.3">
      <c r="A26" s="70"/>
      <c r="B26" s="607" t="s">
        <v>521</v>
      </c>
      <c r="C26" s="607" t="s">
        <v>523</v>
      </c>
      <c r="D26" s="614" t="s">
        <v>500</v>
      </c>
      <c r="E26" s="614"/>
      <c r="F26" s="614"/>
      <c r="G26" s="615">
        <v>-2.77075542933847</v>
      </c>
      <c r="H26" s="616">
        <f t="shared" ref="H26:H42" si="1">SUM(D26:F26)</f>
        <v>0</v>
      </c>
      <c r="I26" s="70"/>
      <c r="J26" s="70"/>
      <c r="K26" s="70"/>
      <c r="L26" s="70"/>
      <c r="M26" s="70"/>
      <c r="N26" s="70"/>
      <c r="O26" s="70"/>
      <c r="P26" s="70"/>
      <c r="Q26" s="70"/>
      <c r="R26" s="70"/>
      <c r="S26" s="70"/>
      <c r="T26" s="70"/>
      <c r="U26" s="70"/>
      <c r="V26" s="70"/>
      <c r="W26" s="70"/>
      <c r="X26" s="70"/>
      <c r="Y26" s="70"/>
      <c r="Z26" s="70"/>
      <c r="AA26" s="70"/>
      <c r="AB26" s="70"/>
      <c r="AC26" s="70"/>
      <c r="AD26" s="70"/>
    </row>
    <row r="27" spans="1:30" customFormat="1" x14ac:dyDescent="0.3">
      <c r="A27" s="70"/>
      <c r="B27" s="607" t="s">
        <v>524</v>
      </c>
      <c r="C27" s="607" t="s">
        <v>525</v>
      </c>
      <c r="D27" s="615">
        <v>2285.03292317666</v>
      </c>
      <c r="E27" s="614"/>
      <c r="F27" s="614"/>
      <c r="G27" s="614" t="s">
        <v>500</v>
      </c>
      <c r="H27" s="616">
        <f t="shared" si="1"/>
        <v>2285.03292317666</v>
      </c>
      <c r="I27" s="70"/>
      <c r="J27" s="70"/>
      <c r="K27" s="70"/>
      <c r="L27" s="70"/>
      <c r="M27" s="70"/>
      <c r="N27" s="70"/>
      <c r="O27" s="70"/>
      <c r="P27" s="70"/>
      <c r="Q27" s="70"/>
      <c r="R27" s="70"/>
      <c r="S27" s="70"/>
      <c r="T27" s="70"/>
      <c r="U27" s="70"/>
      <c r="V27" s="70"/>
      <c r="W27" s="70"/>
      <c r="X27" s="70"/>
      <c r="Y27" s="70"/>
      <c r="Z27" s="70"/>
      <c r="AA27" s="70"/>
      <c r="AB27" s="70"/>
      <c r="AC27" s="70"/>
      <c r="AD27" s="70"/>
    </row>
    <row r="28" spans="1:30" customFormat="1" x14ac:dyDescent="0.3">
      <c r="A28" s="70"/>
      <c r="B28" s="607" t="s">
        <v>524</v>
      </c>
      <c r="C28" s="607" t="s">
        <v>526</v>
      </c>
      <c r="D28" s="615">
        <v>2310.7760237676703</v>
      </c>
      <c r="E28" s="614"/>
      <c r="F28" s="614"/>
      <c r="G28" s="614" t="s">
        <v>500</v>
      </c>
      <c r="H28" s="616">
        <f t="shared" si="1"/>
        <v>2310.7760237676703</v>
      </c>
      <c r="I28" s="70"/>
      <c r="J28" s="70"/>
      <c r="K28" s="70"/>
      <c r="L28" s="70"/>
      <c r="M28" s="70"/>
      <c r="N28" s="70"/>
      <c r="O28" s="70"/>
      <c r="P28" s="70"/>
      <c r="Q28" s="70"/>
      <c r="R28" s="70"/>
      <c r="S28" s="70"/>
      <c r="T28" s="70"/>
      <c r="U28" s="70"/>
      <c r="V28" s="70"/>
      <c r="W28" s="70"/>
      <c r="X28" s="70"/>
      <c r="Y28" s="70"/>
      <c r="Z28" s="70"/>
      <c r="AA28" s="70"/>
      <c r="AB28" s="70"/>
      <c r="AC28" s="70"/>
      <c r="AD28" s="70"/>
    </row>
    <row r="29" spans="1:30" customFormat="1" x14ac:dyDescent="0.3">
      <c r="A29" s="70"/>
      <c r="B29" s="607" t="s">
        <v>524</v>
      </c>
      <c r="C29" s="607" t="s">
        <v>527</v>
      </c>
      <c r="D29" s="614" t="s">
        <v>500</v>
      </c>
      <c r="E29" s="614"/>
      <c r="F29" s="614"/>
      <c r="G29" s="615">
        <v>-70.379998767450701</v>
      </c>
      <c r="H29" s="616">
        <f t="shared" si="1"/>
        <v>0</v>
      </c>
      <c r="I29" s="70"/>
      <c r="J29" s="70"/>
      <c r="K29" s="70"/>
      <c r="L29" s="70"/>
      <c r="M29" s="70"/>
      <c r="N29" s="70"/>
      <c r="O29" s="70"/>
      <c r="P29" s="70"/>
      <c r="Q29" s="70"/>
      <c r="R29" s="70"/>
      <c r="S29" s="70"/>
      <c r="T29" s="70"/>
      <c r="U29" s="70"/>
      <c r="V29" s="70"/>
      <c r="W29" s="70"/>
      <c r="X29" s="70"/>
      <c r="Y29" s="70"/>
      <c r="Z29" s="70"/>
      <c r="AA29" s="70"/>
      <c r="AB29" s="70"/>
      <c r="AC29" s="70"/>
      <c r="AD29" s="70"/>
    </row>
    <row r="30" spans="1:30" customFormat="1" x14ac:dyDescent="0.3">
      <c r="A30" s="70"/>
      <c r="B30" s="607" t="s">
        <v>528</v>
      </c>
      <c r="C30" s="607" t="s">
        <v>529</v>
      </c>
      <c r="D30" s="614" t="s">
        <v>500</v>
      </c>
      <c r="E30" s="614"/>
      <c r="F30" s="614"/>
      <c r="G30" s="615">
        <v>-66824.952188008887</v>
      </c>
      <c r="H30" s="616">
        <f t="shared" si="1"/>
        <v>0</v>
      </c>
      <c r="I30" s="70"/>
      <c r="J30" s="70"/>
      <c r="K30" s="70"/>
      <c r="L30" s="70"/>
      <c r="M30" s="70"/>
      <c r="N30" s="70"/>
      <c r="O30" s="70"/>
      <c r="P30" s="70"/>
      <c r="Q30" s="70"/>
      <c r="R30" s="70"/>
      <c r="S30" s="70"/>
      <c r="T30" s="70"/>
      <c r="U30" s="70"/>
      <c r="V30" s="70"/>
      <c r="W30" s="70"/>
      <c r="X30" s="70"/>
      <c r="Y30" s="70"/>
      <c r="Z30" s="70"/>
      <c r="AA30" s="70"/>
      <c r="AB30" s="70"/>
      <c r="AC30" s="70"/>
      <c r="AD30" s="70"/>
    </row>
    <row r="31" spans="1:30" customFormat="1" x14ac:dyDescent="0.3">
      <c r="A31" s="70"/>
      <c r="B31" s="607" t="s">
        <v>528</v>
      </c>
      <c r="C31" s="607" t="s">
        <v>530</v>
      </c>
      <c r="D31" s="615">
        <v>8125.8843151814799</v>
      </c>
      <c r="E31" s="614"/>
      <c r="F31" s="614"/>
      <c r="G31" s="614" t="s">
        <v>500</v>
      </c>
      <c r="H31" s="616">
        <f t="shared" si="1"/>
        <v>8125.8843151814799</v>
      </c>
      <c r="I31" s="70"/>
      <c r="J31" s="70"/>
      <c r="K31" s="70"/>
      <c r="L31" s="70"/>
      <c r="M31" s="70"/>
      <c r="N31" s="70"/>
      <c r="O31" s="70"/>
      <c r="P31" s="70"/>
      <c r="Q31" s="70"/>
      <c r="R31" s="70"/>
      <c r="S31" s="70"/>
      <c r="T31" s="70"/>
      <c r="U31" s="70"/>
      <c r="V31" s="70"/>
      <c r="W31" s="70"/>
      <c r="X31" s="70"/>
      <c r="Y31" s="70"/>
      <c r="Z31" s="70"/>
      <c r="AA31" s="70"/>
      <c r="AB31" s="70"/>
      <c r="AC31" s="70"/>
      <c r="AD31" s="70"/>
    </row>
    <row r="32" spans="1:30" customFormat="1" x14ac:dyDescent="0.3">
      <c r="A32" s="70"/>
      <c r="B32" s="607" t="s">
        <v>528</v>
      </c>
      <c r="C32" s="607" t="s">
        <v>531</v>
      </c>
      <c r="D32" s="614" t="s">
        <v>500</v>
      </c>
      <c r="E32" s="614"/>
      <c r="F32" s="614"/>
      <c r="G32" s="615">
        <v>-30.025571514690998</v>
      </c>
      <c r="H32" s="616">
        <f t="shared" si="1"/>
        <v>0</v>
      </c>
      <c r="I32" s="70"/>
      <c r="J32" s="70"/>
      <c r="K32" s="70"/>
      <c r="L32" s="70"/>
      <c r="M32" s="70"/>
      <c r="N32" s="70"/>
      <c r="O32" s="70"/>
      <c r="P32" s="70"/>
      <c r="Q32" s="70"/>
      <c r="R32" s="70"/>
      <c r="S32" s="70"/>
      <c r="T32" s="70"/>
      <c r="U32" s="70"/>
      <c r="V32" s="70"/>
      <c r="W32" s="70"/>
      <c r="X32" s="70"/>
      <c r="Y32" s="70"/>
      <c r="Z32" s="70"/>
      <c r="AA32" s="70"/>
      <c r="AB32" s="70"/>
      <c r="AC32" s="70"/>
      <c r="AD32" s="70"/>
    </row>
    <row r="33" spans="1:30" customFormat="1" x14ac:dyDescent="0.3">
      <c r="A33" s="70"/>
      <c r="B33" s="607" t="s">
        <v>532</v>
      </c>
      <c r="C33" s="607" t="s">
        <v>533</v>
      </c>
      <c r="D33" s="614" t="s">
        <v>500</v>
      </c>
      <c r="E33" s="614"/>
      <c r="F33" s="614"/>
      <c r="G33" s="615">
        <v>-3854.0546224568102</v>
      </c>
      <c r="H33" s="616">
        <f t="shared" si="1"/>
        <v>0</v>
      </c>
      <c r="I33" s="70"/>
      <c r="J33" s="70"/>
      <c r="K33" s="70"/>
      <c r="L33" s="70"/>
      <c r="M33" s="70"/>
      <c r="N33" s="70"/>
      <c r="O33" s="70"/>
      <c r="P33" s="70"/>
      <c r="Q33" s="70"/>
      <c r="R33" s="70"/>
      <c r="S33" s="70"/>
      <c r="T33" s="70"/>
      <c r="U33" s="70"/>
      <c r="V33" s="70"/>
      <c r="W33" s="70"/>
      <c r="X33" s="70"/>
      <c r="Y33" s="70"/>
      <c r="Z33" s="70"/>
      <c r="AA33" s="70"/>
      <c r="AB33" s="70"/>
      <c r="AC33" s="70"/>
      <c r="AD33" s="70"/>
    </row>
    <row r="34" spans="1:30" customFormat="1" x14ac:dyDescent="0.3">
      <c r="A34" s="70"/>
      <c r="B34" s="607" t="s">
        <v>532</v>
      </c>
      <c r="C34" s="607" t="s">
        <v>534</v>
      </c>
      <c r="D34" s="614" t="s">
        <v>500</v>
      </c>
      <c r="E34" s="614"/>
      <c r="F34" s="614"/>
      <c r="G34" s="615">
        <v>-9700.1265846461793</v>
      </c>
      <c r="H34" s="616">
        <f t="shared" si="1"/>
        <v>0</v>
      </c>
      <c r="I34" s="70"/>
      <c r="J34" s="70"/>
      <c r="K34" s="70"/>
      <c r="L34" s="70"/>
      <c r="M34" s="70"/>
      <c r="N34" s="70"/>
      <c r="O34" s="70"/>
      <c r="P34" s="70"/>
      <c r="Q34" s="70"/>
      <c r="R34" s="70"/>
      <c r="S34" s="70"/>
      <c r="T34" s="70"/>
      <c r="U34" s="70"/>
      <c r="V34" s="70"/>
      <c r="W34" s="70"/>
      <c r="X34" s="70"/>
      <c r="Y34" s="70"/>
      <c r="Z34" s="70"/>
      <c r="AA34" s="70"/>
      <c r="AB34" s="70"/>
      <c r="AC34" s="70"/>
      <c r="AD34" s="70"/>
    </row>
    <row r="35" spans="1:30" customFormat="1" x14ac:dyDescent="0.3">
      <c r="A35" s="70"/>
      <c r="B35" s="607" t="s">
        <v>532</v>
      </c>
      <c r="C35" s="607" t="s">
        <v>535</v>
      </c>
      <c r="D35" s="614" t="s">
        <v>500</v>
      </c>
      <c r="E35" s="614"/>
      <c r="F35" s="614"/>
      <c r="G35" s="615">
        <v>-2263.5915899343399</v>
      </c>
      <c r="H35" s="616">
        <f t="shared" si="1"/>
        <v>0</v>
      </c>
      <c r="I35" s="70"/>
      <c r="J35" s="70"/>
      <c r="K35" s="70"/>
      <c r="L35" s="70"/>
      <c r="M35" s="70"/>
      <c r="N35" s="70"/>
      <c r="O35" s="70"/>
      <c r="P35" s="70"/>
      <c r="Q35" s="70"/>
      <c r="R35" s="70"/>
      <c r="S35" s="70"/>
      <c r="T35" s="70"/>
      <c r="U35" s="70"/>
      <c r="V35" s="70"/>
      <c r="W35" s="70"/>
      <c r="X35" s="70"/>
      <c r="Y35" s="70"/>
      <c r="Z35" s="70"/>
      <c r="AA35" s="70"/>
      <c r="AB35" s="70"/>
      <c r="AC35" s="70"/>
      <c r="AD35" s="70"/>
    </row>
    <row r="36" spans="1:30" customFormat="1" x14ac:dyDescent="0.3">
      <c r="A36" s="70"/>
      <c r="B36" s="607" t="s">
        <v>536</v>
      </c>
      <c r="C36" s="607" t="s">
        <v>537</v>
      </c>
      <c r="D36" s="614" t="s">
        <v>500</v>
      </c>
      <c r="E36" s="614"/>
      <c r="F36" s="614"/>
      <c r="G36" s="615">
        <v>-35.242832560899501</v>
      </c>
      <c r="H36" s="616">
        <f t="shared" si="1"/>
        <v>0</v>
      </c>
      <c r="I36" s="70"/>
      <c r="J36" s="70"/>
      <c r="K36" s="70"/>
      <c r="L36" s="70"/>
      <c r="M36" s="70"/>
      <c r="N36" s="70"/>
      <c r="O36" s="70"/>
      <c r="P36" s="70"/>
      <c r="Q36" s="70"/>
      <c r="R36" s="70"/>
      <c r="S36" s="70"/>
      <c r="T36" s="70"/>
      <c r="U36" s="70"/>
      <c r="V36" s="70"/>
      <c r="W36" s="70"/>
      <c r="X36" s="70"/>
      <c r="Y36" s="70"/>
      <c r="Z36" s="70"/>
      <c r="AA36" s="70"/>
      <c r="AB36" s="70"/>
      <c r="AC36" s="70"/>
      <c r="AD36" s="70"/>
    </row>
    <row r="37" spans="1:30" customFormat="1" x14ac:dyDescent="0.3">
      <c r="A37" s="70"/>
      <c r="B37" s="607" t="s">
        <v>536</v>
      </c>
      <c r="C37" s="607" t="s">
        <v>538</v>
      </c>
      <c r="D37" s="615">
        <v>6187.2517343830596</v>
      </c>
      <c r="E37" s="614"/>
      <c r="F37" s="614"/>
      <c r="G37" s="614" t="s">
        <v>500</v>
      </c>
      <c r="H37" s="616">
        <f t="shared" si="1"/>
        <v>6187.2517343830596</v>
      </c>
      <c r="I37" s="70"/>
      <c r="J37" s="70"/>
      <c r="K37" s="70"/>
      <c r="L37" s="70"/>
      <c r="M37" s="70"/>
      <c r="N37" s="70"/>
      <c r="O37" s="70"/>
      <c r="P37" s="70"/>
      <c r="Q37" s="70"/>
      <c r="R37" s="70"/>
      <c r="S37" s="70"/>
      <c r="T37" s="70"/>
      <c r="U37" s="70"/>
      <c r="V37" s="70"/>
      <c r="W37" s="70"/>
      <c r="X37" s="70"/>
      <c r="Y37" s="70"/>
      <c r="Z37" s="70"/>
      <c r="AA37" s="70"/>
      <c r="AB37" s="70"/>
      <c r="AC37" s="70"/>
      <c r="AD37" s="70"/>
    </row>
    <row r="38" spans="1:30" customFormat="1" x14ac:dyDescent="0.3">
      <c r="A38" s="70"/>
      <c r="B38" s="607" t="s">
        <v>536</v>
      </c>
      <c r="C38" s="607" t="s">
        <v>539</v>
      </c>
      <c r="D38" s="615">
        <v>60.684438100557998</v>
      </c>
      <c r="E38" s="614"/>
      <c r="F38" s="614"/>
      <c r="G38" s="614" t="s">
        <v>500</v>
      </c>
      <c r="H38" s="616">
        <f t="shared" si="1"/>
        <v>60.684438100557998</v>
      </c>
      <c r="I38" s="70"/>
      <c r="J38" s="70"/>
      <c r="K38" s="70"/>
      <c r="L38" s="70"/>
      <c r="M38" s="70"/>
      <c r="N38" s="70"/>
      <c r="O38" s="70"/>
      <c r="P38" s="70"/>
      <c r="Q38" s="70"/>
      <c r="R38" s="70"/>
      <c r="S38" s="70"/>
      <c r="T38" s="70"/>
      <c r="U38" s="70"/>
      <c r="V38" s="70"/>
      <c r="W38" s="70"/>
      <c r="X38" s="70"/>
      <c r="Y38" s="70"/>
      <c r="Z38" s="70"/>
      <c r="AA38" s="70"/>
      <c r="AB38" s="70"/>
      <c r="AC38" s="70"/>
      <c r="AD38" s="70"/>
    </row>
    <row r="39" spans="1:30" customFormat="1" x14ac:dyDescent="0.3">
      <c r="A39" s="70"/>
      <c r="B39" s="607" t="s">
        <v>540</v>
      </c>
      <c r="C39" s="607" t="s">
        <v>541</v>
      </c>
      <c r="D39" s="615">
        <v>0.29437472203092002</v>
      </c>
      <c r="E39" s="617"/>
      <c r="F39" s="617"/>
      <c r="G39" s="614" t="s">
        <v>500</v>
      </c>
      <c r="H39" s="616">
        <f t="shared" si="1"/>
        <v>0.29437472203092002</v>
      </c>
      <c r="I39" s="70"/>
      <c r="J39" s="70"/>
      <c r="K39" s="70"/>
      <c r="L39" s="70"/>
      <c r="M39" s="70"/>
      <c r="N39" s="70"/>
      <c r="O39" s="70"/>
      <c r="P39" s="70"/>
      <c r="Q39" s="70"/>
      <c r="R39" s="70"/>
      <c r="S39" s="70"/>
      <c r="T39" s="70"/>
      <c r="U39" s="70"/>
      <c r="V39" s="70"/>
      <c r="W39" s="70"/>
      <c r="X39" s="70"/>
      <c r="Y39" s="70"/>
      <c r="Z39" s="70"/>
      <c r="AA39" s="70"/>
      <c r="AB39" s="70"/>
      <c r="AC39" s="70"/>
      <c r="AD39" s="70"/>
    </row>
    <row r="40" spans="1:30" customFormat="1" x14ac:dyDescent="0.3">
      <c r="A40" s="70"/>
      <c r="B40" s="607" t="s">
        <v>540</v>
      </c>
      <c r="C40" s="607" t="s">
        <v>542</v>
      </c>
      <c r="D40" s="615">
        <v>298.43407570740197</v>
      </c>
      <c r="E40" s="617"/>
      <c r="F40" s="617"/>
      <c r="G40" s="614" t="s">
        <v>500</v>
      </c>
      <c r="H40" s="616">
        <f t="shared" si="1"/>
        <v>298.43407570740197</v>
      </c>
      <c r="I40" s="70"/>
      <c r="J40" s="70"/>
      <c r="K40" s="70"/>
      <c r="L40" s="70"/>
      <c r="M40" s="70"/>
      <c r="N40" s="70"/>
      <c r="O40" s="70"/>
      <c r="P40" s="70"/>
      <c r="Q40" s="70"/>
      <c r="R40" s="70"/>
      <c r="S40" s="70"/>
      <c r="T40" s="70"/>
      <c r="U40" s="70"/>
      <c r="V40" s="70"/>
      <c r="W40" s="70"/>
      <c r="X40" s="70"/>
      <c r="Y40" s="70"/>
      <c r="Z40" s="70"/>
      <c r="AA40" s="70"/>
      <c r="AB40" s="70"/>
      <c r="AC40" s="70"/>
      <c r="AD40" s="70"/>
    </row>
    <row r="41" spans="1:30" customFormat="1" x14ac:dyDescent="0.3">
      <c r="A41" s="70"/>
      <c r="B41" s="607" t="s">
        <v>543</v>
      </c>
      <c r="C41" s="607" t="s">
        <v>544</v>
      </c>
      <c r="D41" s="615">
        <v>24694.181588628398</v>
      </c>
      <c r="E41" s="617"/>
      <c r="F41" s="617"/>
      <c r="G41" s="614" t="s">
        <v>500</v>
      </c>
      <c r="H41" s="616">
        <f t="shared" si="1"/>
        <v>24694.181588628398</v>
      </c>
      <c r="I41" s="70"/>
      <c r="J41" s="70"/>
      <c r="K41" s="70"/>
      <c r="L41" s="70"/>
      <c r="M41" s="70"/>
      <c r="N41" s="70"/>
      <c r="O41" s="70"/>
      <c r="P41" s="70"/>
      <c r="Q41" s="70"/>
      <c r="R41" s="70"/>
      <c r="S41" s="70"/>
      <c r="T41" s="70"/>
      <c r="U41" s="70"/>
      <c r="V41" s="70"/>
      <c r="W41" s="70"/>
      <c r="X41" s="70"/>
      <c r="Y41" s="70"/>
      <c r="Z41" s="70"/>
      <c r="AA41" s="70"/>
      <c r="AB41" s="70"/>
      <c r="AC41" s="70"/>
      <c r="AD41" s="70"/>
    </row>
    <row r="42" spans="1:30" customFormat="1" ht="15" thickBot="1" x14ac:dyDescent="0.35">
      <c r="A42" s="70"/>
      <c r="B42" s="608" t="s">
        <v>543</v>
      </c>
      <c r="C42" s="608" t="s">
        <v>545</v>
      </c>
      <c r="D42" s="618">
        <v>65057.355901280898</v>
      </c>
      <c r="E42" s="619"/>
      <c r="F42" s="619"/>
      <c r="G42" s="620" t="s">
        <v>500</v>
      </c>
      <c r="H42" s="621">
        <f t="shared" si="1"/>
        <v>65057.355901280898</v>
      </c>
      <c r="I42" s="70"/>
      <c r="J42" s="70"/>
      <c r="K42" s="70"/>
      <c r="L42" s="70"/>
      <c r="M42" s="70"/>
      <c r="N42" s="70"/>
      <c r="O42" s="70"/>
      <c r="P42" s="70"/>
      <c r="Q42" s="70"/>
      <c r="R42" s="70"/>
      <c r="S42" s="70"/>
      <c r="T42" s="70"/>
      <c r="U42" s="70"/>
      <c r="V42" s="70"/>
      <c r="W42" s="70"/>
      <c r="X42" s="70"/>
      <c r="Y42" s="70"/>
      <c r="Z42" s="70"/>
      <c r="AA42" s="70"/>
      <c r="AB42" s="70"/>
      <c r="AC42" s="70"/>
      <c r="AD42" s="70"/>
    </row>
    <row r="43" spans="1:30" x14ac:dyDescent="0.3">
      <c r="B43" s="105"/>
      <c r="C43" s="105"/>
      <c r="D43" s="105"/>
      <c r="E43" s="105"/>
      <c r="F43" s="105"/>
      <c r="G43" s="610" t="s">
        <v>517</v>
      </c>
      <c r="H43" s="609">
        <f>SUM(H25:H42)</f>
        <v>109019.89537494816</v>
      </c>
      <c r="U43" s="116"/>
      <c r="V43" s="116"/>
      <c r="W43" s="116"/>
    </row>
    <row r="44" spans="1:30" ht="15" thickBot="1" x14ac:dyDescent="0.35">
      <c r="B44" s="105"/>
      <c r="C44" s="105"/>
      <c r="D44" s="105"/>
      <c r="E44" s="105"/>
      <c r="F44" s="105"/>
      <c r="G44" s="1053" t="s">
        <v>518</v>
      </c>
      <c r="H44" s="1054">
        <f>SUM(H43/1000000)</f>
        <v>0.10901989537494816</v>
      </c>
      <c r="L44" s="116"/>
    </row>
    <row r="45" spans="1:30" ht="21" x14ac:dyDescent="0.4">
      <c r="B45" s="260" t="s">
        <v>546</v>
      </c>
      <c r="C45" s="546"/>
      <c r="D45" s="105"/>
      <c r="E45" s="105"/>
      <c r="F45" s="105"/>
      <c r="G45" s="622"/>
      <c r="H45" s="105"/>
    </row>
    <row r="46" spans="1:30" ht="15" thickBot="1" x14ac:dyDescent="0.35">
      <c r="B46" s="105"/>
      <c r="C46" s="105"/>
      <c r="D46" s="105"/>
      <c r="E46" s="105"/>
      <c r="F46" s="105"/>
      <c r="G46" s="105"/>
      <c r="H46" s="105"/>
    </row>
    <row r="47" spans="1:30" customFormat="1" ht="15" x14ac:dyDescent="0.35">
      <c r="A47" s="70"/>
      <c r="B47" s="356"/>
      <c r="C47" s="1055"/>
      <c r="D47" s="1267" t="s">
        <v>273</v>
      </c>
      <c r="E47" s="1268"/>
      <c r="F47" s="1268"/>
      <c r="G47" s="1271"/>
      <c r="H47" s="1464" t="s">
        <v>505</v>
      </c>
      <c r="I47" s="70"/>
      <c r="J47" s="70"/>
      <c r="K47" s="70"/>
      <c r="L47" s="70"/>
      <c r="M47" s="70"/>
      <c r="N47" s="70"/>
      <c r="O47" s="70"/>
      <c r="P47" s="70"/>
      <c r="Q47" s="70"/>
      <c r="R47" s="70"/>
      <c r="S47" s="70"/>
      <c r="T47" s="70"/>
      <c r="U47" s="70"/>
      <c r="V47" s="70"/>
      <c r="W47" s="70"/>
      <c r="X47" s="70"/>
      <c r="Y47" s="70"/>
      <c r="Z47" s="70"/>
      <c r="AA47" s="70"/>
      <c r="AB47" s="70"/>
      <c r="AC47" s="70"/>
      <c r="AD47" s="70"/>
    </row>
    <row r="48" spans="1:30" customFormat="1" ht="15" x14ac:dyDescent="0.3">
      <c r="A48" s="70"/>
      <c r="B48" s="1056" t="s">
        <v>275</v>
      </c>
      <c r="C48" s="1057" t="s">
        <v>506</v>
      </c>
      <c r="D48" s="1058" t="s">
        <v>265</v>
      </c>
      <c r="E48" s="1058" t="s">
        <v>266</v>
      </c>
      <c r="F48" s="1058" t="s">
        <v>267</v>
      </c>
      <c r="G48" s="1058" t="s">
        <v>507</v>
      </c>
      <c r="H48" s="1465"/>
      <c r="I48" s="173"/>
      <c r="J48" s="70"/>
      <c r="K48" s="70"/>
      <c r="L48" s="70"/>
      <c r="M48" s="70"/>
      <c r="N48" s="70"/>
      <c r="O48" s="70"/>
      <c r="P48" s="70"/>
      <c r="Q48" s="70"/>
      <c r="R48" s="70"/>
      <c r="S48" s="70"/>
      <c r="T48" s="70"/>
      <c r="U48" s="70"/>
      <c r="V48" s="70"/>
      <c r="W48" s="70"/>
      <c r="X48" s="70"/>
      <c r="Y48" s="70"/>
      <c r="Z48" s="70"/>
      <c r="AA48" s="70"/>
      <c r="AB48" s="70"/>
      <c r="AC48" s="70"/>
      <c r="AD48" s="70"/>
    </row>
    <row r="49" spans="1:30" customFormat="1" ht="15" thickBot="1" x14ac:dyDescent="0.35">
      <c r="A49" s="70"/>
      <c r="B49" s="1059" t="s">
        <v>547</v>
      </c>
      <c r="C49" s="1060" t="s">
        <v>548</v>
      </c>
      <c r="D49" s="1061"/>
      <c r="E49" s="1062">
        <v>0</v>
      </c>
      <c r="F49" s="1061"/>
      <c r="G49" s="1061"/>
      <c r="H49" s="1063">
        <f>SUM(D49:F49)</f>
        <v>0</v>
      </c>
      <c r="I49" s="70"/>
      <c r="J49" s="70"/>
      <c r="K49" s="70"/>
      <c r="L49" s="70"/>
      <c r="M49" s="70"/>
      <c r="N49" s="70"/>
      <c r="O49" s="70"/>
      <c r="P49" s="70"/>
      <c r="Q49" s="70"/>
      <c r="R49" s="70"/>
      <c r="S49" s="70"/>
      <c r="T49" s="70"/>
      <c r="U49" s="70"/>
      <c r="V49" s="70"/>
      <c r="W49" s="70"/>
      <c r="X49" s="70"/>
      <c r="Y49" s="70"/>
      <c r="Z49" s="70"/>
      <c r="AA49" s="70"/>
      <c r="AB49" s="70"/>
      <c r="AC49" s="70"/>
      <c r="AD49" s="70"/>
    </row>
    <row r="50" spans="1:30" x14ac:dyDescent="0.3">
      <c r="B50" s="105"/>
      <c r="C50" s="105"/>
      <c r="D50" s="105"/>
      <c r="E50" s="105"/>
      <c r="F50" s="105"/>
      <c r="G50" s="105"/>
      <c r="H50" s="105"/>
    </row>
    <row r="51" spans="1:30" x14ac:dyDescent="0.3">
      <c r="B51" s="105"/>
      <c r="C51" s="105"/>
      <c r="D51" s="105"/>
      <c r="E51" s="105"/>
      <c r="F51" s="105"/>
      <c r="G51" s="105"/>
      <c r="H51" s="105"/>
    </row>
    <row r="52" spans="1:30" ht="21" x14ac:dyDescent="0.4">
      <c r="B52" s="260" t="s">
        <v>549</v>
      </c>
      <c r="C52" s="546"/>
      <c r="D52" s="105"/>
      <c r="E52" s="105"/>
      <c r="F52" s="105"/>
      <c r="G52" s="105"/>
      <c r="H52" s="105"/>
    </row>
    <row r="53" spans="1:30" ht="15" thickBot="1" x14ac:dyDescent="0.35"/>
    <row r="54" spans="1:30" customFormat="1" ht="15" x14ac:dyDescent="0.35">
      <c r="A54" s="70"/>
      <c r="B54" s="358"/>
      <c r="C54" s="357"/>
      <c r="D54" s="1267" t="s">
        <v>273</v>
      </c>
      <c r="E54" s="1268"/>
      <c r="F54" s="1268"/>
      <c r="G54" s="1271"/>
      <c r="H54" s="1460" t="s">
        <v>505</v>
      </c>
      <c r="I54" s="70"/>
      <c r="J54" s="70"/>
      <c r="K54" s="70"/>
      <c r="L54" s="70"/>
      <c r="M54" s="70"/>
      <c r="N54" s="70"/>
      <c r="O54" s="70"/>
      <c r="P54" s="70"/>
      <c r="Q54" s="70"/>
      <c r="R54" s="70"/>
      <c r="S54" s="70"/>
      <c r="T54" s="70"/>
      <c r="U54" s="70"/>
      <c r="V54" s="70"/>
      <c r="W54" s="70"/>
      <c r="X54" s="70"/>
      <c r="Y54" s="70"/>
      <c r="Z54" s="70"/>
      <c r="AA54" s="70"/>
      <c r="AB54" s="70"/>
      <c r="AC54" s="70"/>
      <c r="AD54" s="70"/>
    </row>
    <row r="55" spans="1:30" customFormat="1" ht="15" x14ac:dyDescent="0.3">
      <c r="A55" s="70"/>
      <c r="B55" s="1056" t="s">
        <v>275</v>
      </c>
      <c r="C55" s="1057" t="s">
        <v>506</v>
      </c>
      <c r="D55" s="1058" t="s">
        <v>265</v>
      </c>
      <c r="E55" s="1064" t="s">
        <v>266</v>
      </c>
      <c r="F55" s="1058" t="s">
        <v>267</v>
      </c>
      <c r="G55" s="1065" t="s">
        <v>507</v>
      </c>
      <c r="H55" s="1461"/>
      <c r="I55" s="70"/>
      <c r="J55" s="70"/>
      <c r="K55" s="70"/>
      <c r="L55" s="70"/>
      <c r="M55" s="70"/>
      <c r="N55" s="70"/>
      <c r="O55" s="70"/>
      <c r="P55" s="70"/>
      <c r="Q55" s="70"/>
      <c r="R55" s="70"/>
      <c r="S55" s="70"/>
      <c r="T55" s="70"/>
      <c r="U55" s="70"/>
      <c r="V55" s="70"/>
      <c r="W55" s="70"/>
      <c r="X55" s="70"/>
      <c r="Y55" s="70"/>
      <c r="Z55" s="70"/>
      <c r="AA55" s="70"/>
      <c r="AB55" s="70"/>
      <c r="AC55" s="70"/>
      <c r="AD55" s="70"/>
    </row>
    <row r="56" spans="1:30" customFormat="1" x14ac:dyDescent="0.3">
      <c r="A56" s="70"/>
      <c r="B56" s="571" t="s">
        <v>550</v>
      </c>
      <c r="C56" s="1066" t="s">
        <v>551</v>
      </c>
      <c r="D56" s="1067"/>
      <c r="E56" s="547"/>
      <c r="F56" s="1068">
        <v>665.14520943105413</v>
      </c>
      <c r="G56" s="547"/>
      <c r="H56" s="1069">
        <f t="shared" ref="H56:H61" si="2">SUM(D56:F56)</f>
        <v>665.14520943105413</v>
      </c>
      <c r="I56" s="116"/>
      <c r="J56" s="70"/>
      <c r="K56" s="70"/>
      <c r="L56" s="70"/>
      <c r="M56" s="70"/>
      <c r="N56" s="70"/>
      <c r="O56" s="70"/>
      <c r="P56" s="70"/>
      <c r="Q56" s="70"/>
      <c r="R56" s="70"/>
      <c r="S56" s="70"/>
      <c r="T56" s="70"/>
      <c r="U56" s="70"/>
      <c r="V56" s="70"/>
      <c r="W56" s="70"/>
      <c r="X56" s="70"/>
      <c r="Y56" s="70"/>
      <c r="Z56" s="70"/>
      <c r="AA56" s="70"/>
      <c r="AB56" s="70"/>
      <c r="AC56" s="70"/>
      <c r="AD56" s="70"/>
    </row>
    <row r="57" spans="1:30" customFormat="1" x14ac:dyDescent="0.3">
      <c r="A57" s="70"/>
      <c r="B57" s="571" t="s">
        <v>511</v>
      </c>
      <c r="C57" s="1066" t="s">
        <v>551</v>
      </c>
      <c r="D57" s="1067"/>
      <c r="E57" s="547"/>
      <c r="F57" s="1068">
        <v>43.22126020867411</v>
      </c>
      <c r="G57" s="547"/>
      <c r="H57" s="602">
        <f t="shared" si="2"/>
        <v>43.22126020867411</v>
      </c>
      <c r="I57" s="116"/>
      <c r="J57" s="70"/>
      <c r="K57" s="70"/>
      <c r="L57" s="70"/>
      <c r="M57" s="70"/>
      <c r="N57" s="70"/>
      <c r="O57" s="70"/>
      <c r="P57" s="70"/>
      <c r="Q57" s="70"/>
      <c r="R57" s="70"/>
      <c r="S57" s="70"/>
      <c r="T57" s="70"/>
      <c r="U57" s="70"/>
      <c r="V57" s="70"/>
      <c r="W57" s="70"/>
      <c r="X57" s="70"/>
      <c r="Y57" s="70"/>
      <c r="Z57" s="70"/>
      <c r="AA57" s="70"/>
      <c r="AB57" s="70"/>
      <c r="AC57" s="70"/>
      <c r="AD57" s="70"/>
    </row>
    <row r="58" spans="1:30" customFormat="1" x14ac:dyDescent="0.3">
      <c r="A58" s="70"/>
      <c r="B58" s="571" t="s">
        <v>552</v>
      </c>
      <c r="C58" s="1066" t="s">
        <v>551</v>
      </c>
      <c r="D58" s="1067"/>
      <c r="E58" s="547"/>
      <c r="F58" s="1068">
        <v>49.823810020965908</v>
      </c>
      <c r="G58" s="547"/>
      <c r="H58" s="602">
        <f t="shared" si="2"/>
        <v>49.823810020965908</v>
      </c>
      <c r="I58" s="70"/>
      <c r="J58" s="70"/>
      <c r="K58" s="70"/>
      <c r="L58" s="70"/>
      <c r="M58" s="70"/>
      <c r="N58" s="70"/>
      <c r="O58" s="70"/>
      <c r="P58" s="70"/>
      <c r="Q58" s="70"/>
      <c r="R58" s="70"/>
      <c r="S58" s="70"/>
      <c r="T58" s="70"/>
      <c r="U58" s="70"/>
      <c r="V58" s="70"/>
      <c r="W58" s="70"/>
      <c r="X58" s="70"/>
      <c r="Y58" s="70"/>
      <c r="Z58" s="70"/>
      <c r="AA58" s="70"/>
      <c r="AB58" s="70"/>
      <c r="AC58" s="70"/>
      <c r="AD58" s="70"/>
    </row>
    <row r="59" spans="1:30" customFormat="1" x14ac:dyDescent="0.3">
      <c r="A59" s="70"/>
      <c r="B59" s="571" t="s">
        <v>516</v>
      </c>
      <c r="C59" s="1066" t="s">
        <v>551</v>
      </c>
      <c r="D59" s="1067"/>
      <c r="E59" s="547"/>
      <c r="F59" s="1068">
        <v>101.51437015864518</v>
      </c>
      <c r="G59" s="547"/>
      <c r="H59" s="602">
        <f t="shared" si="2"/>
        <v>101.51437015864518</v>
      </c>
      <c r="I59" s="70"/>
      <c r="J59" s="70"/>
      <c r="K59" s="70"/>
      <c r="L59" s="70"/>
      <c r="M59" s="70"/>
      <c r="N59" s="70"/>
      <c r="O59" s="70"/>
      <c r="P59" s="70"/>
      <c r="Q59" s="70"/>
      <c r="R59" s="70"/>
      <c r="S59" s="70"/>
      <c r="T59" s="70"/>
      <c r="U59" s="70"/>
      <c r="V59" s="70"/>
      <c r="W59" s="70"/>
      <c r="X59" s="70"/>
      <c r="Y59" s="70"/>
      <c r="Z59" s="70"/>
      <c r="AA59" s="70"/>
      <c r="AB59" s="70"/>
      <c r="AC59" s="70"/>
      <c r="AD59" s="70"/>
    </row>
    <row r="60" spans="1:30" customFormat="1" x14ac:dyDescent="0.3">
      <c r="A60" s="70"/>
      <c r="B60" s="571" t="s">
        <v>553</v>
      </c>
      <c r="C60" s="1066" t="s">
        <v>551</v>
      </c>
      <c r="D60" s="1067"/>
      <c r="E60" s="547"/>
      <c r="F60" s="1068">
        <v>948.50277162013651</v>
      </c>
      <c r="G60" s="547"/>
      <c r="H60" s="602">
        <f t="shared" si="2"/>
        <v>948.50277162013651</v>
      </c>
      <c r="I60" s="70"/>
      <c r="J60" s="70"/>
      <c r="K60" s="70"/>
      <c r="L60" s="70"/>
      <c r="M60" s="70"/>
      <c r="N60" s="70"/>
      <c r="O60" s="70"/>
      <c r="P60" s="70"/>
      <c r="Q60" s="70"/>
      <c r="R60" s="70"/>
      <c r="S60" s="70"/>
      <c r="T60" s="70"/>
      <c r="U60" s="70"/>
      <c r="V60" s="70"/>
      <c r="W60" s="70"/>
      <c r="X60" s="70"/>
      <c r="Y60" s="70"/>
      <c r="Z60" s="70"/>
      <c r="AA60" s="70"/>
      <c r="AB60" s="70"/>
      <c r="AC60" s="70"/>
      <c r="AD60" s="70"/>
    </row>
    <row r="61" spans="1:30" customFormat="1" ht="15" thickBot="1" x14ac:dyDescent="0.35">
      <c r="A61" s="70"/>
      <c r="B61" s="302" t="s">
        <v>554</v>
      </c>
      <c r="C61" s="1070" t="s">
        <v>551</v>
      </c>
      <c r="D61" s="1071"/>
      <c r="E61" s="1072"/>
      <c r="F61" s="1073">
        <v>5087.7767794415386</v>
      </c>
      <c r="G61" s="1072"/>
      <c r="H61" s="603">
        <f t="shared" si="2"/>
        <v>5087.7767794415386</v>
      </c>
      <c r="I61" s="70"/>
      <c r="J61" s="70"/>
      <c r="K61" s="70"/>
      <c r="L61" s="70"/>
      <c r="M61" s="116"/>
      <c r="N61" s="116"/>
      <c r="O61" s="116"/>
      <c r="P61" s="70"/>
      <c r="Q61" s="70"/>
      <c r="R61" s="70"/>
      <c r="S61" s="70"/>
      <c r="T61" s="70"/>
      <c r="U61" s="70"/>
      <c r="V61" s="70"/>
      <c r="W61" s="70"/>
      <c r="X61" s="70"/>
      <c r="Y61" s="70"/>
      <c r="Z61" s="70"/>
      <c r="AA61" s="70"/>
      <c r="AB61" s="70"/>
      <c r="AC61" s="70"/>
      <c r="AD61" s="70"/>
    </row>
    <row r="62" spans="1:30" x14ac:dyDescent="0.3">
      <c r="B62" s="144"/>
      <c r="C62" s="144"/>
      <c r="D62" s="144"/>
      <c r="E62" s="144"/>
      <c r="F62" s="144"/>
      <c r="G62" s="569" t="s">
        <v>517</v>
      </c>
      <c r="H62" s="604">
        <f>SUM(H56:H61)</f>
        <v>6895.9842008810147</v>
      </c>
      <c r="I62" s="255"/>
      <c r="J62" s="255"/>
      <c r="K62" s="255"/>
      <c r="L62" s="255"/>
      <c r="M62" s="255"/>
      <c r="N62" s="255"/>
    </row>
    <row r="63" spans="1:30" ht="15" thickBot="1" x14ac:dyDescent="0.35">
      <c r="B63" s="144"/>
      <c r="C63" s="144"/>
      <c r="D63" s="144"/>
      <c r="E63" s="144"/>
      <c r="F63" s="144"/>
      <c r="G63" s="1053" t="s">
        <v>518</v>
      </c>
      <c r="H63" s="1074">
        <f>SUM(H62/1000000)</f>
        <v>6.8959842008810149E-3</v>
      </c>
      <c r="I63" s="255"/>
      <c r="J63" s="255"/>
      <c r="K63" s="255"/>
      <c r="L63" s="255"/>
      <c r="M63" s="255"/>
      <c r="N63" s="255"/>
    </row>
    <row r="64" spans="1:30" ht="15" thickBot="1" x14ac:dyDescent="0.35">
      <c r="B64" s="144"/>
      <c r="C64" s="144"/>
      <c r="D64" s="144"/>
      <c r="E64" s="144"/>
      <c r="F64" s="144"/>
      <c r="G64" s="139"/>
      <c r="H64" s="568"/>
      <c r="I64" s="255"/>
      <c r="J64" s="255"/>
      <c r="K64" s="255"/>
      <c r="L64" s="255"/>
      <c r="M64" s="255"/>
      <c r="N64" s="255"/>
    </row>
    <row r="65" spans="2:16" ht="15" thickBot="1" x14ac:dyDescent="0.35">
      <c r="B65" s="144"/>
      <c r="C65" s="144"/>
      <c r="D65" s="144"/>
      <c r="E65" s="144"/>
      <c r="F65" s="144"/>
      <c r="G65" s="570" t="s">
        <v>555</v>
      </c>
      <c r="H65" s="605">
        <f>SUM(H25:H42,H9:H18,H56:H61)</f>
        <v>127830.62353149723</v>
      </c>
      <c r="I65" s="255"/>
      <c r="J65" s="255"/>
      <c r="K65" s="255"/>
      <c r="L65" s="255"/>
      <c r="M65" s="255"/>
      <c r="N65" s="255"/>
    </row>
    <row r="66" spans="2:16" x14ac:dyDescent="0.3">
      <c r="G66" s="177"/>
      <c r="P66" s="116"/>
    </row>
    <row r="67" spans="2:16" x14ac:dyDescent="0.3">
      <c r="G67" s="177"/>
      <c r="P67" s="116"/>
    </row>
    <row r="68" spans="2:16" x14ac:dyDescent="0.3">
      <c r="G68" s="177"/>
      <c r="P68" s="116"/>
    </row>
    <row r="105" spans="3:24" x14ac:dyDescent="0.3">
      <c r="E105" s="72"/>
      <c r="F105" s="72"/>
      <c r="G105" s="72"/>
      <c r="H105" s="72"/>
      <c r="I105" s="72"/>
      <c r="J105" s="72"/>
      <c r="K105" s="72"/>
      <c r="L105" s="72"/>
      <c r="M105" s="72"/>
      <c r="N105" s="72"/>
      <c r="O105" s="72"/>
      <c r="P105" s="72"/>
      <c r="Q105" s="72"/>
      <c r="R105" s="72"/>
      <c r="S105" s="72"/>
      <c r="T105" s="72"/>
      <c r="U105" s="72"/>
      <c r="V105" s="72"/>
      <c r="W105" s="72"/>
      <c r="X105" s="72"/>
    </row>
    <row r="106" spans="3:24" x14ac:dyDescent="0.3">
      <c r="E106" s="72"/>
      <c r="F106" s="72"/>
      <c r="G106" s="72"/>
      <c r="H106" s="72"/>
      <c r="I106" s="72"/>
      <c r="J106" s="72"/>
      <c r="K106" s="72"/>
      <c r="L106" s="72"/>
      <c r="M106" s="72"/>
      <c r="N106" s="72"/>
      <c r="O106" s="72"/>
      <c r="P106" s="72"/>
      <c r="Q106" s="72"/>
      <c r="R106" s="72"/>
      <c r="S106" s="72"/>
      <c r="T106" s="72"/>
      <c r="U106" s="72"/>
      <c r="V106" s="72"/>
      <c r="W106" s="72"/>
      <c r="X106" s="72"/>
    </row>
    <row r="107" spans="3:24" x14ac:dyDescent="0.3">
      <c r="C107" s="115"/>
      <c r="D107" s="115"/>
      <c r="E107" s="174"/>
      <c r="F107" s="174"/>
      <c r="G107" s="174"/>
      <c r="H107" s="174"/>
      <c r="I107" s="174"/>
      <c r="J107" s="174"/>
      <c r="K107" s="174"/>
      <c r="L107" s="174"/>
      <c r="M107" s="174"/>
      <c r="N107" s="174"/>
      <c r="O107" s="174"/>
      <c r="P107" s="174"/>
      <c r="Q107" s="174"/>
      <c r="R107" s="174"/>
      <c r="S107" s="174"/>
      <c r="T107" s="174"/>
      <c r="U107" s="174"/>
      <c r="V107" s="174"/>
      <c r="W107" s="174"/>
      <c r="X107" s="174"/>
    </row>
    <row r="108" spans="3:24" x14ac:dyDescent="0.3">
      <c r="C108" s="115"/>
      <c r="D108" s="115"/>
      <c r="E108" s="174"/>
      <c r="F108" s="174"/>
      <c r="G108" s="174"/>
      <c r="H108" s="174"/>
      <c r="I108" s="174"/>
      <c r="J108" s="174"/>
      <c r="K108" s="174"/>
      <c r="L108" s="174"/>
      <c r="M108" s="174"/>
      <c r="N108" s="174"/>
      <c r="O108" s="174"/>
      <c r="P108" s="174"/>
      <c r="Q108" s="174"/>
      <c r="R108" s="174"/>
      <c r="S108" s="174"/>
      <c r="T108" s="174"/>
      <c r="U108" s="174"/>
      <c r="V108" s="174"/>
      <c r="W108" s="174"/>
      <c r="X108" s="174"/>
    </row>
    <row r="110" spans="3:24" x14ac:dyDescent="0.3">
      <c r="E110" s="72"/>
      <c r="F110" s="72"/>
      <c r="G110" s="72"/>
      <c r="H110" s="72"/>
      <c r="I110" s="72"/>
      <c r="J110" s="72"/>
      <c r="K110" s="72"/>
      <c r="L110" s="72"/>
      <c r="M110" s="72"/>
      <c r="N110" s="72"/>
      <c r="O110" s="72"/>
      <c r="P110" s="72"/>
      <c r="Q110" s="72"/>
      <c r="R110" s="72"/>
      <c r="S110" s="72"/>
      <c r="T110" s="72"/>
      <c r="U110" s="72"/>
      <c r="V110" s="72"/>
      <c r="W110" s="72"/>
      <c r="X110" s="72"/>
    </row>
    <row r="111" spans="3:24" x14ac:dyDescent="0.3">
      <c r="E111" s="72"/>
      <c r="F111" s="72"/>
      <c r="G111" s="72"/>
      <c r="H111" s="72"/>
      <c r="I111" s="72"/>
      <c r="J111" s="72"/>
      <c r="K111" s="72"/>
      <c r="L111" s="72"/>
      <c r="M111" s="72"/>
      <c r="N111" s="72"/>
      <c r="O111" s="72"/>
      <c r="P111" s="72"/>
      <c r="Q111" s="72"/>
      <c r="R111" s="72"/>
      <c r="S111" s="72"/>
      <c r="T111" s="72"/>
      <c r="U111" s="72"/>
      <c r="V111" s="72"/>
      <c r="W111" s="72"/>
      <c r="X111" s="72"/>
    </row>
    <row r="112" spans="3:24" x14ac:dyDescent="0.3">
      <c r="C112" s="115"/>
      <c r="D112" s="115"/>
      <c r="E112" s="174"/>
      <c r="F112" s="174"/>
      <c r="G112" s="174"/>
      <c r="H112" s="174"/>
      <c r="I112" s="174"/>
      <c r="J112" s="174"/>
      <c r="K112" s="174"/>
      <c r="L112" s="174"/>
      <c r="M112" s="174"/>
      <c r="N112" s="174"/>
      <c r="O112" s="174"/>
      <c r="P112" s="174"/>
      <c r="Q112" s="174"/>
      <c r="R112" s="174"/>
      <c r="S112" s="174"/>
      <c r="T112" s="174"/>
      <c r="U112" s="174"/>
      <c r="V112" s="174"/>
      <c r="W112" s="174"/>
      <c r="X112" s="174"/>
    </row>
    <row r="117" spans="3:24" x14ac:dyDescent="0.3">
      <c r="E117" s="171"/>
      <c r="F117" s="171"/>
      <c r="G117" s="171"/>
      <c r="H117" s="171"/>
      <c r="I117" s="171"/>
      <c r="J117" s="171"/>
      <c r="K117" s="171"/>
      <c r="L117" s="171"/>
      <c r="M117" s="171"/>
      <c r="N117" s="171"/>
      <c r="O117" s="171"/>
      <c r="P117" s="171"/>
      <c r="Q117" s="171"/>
      <c r="R117" s="171"/>
      <c r="S117" s="171"/>
      <c r="T117" s="171"/>
      <c r="U117" s="171"/>
      <c r="V117" s="171"/>
      <c r="W117" s="171"/>
      <c r="X117" s="171"/>
    </row>
    <row r="118" spans="3:24" x14ac:dyDescent="0.3">
      <c r="E118" s="171"/>
      <c r="F118" s="171"/>
      <c r="G118" s="171"/>
      <c r="H118" s="171"/>
      <c r="I118" s="171"/>
      <c r="J118" s="171"/>
      <c r="K118" s="171"/>
      <c r="L118" s="171"/>
      <c r="M118" s="171"/>
      <c r="N118" s="171"/>
      <c r="O118" s="171"/>
      <c r="P118" s="171"/>
      <c r="Q118" s="171"/>
      <c r="R118" s="171"/>
      <c r="S118" s="171"/>
      <c r="T118" s="171"/>
      <c r="U118" s="171"/>
      <c r="V118" s="171"/>
      <c r="W118" s="171"/>
      <c r="X118" s="171"/>
    </row>
    <row r="119" spans="3:24" x14ac:dyDescent="0.3">
      <c r="C119" s="115"/>
      <c r="D119" s="115"/>
      <c r="E119" s="171"/>
      <c r="F119" s="171"/>
      <c r="G119" s="171"/>
      <c r="H119" s="171"/>
      <c r="I119" s="171"/>
      <c r="J119" s="171"/>
      <c r="K119" s="171"/>
      <c r="L119" s="171"/>
      <c r="M119" s="171"/>
      <c r="N119" s="171"/>
      <c r="O119" s="171"/>
      <c r="P119" s="171"/>
      <c r="Q119" s="171"/>
      <c r="R119" s="171"/>
      <c r="S119" s="171"/>
      <c r="T119" s="171"/>
      <c r="U119" s="171"/>
      <c r="V119" s="171"/>
      <c r="W119" s="171"/>
      <c r="X119" s="171"/>
    </row>
    <row r="120" spans="3:24" x14ac:dyDescent="0.3">
      <c r="C120" s="115"/>
      <c r="D120" s="115"/>
      <c r="E120" s="175"/>
      <c r="F120" s="175"/>
      <c r="G120" s="175"/>
      <c r="H120" s="175"/>
      <c r="I120" s="175"/>
      <c r="J120" s="175"/>
      <c r="K120" s="175"/>
      <c r="L120" s="175"/>
      <c r="M120" s="175"/>
      <c r="N120" s="175"/>
      <c r="O120" s="175"/>
      <c r="P120" s="175"/>
      <c r="Q120" s="175"/>
      <c r="R120" s="175"/>
      <c r="S120" s="175"/>
      <c r="T120" s="175"/>
      <c r="U120" s="175"/>
      <c r="V120" s="175"/>
      <c r="W120" s="175"/>
      <c r="X120" s="175"/>
    </row>
    <row r="122" spans="3:24" x14ac:dyDescent="0.3">
      <c r="E122" s="171"/>
      <c r="F122" s="171"/>
      <c r="G122" s="171"/>
      <c r="H122" s="171"/>
      <c r="I122" s="171"/>
      <c r="J122" s="171"/>
      <c r="K122" s="171"/>
      <c r="L122" s="171"/>
      <c r="M122" s="171"/>
      <c r="N122" s="171"/>
      <c r="O122" s="171"/>
      <c r="P122" s="171"/>
      <c r="Q122" s="171"/>
      <c r="R122" s="171"/>
      <c r="S122" s="171"/>
      <c r="T122" s="171"/>
      <c r="U122" s="171"/>
      <c r="V122" s="171"/>
      <c r="W122" s="171"/>
      <c r="X122" s="171"/>
    </row>
    <row r="123" spans="3:24" x14ac:dyDescent="0.3">
      <c r="E123" s="171"/>
      <c r="F123" s="171"/>
      <c r="G123" s="171"/>
      <c r="H123" s="171"/>
      <c r="I123" s="171"/>
      <c r="J123" s="171"/>
      <c r="K123" s="171"/>
      <c r="L123" s="171"/>
      <c r="M123" s="171"/>
      <c r="N123" s="171"/>
      <c r="O123" s="171"/>
      <c r="P123" s="171"/>
      <c r="Q123" s="171"/>
      <c r="R123" s="171"/>
      <c r="S123" s="171"/>
      <c r="T123" s="171"/>
      <c r="U123" s="171"/>
      <c r="V123" s="171"/>
      <c r="W123" s="171"/>
      <c r="X123" s="171"/>
    </row>
    <row r="124" spans="3:24" x14ac:dyDescent="0.3">
      <c r="C124" s="115"/>
      <c r="D124" s="115"/>
      <c r="E124" s="171"/>
      <c r="F124" s="171"/>
      <c r="G124" s="171"/>
      <c r="H124" s="171"/>
      <c r="I124" s="171"/>
      <c r="J124" s="171"/>
      <c r="K124" s="171"/>
      <c r="L124" s="171"/>
      <c r="M124" s="171"/>
      <c r="N124" s="171"/>
      <c r="O124" s="171"/>
      <c r="P124" s="171"/>
      <c r="Q124" s="171"/>
      <c r="R124" s="171"/>
      <c r="S124" s="171"/>
      <c r="T124" s="171"/>
      <c r="U124" s="171"/>
      <c r="V124" s="171"/>
      <c r="W124" s="171"/>
      <c r="X124" s="171"/>
    </row>
    <row r="127" spans="3:24" x14ac:dyDescent="0.3">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row>
    <row r="128" spans="3:24" x14ac:dyDescent="0.3">
      <c r="E128" s="176"/>
      <c r="F128" s="176"/>
      <c r="G128" s="176"/>
      <c r="H128" s="176"/>
      <c r="I128" s="176"/>
      <c r="J128" s="176"/>
      <c r="K128" s="176"/>
      <c r="L128" s="176"/>
      <c r="M128" s="176"/>
      <c r="N128" s="176"/>
      <c r="O128" s="176"/>
      <c r="P128" s="176"/>
      <c r="Q128" s="176"/>
      <c r="R128" s="176"/>
      <c r="S128" s="176"/>
      <c r="T128" s="176"/>
      <c r="U128" s="176"/>
      <c r="V128" s="176"/>
      <c r="W128" s="176"/>
      <c r="X128" s="176"/>
    </row>
    <row r="129" spans="3:24" x14ac:dyDescent="0.3">
      <c r="E129" s="176"/>
      <c r="F129" s="176"/>
      <c r="G129" s="176"/>
      <c r="H129" s="176"/>
      <c r="I129" s="176"/>
      <c r="J129" s="176"/>
      <c r="K129" s="176"/>
      <c r="L129" s="176"/>
      <c r="M129" s="176"/>
      <c r="N129" s="176"/>
      <c r="O129" s="176"/>
      <c r="P129" s="176"/>
      <c r="Q129" s="176"/>
      <c r="R129" s="176"/>
      <c r="S129" s="176"/>
      <c r="T129" s="176"/>
      <c r="U129" s="176"/>
      <c r="V129" s="176"/>
      <c r="W129" s="176"/>
      <c r="X129" s="176"/>
    </row>
    <row r="130" spans="3:24" x14ac:dyDescent="0.3">
      <c r="E130" s="176"/>
      <c r="F130" s="176"/>
      <c r="G130" s="176"/>
      <c r="H130" s="176"/>
      <c r="I130" s="176"/>
      <c r="J130" s="176"/>
      <c r="K130" s="176"/>
      <c r="L130" s="176"/>
      <c r="M130" s="176"/>
      <c r="N130" s="176"/>
      <c r="O130" s="176"/>
      <c r="P130" s="176"/>
      <c r="Q130" s="176"/>
      <c r="R130" s="176"/>
      <c r="S130" s="176"/>
      <c r="T130" s="176"/>
      <c r="U130" s="176"/>
      <c r="V130" s="176"/>
      <c r="W130" s="176"/>
      <c r="X130" s="176"/>
    </row>
    <row r="131" spans="3:24" x14ac:dyDescent="0.3">
      <c r="E131" s="176"/>
      <c r="F131" s="176"/>
      <c r="G131" s="176"/>
      <c r="H131" s="176"/>
      <c r="I131" s="176"/>
      <c r="J131" s="176"/>
      <c r="K131" s="176"/>
      <c r="L131" s="176"/>
      <c r="M131" s="176"/>
      <c r="N131" s="176"/>
      <c r="O131" s="176"/>
      <c r="P131" s="176"/>
      <c r="Q131" s="176"/>
      <c r="R131" s="176"/>
      <c r="S131" s="176"/>
      <c r="T131" s="176"/>
      <c r="U131" s="176"/>
      <c r="V131" s="176"/>
      <c r="W131" s="176"/>
      <c r="X131" s="176"/>
    </row>
    <row r="132" spans="3:24" x14ac:dyDescent="0.3">
      <c r="C132" s="115"/>
      <c r="D132" s="115"/>
      <c r="E132" s="175"/>
      <c r="F132" s="175"/>
      <c r="G132" s="175"/>
      <c r="H132" s="175"/>
      <c r="I132" s="175"/>
      <c r="J132" s="175"/>
      <c r="K132" s="175"/>
      <c r="L132" s="175"/>
      <c r="M132" s="175"/>
      <c r="N132" s="175"/>
      <c r="O132" s="175"/>
      <c r="P132" s="175"/>
      <c r="Q132" s="175"/>
      <c r="R132" s="175"/>
      <c r="S132" s="175"/>
      <c r="T132" s="175"/>
      <c r="U132" s="175"/>
      <c r="V132" s="175"/>
      <c r="W132" s="175"/>
      <c r="X132" s="175"/>
    </row>
    <row r="133" spans="3:24" x14ac:dyDescent="0.3">
      <c r="E133" s="176"/>
      <c r="F133" s="176"/>
      <c r="G133" s="176"/>
      <c r="H133" s="176"/>
      <c r="I133" s="176"/>
      <c r="J133" s="176"/>
      <c r="K133" s="176"/>
      <c r="L133" s="176"/>
      <c r="M133" s="176"/>
      <c r="N133" s="176"/>
      <c r="O133" s="176"/>
      <c r="P133" s="176"/>
      <c r="Q133" s="176"/>
      <c r="R133" s="176"/>
      <c r="S133" s="176"/>
      <c r="T133" s="176"/>
      <c r="U133" s="176"/>
      <c r="V133" s="176"/>
      <c r="W133" s="176"/>
      <c r="X133" s="176"/>
    </row>
    <row r="134" spans="3:24" x14ac:dyDescent="0.3">
      <c r="E134" s="176"/>
      <c r="F134" s="176"/>
      <c r="G134" s="176"/>
      <c r="H134" s="176"/>
      <c r="I134" s="176"/>
      <c r="J134" s="176"/>
      <c r="K134" s="176"/>
      <c r="L134" s="176"/>
      <c r="M134" s="176"/>
      <c r="N134" s="176"/>
      <c r="O134" s="176"/>
      <c r="P134" s="176"/>
      <c r="Q134" s="176"/>
      <c r="R134" s="176"/>
      <c r="S134" s="176"/>
      <c r="T134" s="176"/>
      <c r="U134" s="176"/>
      <c r="V134" s="176"/>
      <c r="W134" s="176"/>
      <c r="X134" s="176"/>
    </row>
    <row r="135" spans="3:24" x14ac:dyDescent="0.3">
      <c r="E135" s="176"/>
      <c r="F135" s="176"/>
      <c r="G135" s="176"/>
      <c r="H135" s="176"/>
      <c r="I135" s="176"/>
      <c r="J135" s="176"/>
      <c r="K135" s="176"/>
      <c r="L135" s="176"/>
      <c r="M135" s="176"/>
      <c r="N135" s="176"/>
      <c r="O135" s="176"/>
      <c r="P135" s="176"/>
      <c r="Q135" s="176"/>
      <c r="R135" s="176"/>
      <c r="S135" s="176"/>
      <c r="T135" s="176"/>
      <c r="U135" s="176"/>
      <c r="V135" s="176"/>
      <c r="W135" s="176"/>
      <c r="X135" s="176"/>
    </row>
    <row r="136" spans="3:24" x14ac:dyDescent="0.3">
      <c r="C136" s="115"/>
      <c r="D136" s="115"/>
      <c r="E136" s="175"/>
      <c r="F136" s="175"/>
      <c r="G136" s="175"/>
      <c r="H136" s="175"/>
      <c r="I136" s="175"/>
      <c r="J136" s="175"/>
      <c r="K136" s="175"/>
      <c r="L136" s="175"/>
      <c r="M136" s="175"/>
      <c r="N136" s="175"/>
      <c r="O136" s="175"/>
      <c r="P136" s="175"/>
      <c r="Q136" s="175"/>
      <c r="R136" s="175"/>
      <c r="S136" s="175"/>
      <c r="T136" s="175"/>
      <c r="U136" s="175"/>
      <c r="V136" s="175"/>
      <c r="W136" s="175"/>
      <c r="X136" s="175"/>
    </row>
    <row r="137" spans="3:24" x14ac:dyDescent="0.3">
      <c r="E137" s="176"/>
      <c r="F137" s="176"/>
      <c r="G137" s="176"/>
      <c r="H137" s="176"/>
      <c r="I137" s="176"/>
      <c r="J137" s="176"/>
      <c r="K137" s="176"/>
      <c r="L137" s="176"/>
      <c r="M137" s="176"/>
      <c r="N137" s="176"/>
      <c r="O137" s="176"/>
      <c r="P137" s="176"/>
      <c r="Q137" s="176"/>
      <c r="R137" s="176"/>
      <c r="S137" s="176"/>
      <c r="T137" s="176"/>
      <c r="U137" s="176"/>
      <c r="V137" s="176"/>
      <c r="W137" s="176"/>
      <c r="X137" s="176"/>
    </row>
    <row r="138" spans="3:24" x14ac:dyDescent="0.3">
      <c r="E138" s="176"/>
      <c r="F138" s="176"/>
      <c r="G138" s="176"/>
      <c r="H138" s="176"/>
      <c r="I138" s="176"/>
      <c r="J138" s="176"/>
      <c r="K138" s="176"/>
      <c r="L138" s="176"/>
      <c r="M138" s="176"/>
      <c r="N138" s="176"/>
      <c r="O138" s="176"/>
      <c r="P138" s="176"/>
      <c r="Q138" s="176"/>
      <c r="R138" s="176"/>
      <c r="S138" s="176"/>
      <c r="T138" s="176"/>
      <c r="U138" s="176"/>
      <c r="V138" s="176"/>
      <c r="W138" s="176"/>
      <c r="X138" s="176"/>
    </row>
    <row r="139" spans="3:24" x14ac:dyDescent="0.3">
      <c r="E139" s="176"/>
      <c r="F139" s="176"/>
      <c r="G139" s="176"/>
      <c r="H139" s="176"/>
      <c r="I139" s="176"/>
      <c r="J139" s="176"/>
      <c r="K139" s="176"/>
      <c r="L139" s="176"/>
      <c r="M139" s="176"/>
      <c r="N139" s="176"/>
      <c r="O139" s="176"/>
      <c r="P139" s="176"/>
      <c r="Q139" s="176"/>
      <c r="R139" s="176"/>
      <c r="S139" s="176"/>
      <c r="T139" s="176"/>
      <c r="U139" s="176"/>
      <c r="V139" s="176"/>
      <c r="W139" s="176"/>
      <c r="X139" s="176"/>
    </row>
    <row r="140" spans="3:24" x14ac:dyDescent="0.3">
      <c r="E140" s="176"/>
      <c r="F140" s="176"/>
      <c r="G140" s="176"/>
      <c r="H140" s="176"/>
      <c r="I140" s="176"/>
      <c r="J140" s="176"/>
      <c r="K140" s="176"/>
      <c r="L140" s="176"/>
      <c r="M140" s="176"/>
      <c r="N140" s="176"/>
      <c r="O140" s="176"/>
      <c r="P140" s="176"/>
      <c r="Q140" s="176"/>
      <c r="R140" s="176"/>
      <c r="S140" s="176"/>
      <c r="T140" s="176"/>
      <c r="U140" s="176"/>
      <c r="V140" s="176"/>
      <c r="W140" s="176"/>
      <c r="X140" s="176"/>
    </row>
    <row r="141" spans="3:24" x14ac:dyDescent="0.3">
      <c r="E141" s="176"/>
      <c r="F141" s="176"/>
      <c r="G141" s="176"/>
      <c r="H141" s="176"/>
      <c r="I141" s="176"/>
      <c r="J141" s="176"/>
      <c r="K141" s="176"/>
      <c r="L141" s="176"/>
      <c r="M141" s="176"/>
      <c r="N141" s="176"/>
      <c r="O141" s="176"/>
      <c r="P141" s="176"/>
      <c r="Q141" s="176"/>
      <c r="R141" s="176"/>
      <c r="S141" s="176"/>
      <c r="T141" s="176"/>
      <c r="U141" s="176"/>
      <c r="V141" s="176"/>
      <c r="W141" s="176"/>
      <c r="X141" s="176"/>
    </row>
    <row r="142" spans="3:24" x14ac:dyDescent="0.3">
      <c r="E142" s="176"/>
      <c r="F142" s="176"/>
      <c r="G142" s="176"/>
      <c r="H142" s="176"/>
      <c r="I142" s="176"/>
      <c r="J142" s="176"/>
      <c r="K142" s="176"/>
      <c r="L142" s="176"/>
      <c r="M142" s="176"/>
      <c r="N142" s="176"/>
      <c r="O142" s="176"/>
      <c r="P142" s="176"/>
      <c r="Q142" s="176"/>
      <c r="R142" s="176"/>
      <c r="S142" s="176"/>
      <c r="T142" s="176"/>
      <c r="U142" s="176"/>
      <c r="V142" s="176"/>
      <c r="W142" s="176"/>
      <c r="X142" s="176"/>
    </row>
    <row r="143" spans="3:24" x14ac:dyDescent="0.3">
      <c r="E143" s="176"/>
      <c r="F143" s="176"/>
      <c r="G143" s="176"/>
      <c r="H143" s="176"/>
      <c r="I143" s="176"/>
      <c r="J143" s="176"/>
      <c r="K143" s="176"/>
      <c r="L143" s="176"/>
      <c r="M143" s="176"/>
      <c r="N143" s="176"/>
      <c r="O143" s="176"/>
      <c r="P143" s="176"/>
      <c r="Q143" s="176"/>
      <c r="R143" s="176"/>
      <c r="S143" s="176"/>
      <c r="T143" s="176"/>
      <c r="U143" s="176"/>
      <c r="V143" s="176"/>
      <c r="W143" s="176"/>
      <c r="X143" s="176"/>
    </row>
    <row r="144" spans="3:24" x14ac:dyDescent="0.3">
      <c r="E144" s="176"/>
      <c r="F144" s="176"/>
      <c r="G144" s="176"/>
      <c r="H144" s="176"/>
      <c r="I144" s="176"/>
      <c r="J144" s="176"/>
      <c r="K144" s="176"/>
      <c r="L144" s="176"/>
      <c r="M144" s="176"/>
      <c r="N144" s="176"/>
      <c r="O144" s="176"/>
      <c r="P144" s="176"/>
      <c r="Q144" s="176"/>
      <c r="R144" s="176"/>
      <c r="S144" s="176"/>
      <c r="T144" s="176"/>
      <c r="U144" s="176"/>
      <c r="V144" s="176"/>
      <c r="W144" s="176"/>
      <c r="X144" s="176"/>
    </row>
    <row r="145" spans="3:24" x14ac:dyDescent="0.3">
      <c r="E145" s="176"/>
      <c r="F145" s="176"/>
      <c r="G145" s="176"/>
      <c r="H145" s="176"/>
      <c r="I145" s="176"/>
      <c r="J145" s="176"/>
      <c r="K145" s="176"/>
      <c r="L145" s="176"/>
      <c r="M145" s="176"/>
      <c r="N145" s="176"/>
      <c r="O145" s="176"/>
      <c r="P145" s="176"/>
      <c r="Q145" s="176"/>
      <c r="R145" s="176"/>
      <c r="S145" s="176"/>
      <c r="T145" s="176"/>
      <c r="U145" s="176"/>
      <c r="V145" s="176"/>
      <c r="W145" s="176"/>
      <c r="X145" s="176"/>
    </row>
    <row r="146" spans="3:24" x14ac:dyDescent="0.3">
      <c r="E146" s="176"/>
      <c r="F146" s="176"/>
      <c r="G146" s="176"/>
      <c r="H146" s="176"/>
      <c r="I146" s="176"/>
      <c r="J146" s="176"/>
      <c r="K146" s="176"/>
      <c r="L146" s="176"/>
      <c r="M146" s="176"/>
      <c r="N146" s="176"/>
      <c r="O146" s="176"/>
      <c r="P146" s="176"/>
      <c r="Q146" s="176"/>
      <c r="R146" s="176"/>
      <c r="S146" s="176"/>
      <c r="T146" s="176"/>
      <c r="U146" s="176"/>
      <c r="V146" s="176"/>
      <c r="W146" s="176"/>
      <c r="X146" s="176"/>
    </row>
    <row r="147" spans="3:24" x14ac:dyDescent="0.3">
      <c r="E147" s="176"/>
      <c r="F147" s="176"/>
      <c r="G147" s="176"/>
      <c r="H147" s="176"/>
      <c r="I147" s="176"/>
      <c r="J147" s="176"/>
      <c r="K147" s="176"/>
      <c r="L147" s="176"/>
      <c r="M147" s="176"/>
      <c r="N147" s="176"/>
      <c r="O147" s="176"/>
      <c r="P147" s="176"/>
      <c r="Q147" s="176"/>
      <c r="R147" s="176"/>
      <c r="S147" s="176"/>
      <c r="T147" s="176"/>
      <c r="U147" s="176"/>
      <c r="V147" s="176"/>
      <c r="W147" s="176"/>
      <c r="X147" s="176"/>
    </row>
    <row r="148" spans="3:24" x14ac:dyDescent="0.3">
      <c r="C148" s="115"/>
      <c r="D148" s="115"/>
      <c r="E148" s="175"/>
      <c r="F148" s="175"/>
      <c r="G148" s="175"/>
      <c r="H148" s="175"/>
      <c r="I148" s="175"/>
      <c r="J148" s="175"/>
      <c r="K148" s="175"/>
      <c r="L148" s="175"/>
      <c r="M148" s="175"/>
      <c r="N148" s="175"/>
      <c r="O148" s="175"/>
      <c r="P148" s="175"/>
      <c r="Q148" s="175"/>
      <c r="R148" s="175"/>
      <c r="S148" s="175"/>
      <c r="T148" s="175"/>
      <c r="U148" s="175"/>
      <c r="V148" s="175"/>
      <c r="W148" s="175"/>
      <c r="X148" s="175"/>
    </row>
  </sheetData>
  <sheetProtection algorithmName="SHA-512" hashValue="tFAEs9TyC1qMuqg7/HicN6yGPfnqnMlc5k3iNYDUNG9XAtnSfSvoFK71ejV+NWoADIlaYRRbISrCeLXZ8Tm0yA==" saltValue="DGaop8MMuf9i+1mh0QiaiQ==" spinCount="100000" sheet="1"/>
  <mergeCells count="8">
    <mergeCell ref="D54:G54"/>
    <mergeCell ref="H54:H55"/>
    <mergeCell ref="H7:H8"/>
    <mergeCell ref="H23:H24"/>
    <mergeCell ref="D47:G47"/>
    <mergeCell ref="H47:H48"/>
    <mergeCell ref="D7:G7"/>
    <mergeCell ref="D23:G23"/>
  </mergeCells>
  <dataValidations count="1">
    <dataValidation type="list" allowBlank="1" showInputMessage="1" showErrorMessage="1" sqref="B49 B56:B61 B9:C18 B25:B42" xr:uid="{00000000-0002-0000-0A00-00000B000000}">
      <formula1>#REF!</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tabColor theme="4"/>
  </sheetPr>
  <dimension ref="A1:AE271"/>
  <sheetViews>
    <sheetView zoomScale="90" zoomScaleNormal="90" workbookViewId="0"/>
  </sheetViews>
  <sheetFormatPr defaultColWidth="9" defaultRowHeight="14.4" x14ac:dyDescent="0.3"/>
  <cols>
    <col min="1" max="1" width="9" style="70"/>
    <col min="2" max="2" width="19.5546875" style="70" customWidth="1"/>
    <col min="3" max="3" width="21.77734375" style="70" customWidth="1"/>
    <col min="4" max="4" width="17" style="70" customWidth="1"/>
    <col min="5" max="5" width="13.5546875" style="70" customWidth="1"/>
    <col min="6" max="6" width="13.21875" style="70" customWidth="1"/>
    <col min="7" max="8" width="15" style="70" customWidth="1"/>
    <col min="9" max="9" width="11.21875" style="70" customWidth="1"/>
    <col min="10" max="10" width="13.5546875" style="70" bestFit="1" customWidth="1"/>
    <col min="11" max="11" width="14" style="70" customWidth="1"/>
    <col min="12" max="12" width="12" style="70" customWidth="1"/>
    <col min="13" max="13" width="13.88671875" style="70" customWidth="1"/>
    <col min="14" max="14" width="12" style="70" customWidth="1"/>
    <col min="15" max="15" width="13" style="70" customWidth="1"/>
    <col min="16" max="16" width="21" style="70" bestFit="1" customWidth="1"/>
    <col min="17" max="18" width="13.77734375" style="70" bestFit="1" customWidth="1"/>
    <col min="19" max="19" width="12.77734375" style="70" customWidth="1"/>
    <col min="20" max="20" width="13" style="70" bestFit="1" customWidth="1"/>
    <col min="21" max="22" width="13.77734375" style="70" bestFit="1" customWidth="1"/>
    <col min="23" max="23" width="13" style="70" bestFit="1" customWidth="1"/>
    <col min="24" max="25" width="13.77734375" style="70" bestFit="1" customWidth="1"/>
    <col min="26" max="26" width="13" style="70" bestFit="1" customWidth="1"/>
    <col min="27" max="27" width="28" style="70" customWidth="1"/>
    <col min="28" max="30" width="12" style="70" bestFit="1" customWidth="1"/>
    <col min="31" max="32" width="9" style="70" bestFit="1" customWidth="1"/>
    <col min="33" max="16384" width="9" style="70"/>
  </cols>
  <sheetData>
    <row r="1" spans="1:20" s="187" customFormat="1" ht="21" x14ac:dyDescent="0.4">
      <c r="A1" s="259" t="s">
        <v>582</v>
      </c>
      <c r="B1" s="70"/>
      <c r="C1" s="70"/>
      <c r="D1" s="70"/>
    </row>
    <row r="2" spans="1:20" s="187" customFormat="1" ht="15.45" customHeight="1" x14ac:dyDescent="0.3">
      <c r="A2" s="308" t="s">
        <v>583</v>
      </c>
      <c r="B2" s="308"/>
      <c r="C2" s="308"/>
      <c r="D2" s="308"/>
      <c r="T2" s="447"/>
    </row>
    <row r="3" spans="1:20" s="187" customFormat="1" ht="46.5" customHeight="1" x14ac:dyDescent="0.3">
      <c r="A3" s="1228" t="s">
        <v>584</v>
      </c>
      <c r="B3" s="1228"/>
      <c r="C3" s="1228"/>
      <c r="D3" s="1228"/>
      <c r="E3" s="1228"/>
      <c r="F3" s="1228"/>
      <c r="G3" s="1228"/>
      <c r="H3" s="1228"/>
      <c r="I3" s="1228"/>
      <c r="J3" s="1228"/>
      <c r="T3" s="177"/>
    </row>
    <row r="4" spans="1:20" s="187" customFormat="1" x14ac:dyDescent="0.3">
      <c r="A4" s="303"/>
      <c r="B4" s="303"/>
      <c r="C4" s="303"/>
      <c r="D4" s="303"/>
      <c r="E4" s="303"/>
      <c r="F4" s="303"/>
      <c r="G4" s="303"/>
      <c r="H4" s="303"/>
      <c r="I4" s="303"/>
      <c r="J4" s="303"/>
      <c r="T4" s="177"/>
    </row>
    <row r="5" spans="1:20" s="187" customFormat="1" x14ac:dyDescent="0.3">
      <c r="A5" s="173"/>
      <c r="B5" s="173"/>
      <c r="C5" s="173"/>
      <c r="D5" s="173"/>
      <c r="E5" s="371"/>
      <c r="F5" s="371"/>
      <c r="G5" s="371"/>
      <c r="H5" s="371"/>
      <c r="I5" s="371"/>
      <c r="J5" s="371"/>
    </row>
    <row r="6" spans="1:20" s="187" customFormat="1" x14ac:dyDescent="0.3">
      <c r="A6" s="70"/>
      <c r="B6" s="562" t="s">
        <v>585</v>
      </c>
      <c r="C6" s="70"/>
      <c r="D6" s="70"/>
    </row>
    <row r="7" spans="1:20" s="187" customFormat="1" ht="15" thickBot="1" x14ac:dyDescent="0.35">
      <c r="A7" s="70"/>
      <c r="B7" s="70" t="s">
        <v>586</v>
      </c>
      <c r="C7" s="266"/>
      <c r="D7" s="266"/>
    </row>
    <row r="8" spans="1:20" ht="18" customHeight="1" thickBot="1" x14ac:dyDescent="0.4">
      <c r="B8" s="359" t="s">
        <v>506</v>
      </c>
      <c r="C8" s="360" t="s">
        <v>587</v>
      </c>
      <c r="D8" s="360" t="s">
        <v>588</v>
      </c>
      <c r="E8" s="361" t="s">
        <v>589</v>
      </c>
      <c r="F8" s="361" t="s">
        <v>590</v>
      </c>
      <c r="G8" s="361" t="s">
        <v>591</v>
      </c>
      <c r="H8" s="362" t="s">
        <v>592</v>
      </c>
    </row>
    <row r="9" spans="1:20" x14ac:dyDescent="0.3">
      <c r="B9" s="1470" t="s">
        <v>593</v>
      </c>
      <c r="C9" s="1476" t="s">
        <v>594</v>
      </c>
      <c r="D9" s="520" t="s">
        <v>595</v>
      </c>
      <c r="E9" s="521">
        <v>2575.46441</v>
      </c>
      <c r="F9" s="521">
        <v>2570.42</v>
      </c>
      <c r="G9" s="521">
        <v>3.8527999999999998</v>
      </c>
      <c r="H9" s="522">
        <v>1.1916100000000001</v>
      </c>
    </row>
    <row r="10" spans="1:20" x14ac:dyDescent="0.3">
      <c r="B10" s="1471"/>
      <c r="C10" s="1477"/>
      <c r="D10" s="1075" t="s">
        <v>393</v>
      </c>
      <c r="E10" s="1076">
        <v>0.45069999999999999</v>
      </c>
      <c r="F10" s="1076">
        <v>0.44982</v>
      </c>
      <c r="G10" s="1076">
        <v>6.7000000000000002E-4</v>
      </c>
      <c r="H10" s="1077">
        <v>2.0000000000000001E-4</v>
      </c>
    </row>
    <row r="11" spans="1:20" x14ac:dyDescent="0.3">
      <c r="B11" s="1471"/>
      <c r="C11" s="1477"/>
      <c r="D11" s="1075" t="s">
        <v>596</v>
      </c>
      <c r="E11" s="1076">
        <v>0.20269999999999999</v>
      </c>
      <c r="F11" s="1076">
        <v>0.20229</v>
      </c>
      <c r="G11" s="1076">
        <v>3.1E-4</v>
      </c>
      <c r="H11" s="1077">
        <v>1E-4</v>
      </c>
    </row>
    <row r="12" spans="1:20" x14ac:dyDescent="0.3">
      <c r="B12" s="1471"/>
      <c r="C12" s="1478"/>
      <c r="D12" s="1075" t="s">
        <v>597</v>
      </c>
      <c r="E12" s="1076">
        <v>0.18296000000000001</v>
      </c>
      <c r="F12" s="1076">
        <v>0.18259</v>
      </c>
      <c r="G12" s="1076">
        <v>2.7999999999999998E-4</v>
      </c>
      <c r="H12" s="1077">
        <v>9.0000000000000006E-5</v>
      </c>
    </row>
    <row r="13" spans="1:20" x14ac:dyDescent="0.3">
      <c r="B13" s="1471"/>
      <c r="C13" s="1479" t="s">
        <v>598</v>
      </c>
      <c r="D13" s="1075" t="s">
        <v>595</v>
      </c>
      <c r="E13" s="1078">
        <v>2603.3044100000002</v>
      </c>
      <c r="F13" s="1078">
        <v>2598.2600000000002</v>
      </c>
      <c r="G13" s="1078">
        <v>3.8527999999999998</v>
      </c>
      <c r="H13" s="1079">
        <v>1.1916100000000001</v>
      </c>
    </row>
    <row r="14" spans="1:20" x14ac:dyDescent="0.3">
      <c r="B14" s="1471"/>
      <c r="C14" s="1477"/>
      <c r="D14" s="1075" t="s">
        <v>393</v>
      </c>
      <c r="E14" s="1076">
        <v>1.17797</v>
      </c>
      <c r="F14" s="1076">
        <v>1.1756800000000001</v>
      </c>
      <c r="G14" s="1076">
        <v>1.75E-3</v>
      </c>
      <c r="H14" s="1077">
        <v>5.4000000000000001E-4</v>
      </c>
    </row>
    <row r="15" spans="1:20" x14ac:dyDescent="0.3">
      <c r="B15" s="1471"/>
      <c r="C15" s="1477"/>
      <c r="D15" s="1075" t="s">
        <v>596</v>
      </c>
      <c r="E15" s="1076">
        <v>0.20488999999999999</v>
      </c>
      <c r="F15" s="1076">
        <v>0.20448</v>
      </c>
      <c r="G15" s="1076">
        <v>3.1E-4</v>
      </c>
      <c r="H15" s="1077">
        <v>1E-4</v>
      </c>
    </row>
    <row r="16" spans="1:20" x14ac:dyDescent="0.3">
      <c r="B16" s="1471"/>
      <c r="C16" s="1478"/>
      <c r="D16" s="1075" t="s">
        <v>597</v>
      </c>
      <c r="E16" s="1076">
        <v>0.18493999999999999</v>
      </c>
      <c r="F16" s="1076">
        <v>0.18457000000000001</v>
      </c>
      <c r="G16" s="1076">
        <v>2.7999999999999998E-4</v>
      </c>
      <c r="H16" s="1077">
        <v>9.0000000000000006E-5</v>
      </c>
    </row>
    <row r="17" spans="2:11" x14ac:dyDescent="0.3">
      <c r="B17" s="1471"/>
      <c r="C17" s="1479" t="s">
        <v>599</v>
      </c>
      <c r="D17" s="1075" t="s">
        <v>595</v>
      </c>
      <c r="E17" s="1078">
        <v>2939.3609499999998</v>
      </c>
      <c r="F17" s="1078">
        <v>2935.18</v>
      </c>
      <c r="G17" s="1078">
        <v>2.5535999999999999</v>
      </c>
      <c r="H17" s="1079">
        <v>1.6273500000000001</v>
      </c>
    </row>
    <row r="18" spans="2:11" x14ac:dyDescent="0.3">
      <c r="B18" s="1471"/>
      <c r="C18" s="1477"/>
      <c r="D18" s="1075" t="s">
        <v>393</v>
      </c>
      <c r="E18" s="1076">
        <v>1.5571299999999999</v>
      </c>
      <c r="F18" s="1076">
        <v>1.55491</v>
      </c>
      <c r="G18" s="1076">
        <v>1.3600000000000001E-3</v>
      </c>
      <c r="H18" s="1077">
        <v>8.5999999999999998E-4</v>
      </c>
    </row>
    <row r="19" spans="2:11" x14ac:dyDescent="0.3">
      <c r="B19" s="1471"/>
      <c r="C19" s="1477"/>
      <c r="D19" s="1075" t="s">
        <v>596</v>
      </c>
      <c r="E19" s="1076">
        <v>0.23032</v>
      </c>
      <c r="F19" s="1076">
        <v>0.22999</v>
      </c>
      <c r="G19" s="1076">
        <v>2.0000000000000001E-4</v>
      </c>
      <c r="H19" s="1077">
        <v>1.2E-4</v>
      </c>
      <c r="K19" s="177"/>
    </row>
    <row r="20" spans="2:11" x14ac:dyDescent="0.3">
      <c r="B20" s="1471"/>
      <c r="C20" s="1478"/>
      <c r="D20" s="1075" t="s">
        <v>597</v>
      </c>
      <c r="E20" s="1076">
        <v>0.2145</v>
      </c>
      <c r="F20" s="1076">
        <v>0.21418999999999999</v>
      </c>
      <c r="G20" s="1076">
        <v>1.9000000000000001E-4</v>
      </c>
      <c r="H20" s="1077">
        <v>1.2E-4</v>
      </c>
      <c r="K20" s="177"/>
    </row>
    <row r="21" spans="2:11" x14ac:dyDescent="0.3">
      <c r="B21" s="1471"/>
      <c r="C21" s="1479" t="s">
        <v>281</v>
      </c>
      <c r="D21" s="1075" t="s">
        <v>595</v>
      </c>
      <c r="E21" s="1078">
        <v>2575.46441</v>
      </c>
      <c r="F21" s="1078">
        <v>2570.42</v>
      </c>
      <c r="G21" s="1078">
        <v>3.8527999999999998</v>
      </c>
      <c r="H21" s="1079">
        <v>1.1916100000000001</v>
      </c>
      <c r="K21" s="177"/>
    </row>
    <row r="22" spans="2:11" ht="15" customHeight="1" x14ac:dyDescent="0.3">
      <c r="B22" s="1471"/>
      <c r="C22" s="1477"/>
      <c r="D22" s="1075" t="s">
        <v>600</v>
      </c>
      <c r="E22" s="1076">
        <v>2.0667200000000001</v>
      </c>
      <c r="F22" s="1076">
        <v>2.0627</v>
      </c>
      <c r="G22" s="1076">
        <v>3.0699999999999998E-3</v>
      </c>
      <c r="H22" s="1077">
        <v>9.5E-4</v>
      </c>
      <c r="K22" s="177"/>
    </row>
    <row r="23" spans="2:11" x14ac:dyDescent="0.3">
      <c r="B23" s="1471"/>
      <c r="C23" s="1477"/>
      <c r="D23" s="1075" t="s">
        <v>596</v>
      </c>
      <c r="E23" s="1076">
        <v>0.20269999999999999</v>
      </c>
      <c r="F23" s="1076">
        <v>0.20229</v>
      </c>
      <c r="G23" s="1076">
        <v>3.1E-4</v>
      </c>
      <c r="H23" s="1077">
        <v>1E-4</v>
      </c>
    </row>
    <row r="24" spans="2:11" x14ac:dyDescent="0.3">
      <c r="B24" s="1471"/>
      <c r="C24" s="1478"/>
      <c r="D24" s="1075" t="s">
        <v>597</v>
      </c>
      <c r="E24" s="1076">
        <v>0.18296000000000001</v>
      </c>
      <c r="F24" s="1076">
        <v>0.18259</v>
      </c>
      <c r="G24" s="1076">
        <v>2.7999999999999998E-4</v>
      </c>
      <c r="H24" s="1077">
        <v>9.0000000000000006E-5</v>
      </c>
    </row>
    <row r="25" spans="2:11" x14ac:dyDescent="0.3">
      <c r="B25" s="1471"/>
      <c r="C25" s="1480" t="s">
        <v>601</v>
      </c>
      <c r="D25" s="1075" t="s">
        <v>595</v>
      </c>
      <c r="E25" s="1078">
        <v>2603.3044100000002</v>
      </c>
      <c r="F25" s="1078">
        <v>2598.2600000000002</v>
      </c>
      <c r="G25" s="1078">
        <v>3.8527999999999998</v>
      </c>
      <c r="H25" s="1079">
        <v>1.1916100000000001</v>
      </c>
    </row>
    <row r="26" spans="2:11" x14ac:dyDescent="0.3">
      <c r="B26" s="1471"/>
      <c r="C26" s="1481"/>
      <c r="D26" s="1075" t="s">
        <v>600</v>
      </c>
      <c r="E26" s="1076">
        <v>2.0890599999999999</v>
      </c>
      <c r="F26" s="1076">
        <v>2.0850399999999998</v>
      </c>
      <c r="G26" s="1076">
        <v>3.0699999999999998E-3</v>
      </c>
      <c r="H26" s="1077">
        <v>9.5E-4</v>
      </c>
    </row>
    <row r="27" spans="2:11" x14ac:dyDescent="0.3">
      <c r="B27" s="1471"/>
      <c r="C27" s="1481"/>
      <c r="D27" s="1075" t="s">
        <v>596</v>
      </c>
      <c r="E27" s="1076">
        <v>0.20488999999999999</v>
      </c>
      <c r="F27" s="1076">
        <v>0.20448</v>
      </c>
      <c r="G27" s="1076">
        <v>3.1E-4</v>
      </c>
      <c r="H27" s="1077">
        <v>1E-4</v>
      </c>
    </row>
    <row r="28" spans="2:11" x14ac:dyDescent="0.3">
      <c r="B28" s="1471"/>
      <c r="C28" s="1482"/>
      <c r="D28" s="1075" t="s">
        <v>597</v>
      </c>
      <c r="E28" s="1076">
        <v>0.18493999999999999</v>
      </c>
      <c r="F28" s="1076">
        <v>0.18457000000000001</v>
      </c>
      <c r="G28" s="1076">
        <v>2.7999999999999998E-4</v>
      </c>
      <c r="H28" s="1077">
        <v>9.0000000000000006E-5</v>
      </c>
    </row>
    <row r="29" spans="2:11" x14ac:dyDescent="0.3">
      <c r="B29" s="1471"/>
      <c r="C29" s="1479" t="s">
        <v>602</v>
      </c>
      <c r="D29" s="1075" t="s">
        <v>595</v>
      </c>
      <c r="E29" s="1078">
        <v>2578.24647</v>
      </c>
      <c r="F29" s="1078">
        <v>2575.6999999999998</v>
      </c>
      <c r="G29" s="1078">
        <v>1.3104</v>
      </c>
      <c r="H29" s="1079">
        <v>1.23607</v>
      </c>
    </row>
    <row r="30" spans="2:11" x14ac:dyDescent="0.3">
      <c r="B30" s="1471"/>
      <c r="C30" s="1477"/>
      <c r="D30" s="1075" t="s">
        <v>393</v>
      </c>
      <c r="E30" s="1076">
        <v>0.94442000000000004</v>
      </c>
      <c r="F30" s="1076">
        <v>0.94347999999999999</v>
      </c>
      <c r="G30" s="1076">
        <v>4.8000000000000001E-4</v>
      </c>
      <c r="H30" s="1077">
        <v>4.4999999999999999E-4</v>
      </c>
    </row>
    <row r="31" spans="2:11" x14ac:dyDescent="0.3">
      <c r="B31" s="1471"/>
      <c r="C31" s="1477"/>
      <c r="D31" s="1075" t="s">
        <v>596</v>
      </c>
      <c r="E31" s="1076">
        <v>0.19917000000000001</v>
      </c>
      <c r="F31" s="1076">
        <v>0.19897000000000001</v>
      </c>
      <c r="G31" s="1076">
        <v>1E-4</v>
      </c>
      <c r="H31" s="1077">
        <v>1E-4</v>
      </c>
    </row>
    <row r="32" spans="2:11" ht="15" thickBot="1" x14ac:dyDescent="0.35">
      <c r="B32" s="1472"/>
      <c r="C32" s="1483"/>
      <c r="D32" s="1080" t="s">
        <v>597</v>
      </c>
      <c r="E32" s="1081">
        <v>0.18323</v>
      </c>
      <c r="F32" s="1081">
        <v>0.18304999999999999</v>
      </c>
      <c r="G32" s="1081">
        <v>9.0000000000000006E-5</v>
      </c>
      <c r="H32" s="1082">
        <v>9.0000000000000006E-5</v>
      </c>
    </row>
    <row r="33" spans="2:31" x14ac:dyDescent="0.3">
      <c r="B33" s="1470" t="s">
        <v>603</v>
      </c>
      <c r="C33" s="1480" t="s">
        <v>604</v>
      </c>
      <c r="D33" s="520" t="s">
        <v>595</v>
      </c>
      <c r="E33" s="523">
        <v>3193.6948000000002</v>
      </c>
      <c r="F33" s="523">
        <v>3127.67</v>
      </c>
      <c r="G33" s="523">
        <v>39.524799999999999</v>
      </c>
      <c r="H33" s="524">
        <v>26.5</v>
      </c>
      <c r="J33" s="490"/>
    </row>
    <row r="34" spans="2:31" x14ac:dyDescent="0.3">
      <c r="B34" s="1471"/>
      <c r="C34" s="1481"/>
      <c r="D34" s="1075" t="s">
        <v>393</v>
      </c>
      <c r="E34" s="1083">
        <v>2.3311600000000001</v>
      </c>
      <c r="F34" s="1083">
        <v>2.2829700000000002</v>
      </c>
      <c r="G34" s="1083">
        <v>2.8850000000000001E-2</v>
      </c>
      <c r="H34" s="1084">
        <v>1.934E-2</v>
      </c>
      <c r="J34" s="490"/>
    </row>
    <row r="35" spans="2:31" x14ac:dyDescent="0.3">
      <c r="B35" s="1471"/>
      <c r="C35" s="1481"/>
      <c r="D35" s="1075" t="s">
        <v>596</v>
      </c>
      <c r="E35" s="1083">
        <v>0.25666</v>
      </c>
      <c r="F35" s="1083">
        <v>0.25135000000000002</v>
      </c>
      <c r="G35" s="1083">
        <v>3.1800000000000001E-3</v>
      </c>
      <c r="H35" s="1084">
        <v>2.1299999999999999E-3</v>
      </c>
      <c r="J35" s="490"/>
      <c r="AE35" s="177"/>
    </row>
    <row r="36" spans="2:31" x14ac:dyDescent="0.3">
      <c r="B36" s="1471"/>
      <c r="C36" s="1482"/>
      <c r="D36" s="1075" t="s">
        <v>597</v>
      </c>
      <c r="E36" s="1083">
        <v>0.24382000000000001</v>
      </c>
      <c r="F36" s="1083">
        <v>0.23877999999999999</v>
      </c>
      <c r="G36" s="1083">
        <v>3.0100000000000001E-3</v>
      </c>
      <c r="H36" s="1084">
        <v>2.0300000000000001E-3</v>
      </c>
      <c r="J36" s="490"/>
      <c r="AE36" s="177"/>
    </row>
    <row r="37" spans="2:31" x14ac:dyDescent="0.3">
      <c r="B37" s="1471"/>
      <c r="C37" s="1480" t="s">
        <v>605</v>
      </c>
      <c r="D37" s="1075" t="s">
        <v>595</v>
      </c>
      <c r="E37" s="1085">
        <v>3178.3652000000002</v>
      </c>
      <c r="F37" s="1085">
        <v>3149.67</v>
      </c>
      <c r="G37" s="1085">
        <v>2.1951999999999998</v>
      </c>
      <c r="H37" s="1086">
        <v>26.5</v>
      </c>
      <c r="J37" s="490"/>
      <c r="AE37" s="177"/>
    </row>
    <row r="38" spans="2:31" x14ac:dyDescent="0.3">
      <c r="B38" s="1471"/>
      <c r="C38" s="1481"/>
      <c r="D38" s="1075" t="s">
        <v>393</v>
      </c>
      <c r="E38" s="1083">
        <v>2.5426899999999999</v>
      </c>
      <c r="F38" s="1083">
        <v>2.51973</v>
      </c>
      <c r="G38" s="1083">
        <v>1.7600000000000001E-3</v>
      </c>
      <c r="H38" s="1084">
        <v>2.12E-2</v>
      </c>
      <c r="J38" s="490"/>
      <c r="AE38" s="177"/>
    </row>
    <row r="39" spans="2:31" x14ac:dyDescent="0.3">
      <c r="B39" s="1471"/>
      <c r="C39" s="1481"/>
      <c r="D39" s="1075" t="s">
        <v>596</v>
      </c>
      <c r="E39" s="1083">
        <v>0.26061000000000001</v>
      </c>
      <c r="F39" s="1083">
        <v>0.25825999999999999</v>
      </c>
      <c r="G39" s="1083">
        <v>1.8000000000000001E-4</v>
      </c>
      <c r="H39" s="1084">
        <v>2.1700000000000001E-3</v>
      </c>
      <c r="J39" s="490"/>
      <c r="AE39" s="177"/>
    </row>
    <row r="40" spans="2:31" x14ac:dyDescent="0.3">
      <c r="B40" s="1471"/>
      <c r="C40" s="1482"/>
      <c r="D40" s="1075" t="s">
        <v>597</v>
      </c>
      <c r="E40" s="1083">
        <v>0.24757999999999999</v>
      </c>
      <c r="F40" s="1083">
        <v>0.24535000000000001</v>
      </c>
      <c r="G40" s="1083">
        <v>1.7000000000000001E-4</v>
      </c>
      <c r="H40" s="1084">
        <v>2.0600000000000002E-3</v>
      </c>
      <c r="J40" s="490"/>
      <c r="AE40" s="177"/>
    </row>
    <row r="41" spans="2:31" x14ac:dyDescent="0.3">
      <c r="B41" s="1471"/>
      <c r="C41" s="1480" t="s">
        <v>606</v>
      </c>
      <c r="D41" s="1075" t="s">
        <v>595</v>
      </c>
      <c r="E41" s="1085">
        <v>3165.0418100000002</v>
      </c>
      <c r="F41" s="1085">
        <v>3149.67</v>
      </c>
      <c r="G41" s="1085">
        <v>8.4</v>
      </c>
      <c r="H41" s="1086">
        <v>6.9718099999999996</v>
      </c>
      <c r="J41" s="490"/>
      <c r="AE41" s="177"/>
    </row>
    <row r="42" spans="2:31" x14ac:dyDescent="0.3">
      <c r="B42" s="1471"/>
      <c r="C42" s="1481"/>
      <c r="D42" s="1075" t="s">
        <v>393</v>
      </c>
      <c r="E42" s="1083">
        <v>2.5401600000000002</v>
      </c>
      <c r="F42" s="1083">
        <v>2.5278200000000002</v>
      </c>
      <c r="G42" s="1083">
        <v>6.7400000000000003E-3</v>
      </c>
      <c r="H42" s="1084">
        <v>5.5900000000000004E-3</v>
      </c>
      <c r="J42" s="490"/>
      <c r="AE42" s="177"/>
    </row>
    <row r="43" spans="2:31" x14ac:dyDescent="0.3">
      <c r="B43" s="1471"/>
      <c r="C43" s="1481"/>
      <c r="D43" s="1075" t="s">
        <v>596</v>
      </c>
      <c r="E43" s="1083">
        <v>0.25974999999999998</v>
      </c>
      <c r="F43" s="1083">
        <v>0.25849</v>
      </c>
      <c r="G43" s="1083">
        <v>6.8999999999999997E-4</v>
      </c>
      <c r="H43" s="1084">
        <v>5.6999999999999998E-4</v>
      </c>
      <c r="J43" s="490"/>
      <c r="AE43" s="177"/>
    </row>
    <row r="44" spans="2:31" x14ac:dyDescent="0.3">
      <c r="B44" s="1471"/>
      <c r="C44" s="1482"/>
      <c r="D44" s="1075" t="s">
        <v>597</v>
      </c>
      <c r="E44" s="1083">
        <v>0.24676999999999999</v>
      </c>
      <c r="F44" s="1083">
        <v>0.24557000000000001</v>
      </c>
      <c r="G44" s="1083">
        <v>6.6E-4</v>
      </c>
      <c r="H44" s="1084">
        <v>5.4000000000000001E-4</v>
      </c>
      <c r="J44" s="490"/>
      <c r="AE44" s="177"/>
    </row>
    <row r="45" spans="2:31" ht="14.25" customHeight="1" x14ac:dyDescent="0.3">
      <c r="B45" s="1471"/>
      <c r="C45" s="1480" t="s">
        <v>607</v>
      </c>
      <c r="D45" s="1075" t="s">
        <v>595</v>
      </c>
      <c r="E45" s="1085">
        <v>3087.9446200000002</v>
      </c>
      <c r="F45" s="1085">
        <v>3048.71</v>
      </c>
      <c r="G45" s="1085">
        <v>0.34720000000000001</v>
      </c>
      <c r="H45" s="1086">
        <v>38.887419999999999</v>
      </c>
      <c r="J45" s="490"/>
      <c r="AE45" s="177"/>
    </row>
    <row r="46" spans="2:31" x14ac:dyDescent="0.3">
      <c r="B46" s="1471"/>
      <c r="C46" s="1481"/>
      <c r="D46" s="1075" t="s">
        <v>393</v>
      </c>
      <c r="E46" s="1083">
        <v>2.5708199999999999</v>
      </c>
      <c r="F46" s="1083">
        <v>2.5376300000000001</v>
      </c>
      <c r="G46" s="1083">
        <v>2.9E-4</v>
      </c>
      <c r="H46" s="1084">
        <v>3.2899999999999999E-2</v>
      </c>
      <c r="J46" s="490"/>
      <c r="AE46" s="177"/>
    </row>
    <row r="47" spans="2:31" x14ac:dyDescent="0.3">
      <c r="B47" s="1471"/>
      <c r="C47" s="1481"/>
      <c r="D47" s="1075" t="s">
        <v>596</v>
      </c>
      <c r="E47" s="1083">
        <v>0.25952999999999998</v>
      </c>
      <c r="F47" s="1083">
        <v>0.25619999999999998</v>
      </c>
      <c r="G47" s="1083">
        <v>3.0000000000000001E-5</v>
      </c>
      <c r="H47" s="1084">
        <v>3.3E-3</v>
      </c>
      <c r="J47" s="490"/>
      <c r="K47" s="483"/>
      <c r="L47" s="483"/>
      <c r="AE47" s="177"/>
    </row>
    <row r="48" spans="2:31" x14ac:dyDescent="0.3">
      <c r="B48" s="1471"/>
      <c r="C48" s="1482"/>
      <c r="D48" s="1075" t="s">
        <v>597</v>
      </c>
      <c r="E48" s="1083">
        <v>0.24410999999999999</v>
      </c>
      <c r="F48" s="1083">
        <v>0.24098</v>
      </c>
      <c r="G48" s="1083">
        <v>2.0000000000000002E-5</v>
      </c>
      <c r="H48" s="1084">
        <v>3.0999999999999999E-3</v>
      </c>
      <c r="J48" s="490"/>
      <c r="AE48" s="177"/>
    </row>
    <row r="49" spans="2:31" ht="14.25" customHeight="1" x14ac:dyDescent="0.3">
      <c r="B49" s="1471"/>
      <c r="C49" s="1480" t="s">
        <v>608</v>
      </c>
      <c r="D49" s="1075" t="s">
        <v>595</v>
      </c>
      <c r="E49" s="1085">
        <v>3203.9114300000001</v>
      </c>
      <c r="F49" s="1085">
        <v>3164.33</v>
      </c>
      <c r="G49" s="1085">
        <v>0.34720000000000001</v>
      </c>
      <c r="H49" s="1086">
        <v>39.234229999999997</v>
      </c>
      <c r="J49" s="490"/>
      <c r="AE49" s="177"/>
    </row>
    <row r="50" spans="2:31" x14ac:dyDescent="0.3">
      <c r="B50" s="1471"/>
      <c r="C50" s="1481"/>
      <c r="D50" s="1075" t="s">
        <v>393</v>
      </c>
      <c r="E50" s="1083">
        <v>2.6615500000000001</v>
      </c>
      <c r="F50" s="1083">
        <v>2.62818</v>
      </c>
      <c r="G50" s="1083">
        <v>2.9E-4</v>
      </c>
      <c r="H50" s="1084">
        <v>3.3079999999999998E-2</v>
      </c>
      <c r="J50" s="490"/>
      <c r="AE50" s="177"/>
    </row>
    <row r="51" spans="2:31" x14ac:dyDescent="0.3">
      <c r="B51" s="1471"/>
      <c r="C51" s="1481"/>
      <c r="D51" s="1075" t="s">
        <v>596</v>
      </c>
      <c r="E51" s="1083">
        <v>0.26807999999999998</v>
      </c>
      <c r="F51" s="1083">
        <v>0.26474999999999999</v>
      </c>
      <c r="G51" s="1083">
        <v>3.0000000000000001E-5</v>
      </c>
      <c r="H51" s="1084">
        <v>3.3E-3</v>
      </c>
      <c r="J51" s="490"/>
      <c r="AE51" s="177"/>
    </row>
    <row r="52" spans="2:31" x14ac:dyDescent="0.3">
      <c r="B52" s="1471"/>
      <c r="C52" s="1482"/>
      <c r="D52" s="1075" t="s">
        <v>597</v>
      </c>
      <c r="E52" s="1083">
        <v>0.25198999999999999</v>
      </c>
      <c r="F52" s="1083">
        <v>0.24887000000000001</v>
      </c>
      <c r="G52" s="1083">
        <v>2.0000000000000002E-5</v>
      </c>
      <c r="H52" s="1084">
        <v>3.0899999999999999E-3</v>
      </c>
      <c r="J52" s="490"/>
      <c r="AE52" s="177"/>
    </row>
    <row r="53" spans="2:31" x14ac:dyDescent="0.3">
      <c r="B53" s="1471"/>
      <c r="C53" s="1480" t="s">
        <v>609</v>
      </c>
      <c r="D53" s="1075" t="s">
        <v>595</v>
      </c>
      <c r="E53" s="1085">
        <v>3228.8901900000001</v>
      </c>
      <c r="F53" s="1085">
        <v>3216.38</v>
      </c>
      <c r="G53" s="1085">
        <v>5.3872</v>
      </c>
      <c r="H53" s="1086">
        <v>7.1229899999999997</v>
      </c>
      <c r="J53" s="490"/>
      <c r="AE53" s="177"/>
    </row>
    <row r="54" spans="2:31" x14ac:dyDescent="0.3">
      <c r="B54" s="1471"/>
      <c r="C54" s="1481"/>
      <c r="D54" s="1075" t="s">
        <v>393</v>
      </c>
      <c r="E54" s="1083">
        <v>3.1749200000000002</v>
      </c>
      <c r="F54" s="1083">
        <v>3.16262</v>
      </c>
      <c r="G54" s="1083">
        <v>5.3E-3</v>
      </c>
      <c r="H54" s="1084">
        <v>7.0099999999999997E-3</v>
      </c>
      <c r="J54" s="490"/>
      <c r="AE54" s="177"/>
    </row>
    <row r="55" spans="2:31" x14ac:dyDescent="0.3">
      <c r="B55" s="1471"/>
      <c r="C55" s="1481"/>
      <c r="D55" s="1075" t="s">
        <v>596</v>
      </c>
      <c r="E55" s="1083">
        <v>0.28522999999999998</v>
      </c>
      <c r="F55" s="1083">
        <v>0.28412999999999999</v>
      </c>
      <c r="G55" s="1083">
        <v>4.6999999999999999E-4</v>
      </c>
      <c r="H55" s="1084">
        <v>6.3000000000000003E-4</v>
      </c>
      <c r="J55" s="490"/>
      <c r="AE55" s="177"/>
    </row>
    <row r="56" spans="2:31" x14ac:dyDescent="0.3">
      <c r="B56" s="1471"/>
      <c r="C56" s="1482"/>
      <c r="D56" s="1075" t="s">
        <v>597</v>
      </c>
      <c r="E56" s="1083">
        <v>0.26812999999999998</v>
      </c>
      <c r="F56" s="1083">
        <v>0.26708999999999999</v>
      </c>
      <c r="G56" s="1083">
        <v>4.4999999999999999E-4</v>
      </c>
      <c r="H56" s="1084">
        <v>5.9999999999999995E-4</v>
      </c>
      <c r="J56" s="490"/>
      <c r="AE56" s="177"/>
    </row>
    <row r="57" spans="2:31" x14ac:dyDescent="0.3">
      <c r="B57" s="1471"/>
      <c r="C57" s="1480" t="s">
        <v>568</v>
      </c>
      <c r="D57" s="1075" t="s">
        <v>595</v>
      </c>
      <c r="E57" s="1087">
        <v>3226.5785900000001</v>
      </c>
      <c r="F57" s="1087">
        <v>3190</v>
      </c>
      <c r="G57" s="1087">
        <v>3.6848000000000001</v>
      </c>
      <c r="H57" s="1088">
        <v>32.893790000000003</v>
      </c>
      <c r="J57" s="490"/>
      <c r="AE57" s="177"/>
    </row>
    <row r="58" spans="2:31" x14ac:dyDescent="0.3">
      <c r="B58" s="1471"/>
      <c r="C58" s="1481"/>
      <c r="D58" s="1075" t="s">
        <v>393</v>
      </c>
      <c r="E58" s="1087">
        <v>2.7554099999999999</v>
      </c>
      <c r="F58" s="1087">
        <v>2.72417</v>
      </c>
      <c r="G58" s="1087">
        <v>3.15E-3</v>
      </c>
      <c r="H58" s="1088">
        <v>2.809E-2</v>
      </c>
      <c r="J58" s="490"/>
      <c r="AE58" s="177"/>
    </row>
    <row r="59" spans="2:31" x14ac:dyDescent="0.3">
      <c r="B59" s="1471"/>
      <c r="C59" s="1481"/>
      <c r="D59" s="1075" t="s">
        <v>596</v>
      </c>
      <c r="E59" s="1087">
        <v>0.27288000000000001</v>
      </c>
      <c r="F59" s="1087">
        <v>0.26978000000000002</v>
      </c>
      <c r="G59" s="1087">
        <v>3.1E-4</v>
      </c>
      <c r="H59" s="1088">
        <v>2.7799999999999999E-3</v>
      </c>
      <c r="J59" s="490"/>
      <c r="AE59" s="177"/>
    </row>
    <row r="60" spans="2:31" x14ac:dyDescent="0.3">
      <c r="B60" s="1471"/>
      <c r="C60" s="1482"/>
      <c r="D60" s="1075" t="s">
        <v>597</v>
      </c>
      <c r="E60" s="1087">
        <v>0.25650000000000001</v>
      </c>
      <c r="F60" s="1087">
        <v>0.25358999999999998</v>
      </c>
      <c r="G60" s="1087">
        <v>2.9E-4</v>
      </c>
      <c r="H60" s="1088">
        <v>2.6099999999999999E-3</v>
      </c>
      <c r="J60" s="490"/>
      <c r="AE60" s="177"/>
    </row>
    <row r="61" spans="2:31" x14ac:dyDescent="0.3">
      <c r="B61" s="1471"/>
      <c r="C61" s="1480" t="s">
        <v>579</v>
      </c>
      <c r="D61" s="1075" t="s">
        <v>595</v>
      </c>
      <c r="E61" s="1087">
        <v>3180.9999200000002</v>
      </c>
      <c r="F61" s="1087">
        <v>3171.09</v>
      </c>
      <c r="G61" s="1087">
        <v>3.4272</v>
      </c>
      <c r="H61" s="1088">
        <v>6.4827199999999996</v>
      </c>
      <c r="J61" s="490"/>
      <c r="AE61" s="177"/>
    </row>
    <row r="62" spans="2:31" x14ac:dyDescent="0.3">
      <c r="B62" s="1471"/>
      <c r="C62" s="1481"/>
      <c r="D62" s="1075" t="s">
        <v>393</v>
      </c>
      <c r="E62" s="1087">
        <v>2.7493400000000001</v>
      </c>
      <c r="F62" s="1087">
        <v>2.74078</v>
      </c>
      <c r="G62" s="1087">
        <v>2.96E-3</v>
      </c>
      <c r="H62" s="1088">
        <v>5.5999999999999999E-3</v>
      </c>
      <c r="J62" s="490"/>
      <c r="AE62" s="177"/>
    </row>
    <row r="63" spans="2:31" x14ac:dyDescent="0.3">
      <c r="B63" s="1471"/>
      <c r="C63" s="1481"/>
      <c r="D63" s="1075" t="s">
        <v>596</v>
      </c>
      <c r="E63" s="1087">
        <v>0.28100000000000003</v>
      </c>
      <c r="F63" s="1087">
        <v>0.28012999999999999</v>
      </c>
      <c r="G63" s="1087">
        <v>2.9999999999999997E-4</v>
      </c>
      <c r="H63" s="1088">
        <v>5.6999999999999998E-4</v>
      </c>
      <c r="J63" s="490"/>
      <c r="AE63" s="177"/>
    </row>
    <row r="64" spans="2:31" x14ac:dyDescent="0.3">
      <c r="B64" s="1471"/>
      <c r="C64" s="1482"/>
      <c r="D64" s="1075" t="s">
        <v>597</v>
      </c>
      <c r="E64" s="1087">
        <v>0.26413999999999999</v>
      </c>
      <c r="F64" s="1087">
        <v>0.26332</v>
      </c>
      <c r="G64" s="1087">
        <v>2.7999999999999998E-4</v>
      </c>
      <c r="H64" s="1088">
        <v>5.4000000000000001E-4</v>
      </c>
      <c r="J64" s="490"/>
      <c r="AE64" s="177"/>
    </row>
    <row r="65" spans="2:31" x14ac:dyDescent="0.3">
      <c r="B65" s="1471"/>
      <c r="C65" s="1480" t="s">
        <v>580</v>
      </c>
      <c r="D65" s="1075" t="s">
        <v>595</v>
      </c>
      <c r="E65" s="1087">
        <v>3142.3789000000002</v>
      </c>
      <c r="F65" s="1087">
        <v>3131.33</v>
      </c>
      <c r="G65" s="1087">
        <v>3.8191999999999999</v>
      </c>
      <c r="H65" s="1088">
        <v>7.2297000000000002</v>
      </c>
      <c r="J65" s="490"/>
      <c r="AE65" s="177"/>
    </row>
    <row r="66" spans="2:31" x14ac:dyDescent="0.3">
      <c r="B66" s="1471"/>
      <c r="C66" s="1481"/>
      <c r="D66" s="1075" t="s">
        <v>393</v>
      </c>
      <c r="E66" s="1087">
        <v>2.1189399999999998</v>
      </c>
      <c r="F66" s="1087">
        <v>2.1114899999999999</v>
      </c>
      <c r="G66" s="1087">
        <v>2.5799999999999998E-3</v>
      </c>
      <c r="H66" s="1088">
        <v>4.8700000000000002E-3</v>
      </c>
      <c r="J66" s="490"/>
      <c r="AE66" s="177"/>
    </row>
    <row r="67" spans="2:31" x14ac:dyDescent="0.3">
      <c r="B67" s="1471"/>
      <c r="C67" s="1481"/>
      <c r="D67" s="1075" t="s">
        <v>596</v>
      </c>
      <c r="E67" s="1087">
        <v>0.24890999999999999</v>
      </c>
      <c r="F67" s="1087">
        <v>0.24804000000000001</v>
      </c>
      <c r="G67" s="1087">
        <v>2.9999999999999997E-4</v>
      </c>
      <c r="H67" s="1088">
        <v>5.6999999999999998E-4</v>
      </c>
      <c r="J67" s="490"/>
      <c r="AE67" s="177"/>
    </row>
    <row r="68" spans="2:31" x14ac:dyDescent="0.3">
      <c r="B68" s="1471"/>
      <c r="C68" s="1482"/>
      <c r="D68" s="1075" t="s">
        <v>597</v>
      </c>
      <c r="E68" s="1087">
        <v>0.23647000000000001</v>
      </c>
      <c r="F68" s="1087">
        <v>0.23563999999999999</v>
      </c>
      <c r="G68" s="1087">
        <v>2.9E-4</v>
      </c>
      <c r="H68" s="1088">
        <v>5.4000000000000001E-4</v>
      </c>
      <c r="J68" s="490"/>
      <c r="AE68" s="177"/>
    </row>
    <row r="69" spans="2:31" ht="14.25" customHeight="1" x14ac:dyDescent="0.3">
      <c r="B69" s="1471"/>
      <c r="C69" s="1480" t="s">
        <v>610</v>
      </c>
      <c r="D69" s="1075" t="s">
        <v>595</v>
      </c>
      <c r="E69" s="1087">
        <v>2772.9793500000001</v>
      </c>
      <c r="F69" s="1087">
        <v>2754.25</v>
      </c>
      <c r="G69" s="1087">
        <v>10.8416</v>
      </c>
      <c r="H69" s="1088">
        <v>7.8877499999999996</v>
      </c>
      <c r="J69" s="490"/>
      <c r="AE69" s="177"/>
    </row>
    <row r="70" spans="2:31" x14ac:dyDescent="0.3">
      <c r="B70" s="1471"/>
      <c r="C70" s="1481"/>
      <c r="D70" s="1075" t="s">
        <v>393</v>
      </c>
      <c r="E70" s="1087">
        <v>2.0691600000000001</v>
      </c>
      <c r="F70" s="1087">
        <v>2.0552299999999999</v>
      </c>
      <c r="G70" s="1087">
        <v>8.0599999999999995E-3</v>
      </c>
      <c r="H70" s="1088">
        <v>5.8700000000000002E-3</v>
      </c>
      <c r="J70" s="490"/>
      <c r="AE70" s="177"/>
    </row>
    <row r="71" spans="2:31" x14ac:dyDescent="0.3">
      <c r="B71" s="1471"/>
      <c r="C71" s="1481"/>
      <c r="D71" s="1075" t="s">
        <v>596</v>
      </c>
      <c r="E71" s="1087">
        <v>0.23180999999999999</v>
      </c>
      <c r="F71" s="1087">
        <v>0.23025999999999999</v>
      </c>
      <c r="G71" s="1087">
        <v>8.9999999999999998E-4</v>
      </c>
      <c r="H71" s="1088">
        <v>6.4999999999999997E-4</v>
      </c>
      <c r="J71" s="490"/>
      <c r="AE71" s="177"/>
    </row>
    <row r="72" spans="2:31" x14ac:dyDescent="0.3">
      <c r="B72" s="1471"/>
      <c r="C72" s="1482"/>
      <c r="D72" s="1075" t="s">
        <v>597</v>
      </c>
      <c r="E72" s="1087">
        <v>0.21956000000000001</v>
      </c>
      <c r="F72" s="1087">
        <v>0.21811</v>
      </c>
      <c r="G72" s="1087">
        <v>8.4000000000000003E-4</v>
      </c>
      <c r="H72" s="1088">
        <v>6.0999999999999997E-4</v>
      </c>
      <c r="J72" s="490"/>
      <c r="AE72" s="177"/>
    </row>
    <row r="73" spans="2:31" ht="15" customHeight="1" x14ac:dyDescent="0.3">
      <c r="B73" s="1471"/>
      <c r="C73" s="1480" t="s">
        <v>611</v>
      </c>
      <c r="D73" s="1075" t="s">
        <v>595</v>
      </c>
      <c r="E73" s="1087">
        <v>3154.0821299999998</v>
      </c>
      <c r="F73" s="1087">
        <v>3135</v>
      </c>
      <c r="G73" s="1087">
        <v>11.043200000000001</v>
      </c>
      <c r="H73" s="1088">
        <v>8.0389300000000006</v>
      </c>
      <c r="J73" s="490"/>
      <c r="AE73" s="177"/>
    </row>
    <row r="74" spans="2:31" x14ac:dyDescent="0.3">
      <c r="B74" s="1471"/>
      <c r="C74" s="1481"/>
      <c r="D74" s="1075" t="s">
        <v>393</v>
      </c>
      <c r="E74" s="1087">
        <v>2.3398400000000001</v>
      </c>
      <c r="F74" s="1087">
        <v>2.3256700000000001</v>
      </c>
      <c r="G74" s="1087">
        <v>8.2000000000000007E-3</v>
      </c>
      <c r="H74" s="1088">
        <v>5.9699999999999996E-3</v>
      </c>
      <c r="J74" s="490"/>
      <c r="AE74" s="177"/>
    </row>
    <row r="75" spans="2:31" x14ac:dyDescent="0.3">
      <c r="B75" s="1471"/>
      <c r="C75" s="1481"/>
      <c r="D75" s="1075" t="s">
        <v>596</v>
      </c>
      <c r="E75" s="1087">
        <v>0.25430999999999998</v>
      </c>
      <c r="F75" s="1087">
        <v>0.25275999999999998</v>
      </c>
      <c r="G75" s="1087">
        <v>8.9999999999999998E-4</v>
      </c>
      <c r="H75" s="1088">
        <v>6.4999999999999997E-4</v>
      </c>
      <c r="J75" s="490"/>
      <c r="AE75" s="177"/>
    </row>
    <row r="76" spans="2:31" x14ac:dyDescent="0.3">
      <c r="B76" s="1471"/>
      <c r="C76" s="1482"/>
      <c r="D76" s="1075" t="s">
        <v>597</v>
      </c>
      <c r="E76" s="1087">
        <v>0.24159</v>
      </c>
      <c r="F76" s="1087">
        <v>0.24013000000000001</v>
      </c>
      <c r="G76" s="1087">
        <v>8.4999999999999995E-4</v>
      </c>
      <c r="H76" s="1088">
        <v>6.0999999999999997E-4</v>
      </c>
      <c r="J76" s="490"/>
      <c r="AE76" s="177"/>
    </row>
    <row r="77" spans="2:31" x14ac:dyDescent="0.3">
      <c r="B77" s="1471"/>
      <c r="C77" s="1480" t="s">
        <v>612</v>
      </c>
      <c r="D77" s="1075" t="s">
        <v>595</v>
      </c>
      <c r="E77" s="1087">
        <v>3228.8901900000001</v>
      </c>
      <c r="F77" s="1087">
        <v>3216.38</v>
      </c>
      <c r="G77" s="1087">
        <v>5.3872</v>
      </c>
      <c r="H77" s="1088">
        <v>7.1229899999999997</v>
      </c>
      <c r="J77" s="490"/>
      <c r="AE77" s="177"/>
    </row>
    <row r="78" spans="2:31" x14ac:dyDescent="0.3">
      <c r="B78" s="1471"/>
      <c r="C78" s="1481"/>
      <c r="D78" s="1075" t="s">
        <v>393</v>
      </c>
      <c r="E78" s="1087">
        <v>3.1749200000000002</v>
      </c>
      <c r="F78" s="1087">
        <v>3.16262</v>
      </c>
      <c r="G78" s="1087">
        <v>5.3E-3</v>
      </c>
      <c r="H78" s="1088">
        <v>7.0099999999999997E-3</v>
      </c>
      <c r="J78" s="490"/>
      <c r="AE78" s="177"/>
    </row>
    <row r="79" spans="2:31" x14ac:dyDescent="0.3">
      <c r="B79" s="1471"/>
      <c r="C79" s="1481"/>
      <c r="D79" s="1075" t="s">
        <v>596</v>
      </c>
      <c r="E79" s="1087">
        <v>0.28522999999999998</v>
      </c>
      <c r="F79" s="1087">
        <v>0.28412999999999999</v>
      </c>
      <c r="G79" s="1087">
        <v>4.6999999999999999E-4</v>
      </c>
      <c r="H79" s="1088">
        <v>6.3000000000000003E-4</v>
      </c>
      <c r="J79" s="490"/>
      <c r="AE79" s="177"/>
    </row>
    <row r="80" spans="2:31" x14ac:dyDescent="0.3">
      <c r="B80" s="1471"/>
      <c r="C80" s="1482"/>
      <c r="D80" s="1075" t="s">
        <v>597</v>
      </c>
      <c r="E80" s="1087">
        <v>0.26812999999999998</v>
      </c>
      <c r="F80" s="1087">
        <v>0.26708999999999999</v>
      </c>
      <c r="G80" s="1087">
        <v>4.4999999999999999E-4</v>
      </c>
      <c r="H80" s="1088">
        <v>5.9999999999999995E-4</v>
      </c>
      <c r="J80" s="490"/>
      <c r="AE80" s="177"/>
    </row>
    <row r="81" spans="2:31" x14ac:dyDescent="0.3">
      <c r="B81" s="1471"/>
      <c r="C81" s="1480" t="s">
        <v>613</v>
      </c>
      <c r="D81" s="1075" t="s">
        <v>595</v>
      </c>
      <c r="E81" s="1087">
        <v>3226.5785900000001</v>
      </c>
      <c r="F81" s="1087">
        <v>3190</v>
      </c>
      <c r="G81" s="1087">
        <v>3.6848000000000001</v>
      </c>
      <c r="H81" s="1088">
        <v>32.893790000000003</v>
      </c>
      <c r="J81" s="490"/>
      <c r="AE81" s="177"/>
    </row>
    <row r="82" spans="2:31" x14ac:dyDescent="0.3">
      <c r="B82" s="1471"/>
      <c r="C82" s="1481"/>
      <c r="D82" s="1075" t="s">
        <v>393</v>
      </c>
      <c r="E82" s="1087">
        <v>2.7554099999999999</v>
      </c>
      <c r="F82" s="1087">
        <v>2.72417</v>
      </c>
      <c r="G82" s="1087">
        <v>3.15E-3</v>
      </c>
      <c r="H82" s="1088">
        <v>2.809E-2</v>
      </c>
      <c r="J82" s="490"/>
      <c r="AE82" s="177"/>
    </row>
    <row r="83" spans="2:31" x14ac:dyDescent="0.3">
      <c r="B83" s="1471"/>
      <c r="C83" s="1481"/>
      <c r="D83" s="1075" t="s">
        <v>596</v>
      </c>
      <c r="E83" s="1087">
        <v>0.27288000000000001</v>
      </c>
      <c r="F83" s="1087">
        <v>0.26978000000000002</v>
      </c>
      <c r="G83" s="1087">
        <v>3.1E-4</v>
      </c>
      <c r="H83" s="1088">
        <v>2.7799999999999999E-3</v>
      </c>
      <c r="J83" s="490"/>
      <c r="AE83" s="177"/>
    </row>
    <row r="84" spans="2:31" x14ac:dyDescent="0.3">
      <c r="B84" s="1471"/>
      <c r="C84" s="1482"/>
      <c r="D84" s="1075" t="s">
        <v>597</v>
      </c>
      <c r="E84" s="1087">
        <v>0.25650000000000001</v>
      </c>
      <c r="F84" s="1087">
        <v>0.25358999999999998</v>
      </c>
      <c r="G84" s="1087">
        <v>2.9E-4</v>
      </c>
      <c r="H84" s="1088">
        <v>2.6099999999999999E-3</v>
      </c>
      <c r="J84" s="490"/>
      <c r="AE84" s="177"/>
    </row>
    <row r="85" spans="2:31" x14ac:dyDescent="0.3">
      <c r="B85" s="1471"/>
      <c r="C85" s="1480" t="s">
        <v>614</v>
      </c>
      <c r="D85" s="1075" t="s">
        <v>595</v>
      </c>
      <c r="E85" s="1085">
        <v>2944.3209299999999</v>
      </c>
      <c r="F85" s="1085">
        <v>2933.33</v>
      </c>
      <c r="G85" s="1085">
        <v>3.7968000000000002</v>
      </c>
      <c r="H85" s="1086">
        <v>7.1941300000000004</v>
      </c>
      <c r="J85" s="490"/>
      <c r="AE85" s="177"/>
    </row>
    <row r="86" spans="2:31" x14ac:dyDescent="0.3">
      <c r="B86" s="1471"/>
      <c r="C86" s="1481"/>
      <c r="D86" s="1075" t="s">
        <v>393</v>
      </c>
      <c r="E86" s="475"/>
      <c r="F86" s="475"/>
      <c r="G86" s="475"/>
      <c r="H86" s="475"/>
      <c r="J86" s="490"/>
      <c r="AE86" s="177"/>
    </row>
    <row r="87" spans="2:31" x14ac:dyDescent="0.3">
      <c r="B87" s="1471"/>
      <c r="C87" s="1481"/>
      <c r="D87" s="1075" t="s">
        <v>596</v>
      </c>
      <c r="E87" s="1083">
        <v>0.25961000000000001</v>
      </c>
      <c r="F87" s="1083">
        <v>0.25863999999999998</v>
      </c>
      <c r="G87" s="1083">
        <v>3.4000000000000002E-4</v>
      </c>
      <c r="H87" s="1084">
        <v>6.3000000000000003E-4</v>
      </c>
      <c r="J87" s="490"/>
      <c r="AE87" s="177"/>
    </row>
    <row r="88" spans="2:31" x14ac:dyDescent="0.3">
      <c r="B88" s="1471"/>
      <c r="C88" s="1482"/>
      <c r="D88" s="1075" t="s">
        <v>597</v>
      </c>
      <c r="E88" s="1083">
        <v>0.24662999999999999</v>
      </c>
      <c r="F88" s="1083">
        <v>0.24571000000000001</v>
      </c>
      <c r="G88" s="1083">
        <v>3.1E-4</v>
      </c>
      <c r="H88" s="1084">
        <v>5.9999999999999995E-4</v>
      </c>
      <c r="J88" s="490"/>
      <c r="AE88" s="177"/>
    </row>
    <row r="89" spans="2:31" x14ac:dyDescent="0.3">
      <c r="B89" s="1471"/>
      <c r="C89" s="1480" t="s">
        <v>615</v>
      </c>
      <c r="D89" s="1075" t="s">
        <v>595</v>
      </c>
      <c r="E89" s="1085">
        <v>3219.37916</v>
      </c>
      <c r="F89" s="1085">
        <v>3171.09</v>
      </c>
      <c r="G89" s="1085">
        <v>3.5503999999999998</v>
      </c>
      <c r="H89" s="1086">
        <v>44.738759999999999</v>
      </c>
      <c r="J89" s="490"/>
      <c r="AE89" s="177"/>
    </row>
    <row r="90" spans="2:31" x14ac:dyDescent="0.3">
      <c r="B90" s="1471"/>
      <c r="C90" s="1481"/>
      <c r="D90" s="1075" t="s">
        <v>393</v>
      </c>
      <c r="E90" s="1089">
        <v>2.7492399999999999</v>
      </c>
      <c r="F90" s="1089">
        <v>2.7080099999999998</v>
      </c>
      <c r="G90" s="1089">
        <v>3.0200000000000001E-3</v>
      </c>
      <c r="H90" s="1090">
        <v>3.8199999999999998E-2</v>
      </c>
      <c r="J90" s="490"/>
      <c r="AE90" s="177"/>
    </row>
    <row r="91" spans="2:31" x14ac:dyDescent="0.3">
      <c r="B91" s="1471"/>
      <c r="C91" s="1481"/>
      <c r="D91" s="1075" t="s">
        <v>596</v>
      </c>
      <c r="E91" s="1083">
        <v>0.27459</v>
      </c>
      <c r="F91" s="1083">
        <v>0.27046999999999999</v>
      </c>
      <c r="G91" s="1083">
        <v>2.9999999999999997E-4</v>
      </c>
      <c r="H91" s="1084">
        <v>3.81E-3</v>
      </c>
      <c r="J91" s="490"/>
      <c r="AE91" s="177"/>
    </row>
    <row r="92" spans="2:31" x14ac:dyDescent="0.3">
      <c r="B92" s="1471"/>
      <c r="C92" s="1482"/>
      <c r="D92" s="1075" t="s">
        <v>597</v>
      </c>
      <c r="E92" s="1083">
        <v>0.25641000000000003</v>
      </c>
      <c r="F92" s="1083">
        <v>0.25256000000000001</v>
      </c>
      <c r="G92" s="1083">
        <v>2.7999999999999998E-4</v>
      </c>
      <c r="H92" s="1084">
        <v>3.5699999999999998E-3</v>
      </c>
      <c r="J92" s="490"/>
      <c r="AE92" s="177"/>
    </row>
    <row r="93" spans="2:31" x14ac:dyDescent="0.3">
      <c r="B93" s="1471"/>
      <c r="C93" s="1480" t="s">
        <v>616</v>
      </c>
      <c r="D93" s="1075" t="s">
        <v>595</v>
      </c>
      <c r="E93" s="1085">
        <v>3245.3044100000002</v>
      </c>
      <c r="F93" s="1085">
        <v>3205.99</v>
      </c>
      <c r="G93" s="1085">
        <v>0.90720000000000001</v>
      </c>
      <c r="H93" s="1086">
        <v>38.407209999999999</v>
      </c>
      <c r="J93" s="490"/>
      <c r="AE93" s="177"/>
    </row>
    <row r="94" spans="2:31" x14ac:dyDescent="0.3">
      <c r="B94" s="1471"/>
      <c r="C94" s="1481"/>
      <c r="D94" s="1075" t="s">
        <v>393</v>
      </c>
      <c r="E94" s="1083">
        <v>2.7713899999999998</v>
      </c>
      <c r="F94" s="1083">
        <v>2.7378200000000001</v>
      </c>
      <c r="G94" s="1083">
        <v>7.6999999999999996E-4</v>
      </c>
      <c r="H94" s="1084">
        <v>3.2800000000000003E-2</v>
      </c>
      <c r="J94" s="490"/>
      <c r="AE94" s="177"/>
    </row>
    <row r="95" spans="2:31" x14ac:dyDescent="0.3">
      <c r="B95" s="1471"/>
      <c r="C95" s="1481"/>
      <c r="D95" s="1075" t="s">
        <v>596</v>
      </c>
      <c r="E95" s="1083">
        <v>0.27445000000000003</v>
      </c>
      <c r="F95" s="1083">
        <v>0.27112999999999998</v>
      </c>
      <c r="G95" s="1083">
        <v>8.0000000000000007E-5</v>
      </c>
      <c r="H95" s="1084">
        <v>3.2499999999999999E-3</v>
      </c>
      <c r="J95" s="490"/>
      <c r="AE95" s="177"/>
    </row>
    <row r="96" spans="2:31" x14ac:dyDescent="0.3">
      <c r="B96" s="1471"/>
      <c r="C96" s="1482"/>
      <c r="D96" s="1075" t="s">
        <v>597</v>
      </c>
      <c r="E96" s="1083">
        <v>0.25797999999999999</v>
      </c>
      <c r="F96" s="1083">
        <v>0.25485999999999998</v>
      </c>
      <c r="G96" s="1083">
        <v>6.9999999999999994E-5</v>
      </c>
      <c r="H96" s="1084">
        <v>3.0500000000000002E-3</v>
      </c>
      <c r="J96" s="490"/>
      <c r="AE96" s="177"/>
    </row>
    <row r="97" spans="2:31" x14ac:dyDescent="0.3">
      <c r="B97" s="1471"/>
      <c r="C97" s="1480" t="s">
        <v>617</v>
      </c>
      <c r="D97" s="1075" t="s">
        <v>595</v>
      </c>
      <c r="E97" s="1085">
        <v>3154.7533400000002</v>
      </c>
      <c r="F97" s="1085">
        <v>3113.99</v>
      </c>
      <c r="G97" s="1085">
        <v>1.4224000000000001</v>
      </c>
      <c r="H97" s="1086">
        <v>39.340940000000003</v>
      </c>
      <c r="J97" s="490"/>
      <c r="AE97" s="177"/>
    </row>
    <row r="98" spans="2:31" x14ac:dyDescent="0.3">
      <c r="B98" s="1471"/>
      <c r="C98" s="1481"/>
      <c r="D98" s="1075" t="s">
        <v>393</v>
      </c>
      <c r="E98" s="1083">
        <v>3.10202</v>
      </c>
      <c r="F98" s="1083">
        <v>3.0619399999999999</v>
      </c>
      <c r="G98" s="1083">
        <v>1.4E-3</v>
      </c>
      <c r="H98" s="1084">
        <v>3.8679999999999999E-2</v>
      </c>
      <c r="J98" s="490"/>
      <c r="AE98" s="177"/>
    </row>
    <row r="99" spans="2:31" x14ac:dyDescent="0.3">
      <c r="B99" s="1471"/>
      <c r="C99" s="1481"/>
      <c r="D99" s="1075" t="s">
        <v>596</v>
      </c>
      <c r="E99" s="1083">
        <v>0.27868999999999999</v>
      </c>
      <c r="F99" s="1083">
        <v>0.27509</v>
      </c>
      <c r="G99" s="1083">
        <v>1.2E-4</v>
      </c>
      <c r="H99" s="1084">
        <v>3.48E-3</v>
      </c>
      <c r="J99" s="490"/>
      <c r="AE99" s="177"/>
    </row>
    <row r="100" spans="2:31" ht="15" thickBot="1" x14ac:dyDescent="0.35">
      <c r="B100" s="1472"/>
      <c r="C100" s="1486"/>
      <c r="D100" s="1080" t="s">
        <v>597</v>
      </c>
      <c r="E100" s="1091">
        <v>0.26196999999999998</v>
      </c>
      <c r="F100" s="1091">
        <v>0.25857999999999998</v>
      </c>
      <c r="G100" s="1091">
        <v>1.2E-4</v>
      </c>
      <c r="H100" s="1092">
        <v>3.2599999999999999E-3</v>
      </c>
      <c r="J100" s="490"/>
      <c r="AE100" s="177"/>
    </row>
    <row r="101" spans="2:31" x14ac:dyDescent="0.3">
      <c r="B101" s="1487" t="s">
        <v>618</v>
      </c>
      <c r="C101" s="1482" t="s">
        <v>619</v>
      </c>
      <c r="D101" s="1093" t="s">
        <v>595</v>
      </c>
      <c r="E101" s="1094">
        <v>2395.2899400000001</v>
      </c>
      <c r="F101" s="1094">
        <v>2370.7199999999998</v>
      </c>
      <c r="G101" s="1094">
        <v>7.6383999999999999</v>
      </c>
      <c r="H101" s="472">
        <v>16.931539999999998</v>
      </c>
      <c r="AE101" s="177"/>
    </row>
    <row r="102" spans="2:31" x14ac:dyDescent="0.3">
      <c r="B102" s="1471"/>
      <c r="C102" s="1488"/>
      <c r="D102" s="1075" t="s">
        <v>596</v>
      </c>
      <c r="E102" s="1083">
        <v>0.33944000000000002</v>
      </c>
      <c r="F102" s="1083">
        <v>0.33595000000000003</v>
      </c>
      <c r="G102" s="1083">
        <v>1.09E-3</v>
      </c>
      <c r="H102" s="1084">
        <v>2.3999999999999998E-3</v>
      </c>
      <c r="AE102" s="177"/>
    </row>
    <row r="103" spans="2:31" x14ac:dyDescent="0.3">
      <c r="B103" s="1471"/>
      <c r="C103" s="1488"/>
      <c r="D103" s="1075" t="s">
        <v>597</v>
      </c>
      <c r="E103" s="1083">
        <v>0.32246000000000002</v>
      </c>
      <c r="F103" s="1083">
        <v>0.31914999999999999</v>
      </c>
      <c r="G103" s="1083">
        <v>1.0300000000000001E-3</v>
      </c>
      <c r="H103" s="1084">
        <v>2.2799999999999999E-3</v>
      </c>
      <c r="AE103" s="177"/>
    </row>
    <row r="104" spans="2:31" x14ac:dyDescent="0.3">
      <c r="B104" s="1471"/>
      <c r="C104" s="1488" t="s">
        <v>620</v>
      </c>
      <c r="D104" s="1075" t="s">
        <v>595</v>
      </c>
      <c r="E104" s="1085">
        <v>2225.2244799999999</v>
      </c>
      <c r="F104" s="1085">
        <v>2213.33</v>
      </c>
      <c r="G104" s="1085">
        <v>0.67200000000000004</v>
      </c>
      <c r="H104" s="1086">
        <v>11.222479999999999</v>
      </c>
      <c r="AE104" s="177"/>
    </row>
    <row r="105" spans="2:31" x14ac:dyDescent="0.3">
      <c r="B105" s="1471"/>
      <c r="C105" s="1488"/>
      <c r="D105" s="1075" t="s">
        <v>596</v>
      </c>
      <c r="E105" s="1083">
        <v>0.33621000000000001</v>
      </c>
      <c r="F105" s="1083">
        <v>0.33443000000000001</v>
      </c>
      <c r="G105" s="1083">
        <v>1E-4</v>
      </c>
      <c r="H105" s="1084">
        <v>1.6800000000000001E-3</v>
      </c>
      <c r="AE105" s="177"/>
    </row>
    <row r="106" spans="2:31" x14ac:dyDescent="0.3">
      <c r="B106" s="1471"/>
      <c r="C106" s="1488"/>
      <c r="D106" s="1075" t="s">
        <v>597</v>
      </c>
      <c r="E106" s="1083">
        <v>0.31939000000000001</v>
      </c>
      <c r="F106" s="1083">
        <v>0.31769999999999998</v>
      </c>
      <c r="G106" s="1083">
        <v>1E-4</v>
      </c>
      <c r="H106" s="1084">
        <v>1.5900000000000001E-3</v>
      </c>
      <c r="AE106" s="177"/>
    </row>
    <row r="107" spans="2:31" x14ac:dyDescent="0.3">
      <c r="B107" s="1471"/>
      <c r="C107" s="1488" t="s">
        <v>621</v>
      </c>
      <c r="D107" s="1075" t="s">
        <v>595</v>
      </c>
      <c r="E107" s="1085">
        <v>2904.9523399999998</v>
      </c>
      <c r="F107" s="1085">
        <v>2632</v>
      </c>
      <c r="G107" s="1085">
        <v>240.352</v>
      </c>
      <c r="H107" s="1086">
        <v>32.600340000000003</v>
      </c>
      <c r="AE107" s="177"/>
    </row>
    <row r="108" spans="2:31" x14ac:dyDescent="0.3">
      <c r="B108" s="1471"/>
      <c r="C108" s="1488"/>
      <c r="D108" s="1075" t="s">
        <v>596</v>
      </c>
      <c r="E108" s="1083">
        <v>0.36548999999999998</v>
      </c>
      <c r="F108" s="1083">
        <v>0.33115</v>
      </c>
      <c r="G108" s="1083">
        <v>3.024E-2</v>
      </c>
      <c r="H108" s="1084">
        <v>4.1000000000000003E-3</v>
      </c>
      <c r="AE108" s="177"/>
    </row>
    <row r="109" spans="2:31" x14ac:dyDescent="0.3">
      <c r="B109" s="1471"/>
      <c r="C109" s="1488"/>
      <c r="D109" s="1075" t="s">
        <v>597</v>
      </c>
      <c r="E109" s="1083">
        <v>0.34721000000000002</v>
      </c>
      <c r="F109" s="1083">
        <v>0.31458999999999998</v>
      </c>
      <c r="G109" s="1083">
        <v>2.8729999999999999E-2</v>
      </c>
      <c r="H109" s="1084">
        <v>3.8899999999999998E-3</v>
      </c>
      <c r="AE109" s="177"/>
    </row>
    <row r="110" spans="2:31" x14ac:dyDescent="0.3">
      <c r="B110" s="1471"/>
      <c r="C110" s="1488" t="s">
        <v>565</v>
      </c>
      <c r="D110" s="1075" t="s">
        <v>595</v>
      </c>
      <c r="E110" s="1085">
        <v>3164.65002</v>
      </c>
      <c r="F110" s="1085">
        <v>3144.16</v>
      </c>
      <c r="G110" s="1085">
        <v>8.4672000000000001</v>
      </c>
      <c r="H110" s="1086">
        <v>12.022819999999999</v>
      </c>
      <c r="AE110" s="177"/>
    </row>
    <row r="111" spans="2:31" x14ac:dyDescent="0.3">
      <c r="B111" s="1471"/>
      <c r="C111" s="1488"/>
      <c r="D111" s="1075" t="s">
        <v>596</v>
      </c>
      <c r="E111" s="1083">
        <v>0.37674999999999997</v>
      </c>
      <c r="F111" s="1083">
        <v>0.37430999999999998</v>
      </c>
      <c r="G111" s="1083">
        <v>1.01E-3</v>
      </c>
      <c r="H111" s="1084">
        <v>1.4300000000000001E-3</v>
      </c>
      <c r="AE111" s="177"/>
    </row>
    <row r="112" spans="2:31" x14ac:dyDescent="0.3">
      <c r="B112" s="1471"/>
      <c r="C112" s="1488"/>
      <c r="D112" s="1075" t="s">
        <v>597</v>
      </c>
      <c r="E112" s="1083">
        <v>0.3579</v>
      </c>
      <c r="F112" s="1083">
        <v>0.35559000000000002</v>
      </c>
      <c r="G112" s="1083">
        <v>9.5E-4</v>
      </c>
      <c r="H112" s="1084">
        <v>1.3600000000000001E-3</v>
      </c>
      <c r="AE112" s="177"/>
    </row>
    <row r="113" spans="2:31" x14ac:dyDescent="0.3">
      <c r="B113" s="1471"/>
      <c r="C113" s="1488" t="s">
        <v>581</v>
      </c>
      <c r="D113" s="1075" t="s">
        <v>595</v>
      </c>
      <c r="E113" s="1085">
        <v>3386.57168</v>
      </c>
      <c r="F113" s="1085">
        <v>3377.05</v>
      </c>
      <c r="G113" s="1085">
        <v>3.8304</v>
      </c>
      <c r="H113" s="1086">
        <v>5.6912799999999999</v>
      </c>
      <c r="AE113" s="177"/>
    </row>
    <row r="114" spans="2:31" x14ac:dyDescent="0.3">
      <c r="B114" s="1471"/>
      <c r="C114" s="1488"/>
      <c r="D114" s="1075" t="s">
        <v>596</v>
      </c>
      <c r="E114" s="1083">
        <v>0.35887000000000002</v>
      </c>
      <c r="F114" s="1083">
        <v>0.35786000000000001</v>
      </c>
      <c r="G114" s="1083">
        <v>4.0000000000000002E-4</v>
      </c>
      <c r="H114" s="1084">
        <v>5.9999999999999995E-4</v>
      </c>
      <c r="AE114" s="177"/>
    </row>
    <row r="115" spans="2:31" x14ac:dyDescent="0.3">
      <c r="B115" s="1471"/>
      <c r="C115" s="1488"/>
      <c r="D115" s="1075" t="s">
        <v>597</v>
      </c>
      <c r="E115" s="1083">
        <v>0.34092</v>
      </c>
      <c r="F115" s="1083">
        <v>0.33996999999999999</v>
      </c>
      <c r="G115" s="1083">
        <v>3.8000000000000002E-4</v>
      </c>
      <c r="H115" s="1084">
        <v>5.6999999999999998E-4</v>
      </c>
      <c r="AE115" s="177"/>
    </row>
    <row r="116" spans="2:31" x14ac:dyDescent="0.3">
      <c r="B116" s="1471"/>
      <c r="C116" s="1488" t="s">
        <v>622</v>
      </c>
      <c r="D116" s="1075" t="s">
        <v>595</v>
      </c>
      <c r="E116" s="1085">
        <v>2221.7467000000001</v>
      </c>
      <c r="F116" s="1085">
        <v>2209.87</v>
      </c>
      <c r="G116" s="1085">
        <v>0.67200000000000004</v>
      </c>
      <c r="H116" s="1086">
        <v>11.204700000000001</v>
      </c>
      <c r="AE116" s="177"/>
    </row>
    <row r="117" spans="2:31" x14ac:dyDescent="0.3">
      <c r="B117" s="1471"/>
      <c r="C117" s="1491"/>
      <c r="D117" s="1075" t="s">
        <v>596</v>
      </c>
      <c r="E117" s="1083">
        <v>0.33621000000000001</v>
      </c>
      <c r="F117" s="1083">
        <v>0.33443000000000001</v>
      </c>
      <c r="G117" s="1083">
        <v>1E-4</v>
      </c>
      <c r="H117" s="1084">
        <v>1.6800000000000001E-3</v>
      </c>
      <c r="AE117" s="177"/>
    </row>
    <row r="118" spans="2:31" ht="15" thickBot="1" x14ac:dyDescent="0.35">
      <c r="B118" s="1472"/>
      <c r="C118" s="1492"/>
      <c r="D118" s="1080" t="s">
        <v>597</v>
      </c>
      <c r="E118" s="1091">
        <v>0.31939000000000001</v>
      </c>
      <c r="F118" s="1091">
        <v>0.31769999999999998</v>
      </c>
      <c r="G118" s="1091">
        <v>1E-4</v>
      </c>
      <c r="H118" s="1092">
        <v>1.5900000000000001E-3</v>
      </c>
      <c r="AE118" s="177"/>
    </row>
    <row r="119" spans="2:31" x14ac:dyDescent="0.3">
      <c r="B119" s="369"/>
      <c r="C119" s="370"/>
      <c r="D119" s="177"/>
      <c r="E119" s="275"/>
      <c r="F119" s="275"/>
      <c r="G119" s="275"/>
      <c r="H119" s="275"/>
      <c r="AE119" s="177"/>
    </row>
    <row r="120" spans="2:31" x14ac:dyDescent="0.3">
      <c r="B120" s="562" t="s">
        <v>623</v>
      </c>
      <c r="AE120" s="177"/>
    </row>
    <row r="121" spans="2:31" ht="15" thickBot="1" x14ac:dyDescent="0.35">
      <c r="B121" s="70" t="s">
        <v>624</v>
      </c>
      <c r="AE121" s="177"/>
    </row>
    <row r="122" spans="2:31" ht="15.6" x14ac:dyDescent="0.35">
      <c r="B122" s="365" t="s">
        <v>506</v>
      </c>
      <c r="C122" s="525" t="s">
        <v>625</v>
      </c>
      <c r="D122" s="525" t="s">
        <v>588</v>
      </c>
      <c r="E122" s="525" t="s">
        <v>589</v>
      </c>
      <c r="F122" s="525" t="s">
        <v>590</v>
      </c>
      <c r="G122" s="525" t="s">
        <v>591</v>
      </c>
      <c r="H122" s="526" t="s">
        <v>592</v>
      </c>
      <c r="AE122" s="177"/>
    </row>
    <row r="123" spans="2:31" x14ac:dyDescent="0.3">
      <c r="B123" s="1095" t="s">
        <v>626</v>
      </c>
      <c r="C123" s="1075" t="s">
        <v>627</v>
      </c>
      <c r="D123" s="1075" t="s">
        <v>245</v>
      </c>
      <c r="E123" s="1096">
        <f>SUM(F123:H123)</f>
        <v>0.17701</v>
      </c>
      <c r="F123" s="1096">
        <v>0.17488999999999999</v>
      </c>
      <c r="G123" s="1096">
        <v>8.9999999999999998E-4</v>
      </c>
      <c r="H123" s="1097">
        <v>1.2199999999999999E-3</v>
      </c>
      <c r="AE123" s="177"/>
    </row>
    <row r="124" spans="2:31" ht="15" thickBot="1" x14ac:dyDescent="0.35">
      <c r="B124" s="363" t="s">
        <v>628</v>
      </c>
      <c r="C124" s="1098" t="s">
        <v>627</v>
      </c>
      <c r="D124" s="1098" t="s">
        <v>245</v>
      </c>
      <c r="E124" s="1099">
        <v>1.8530000000000001E-2</v>
      </c>
      <c r="F124" s="1099">
        <v>1.8339999999999999E-2</v>
      </c>
      <c r="G124" s="1099">
        <v>8.0000000000000007E-5</v>
      </c>
      <c r="H124" s="467">
        <v>1.1E-4</v>
      </c>
      <c r="AE124" s="177"/>
    </row>
    <row r="125" spans="2:31" x14ac:dyDescent="0.3">
      <c r="B125" s="265"/>
      <c r="C125" s="177"/>
      <c r="D125" s="177"/>
      <c r="E125" s="177"/>
      <c r="F125" s="177"/>
      <c r="G125" s="177"/>
      <c r="H125" s="177"/>
      <c r="J125" s="516"/>
      <c r="AE125" s="177"/>
    </row>
    <row r="126" spans="2:31" x14ac:dyDescent="0.3">
      <c r="B126" s="364"/>
      <c r="C126" s="364"/>
      <c r="D126" s="364"/>
      <c r="E126" s="364"/>
      <c r="F126" s="364"/>
      <c r="G126" s="364"/>
      <c r="H126" s="364"/>
      <c r="AE126" s="177"/>
    </row>
    <row r="127" spans="2:31" x14ac:dyDescent="0.3">
      <c r="B127" s="562" t="s">
        <v>629</v>
      </c>
      <c r="F127" s="177"/>
      <c r="G127" s="177"/>
      <c r="H127" s="177"/>
      <c r="AE127" s="177"/>
    </row>
    <row r="128" spans="2:31" ht="15" thickBot="1" x14ac:dyDescent="0.35">
      <c r="B128" s="70" t="s">
        <v>624</v>
      </c>
      <c r="F128" s="177"/>
      <c r="G128" s="177"/>
      <c r="H128" s="177"/>
      <c r="AE128" s="177"/>
    </row>
    <row r="129" spans="1:30" ht="15.6" x14ac:dyDescent="0.35">
      <c r="B129" s="525" t="s">
        <v>587</v>
      </c>
      <c r="C129" s="525" t="s">
        <v>588</v>
      </c>
      <c r="D129" s="525" t="s">
        <v>630</v>
      </c>
      <c r="E129" s="177"/>
      <c r="F129" s="177"/>
      <c r="G129" s="177"/>
      <c r="AD129" s="177"/>
    </row>
    <row r="130" spans="1:30" x14ac:dyDescent="0.3">
      <c r="B130" s="1493" t="s">
        <v>631</v>
      </c>
      <c r="C130" s="1075" t="s">
        <v>595</v>
      </c>
      <c r="D130" s="1077">
        <v>46.985080000000004</v>
      </c>
      <c r="E130" s="177"/>
      <c r="F130" s="177"/>
      <c r="G130" s="489"/>
      <c r="AD130" s="177"/>
    </row>
    <row r="131" spans="1:30" x14ac:dyDescent="0.3">
      <c r="B131" s="1493"/>
      <c r="C131" s="1075" t="s">
        <v>245</v>
      </c>
      <c r="D131" s="1077">
        <v>1.15E-2</v>
      </c>
      <c r="G131" s="489"/>
      <c r="AD131" s="177"/>
    </row>
    <row r="132" spans="1:30" x14ac:dyDescent="0.3">
      <c r="B132" s="1493" t="s">
        <v>632</v>
      </c>
      <c r="C132" s="1075" t="s">
        <v>595</v>
      </c>
      <c r="D132" s="1077">
        <v>43.439639999999997</v>
      </c>
      <c r="G132" s="489"/>
      <c r="AD132" s="177"/>
    </row>
    <row r="133" spans="1:30" x14ac:dyDescent="0.3">
      <c r="B133" s="1493"/>
      <c r="C133" s="1075" t="s">
        <v>245</v>
      </c>
      <c r="D133" s="1077">
        <v>1.15E-2</v>
      </c>
      <c r="G133" s="489"/>
      <c r="AD133" s="177"/>
    </row>
    <row r="134" spans="1:30" x14ac:dyDescent="0.3">
      <c r="B134" s="1493" t="s">
        <v>633</v>
      </c>
      <c r="C134" s="1075" t="s">
        <v>595</v>
      </c>
      <c r="D134" s="1077">
        <v>55.193890000000003</v>
      </c>
      <c r="G134" s="489"/>
      <c r="AD134" s="177"/>
    </row>
    <row r="135" spans="1:30" x14ac:dyDescent="0.3">
      <c r="B135" s="1493"/>
      <c r="C135" s="1075" t="s">
        <v>245</v>
      </c>
      <c r="D135" s="1077">
        <v>1.15E-2</v>
      </c>
      <c r="G135" s="489"/>
      <c r="AD135" s="177"/>
    </row>
    <row r="136" spans="1:30" x14ac:dyDescent="0.3">
      <c r="B136" s="1509" t="s">
        <v>634</v>
      </c>
      <c r="C136" s="1075" t="s">
        <v>595</v>
      </c>
      <c r="D136" s="1077">
        <v>47.357089999999999</v>
      </c>
      <c r="G136" s="489"/>
      <c r="AD136" s="177"/>
    </row>
    <row r="137" spans="1:30" ht="15" thickBot="1" x14ac:dyDescent="0.35">
      <c r="B137" s="1510"/>
      <c r="C137" s="1080" t="s">
        <v>245</v>
      </c>
      <c r="D137" s="1082">
        <v>1.273E-2</v>
      </c>
      <c r="G137" s="171"/>
    </row>
    <row r="138" spans="1:30" x14ac:dyDescent="0.3">
      <c r="B138" s="218"/>
      <c r="H138" s="171"/>
    </row>
    <row r="139" spans="1:30" x14ac:dyDescent="0.3">
      <c r="A139" s="145"/>
    </row>
    <row r="140" spans="1:30" ht="15.6" x14ac:dyDescent="0.3">
      <c r="A140" s="145"/>
      <c r="B140" s="562" t="s">
        <v>635</v>
      </c>
      <c r="E140" s="219"/>
      <c r="F140" s="219"/>
      <c r="G140" s="217"/>
      <c r="H140" s="217"/>
    </row>
    <row r="141" spans="1:30" ht="16.2" thickBot="1" x14ac:dyDescent="0.35">
      <c r="A141" s="145"/>
      <c r="E141" s="219"/>
      <c r="F141" s="219"/>
      <c r="G141" s="1496"/>
      <c r="H141" s="1496"/>
    </row>
    <row r="142" spans="1:30" ht="15.75" customHeight="1" x14ac:dyDescent="0.3">
      <c r="B142" s="1397" t="s">
        <v>636</v>
      </c>
      <c r="C142" s="1497" t="s">
        <v>637</v>
      </c>
      <c r="D142" s="1501" t="s">
        <v>638</v>
      </c>
      <c r="E142" s="1501"/>
      <c r="F142" s="1501"/>
      <c r="G142" s="1501"/>
      <c r="H142" s="1502" t="s">
        <v>639</v>
      </c>
      <c r="I142"/>
    </row>
    <row r="143" spans="1:30" ht="22.5" customHeight="1" x14ac:dyDescent="0.3">
      <c r="B143" s="1412"/>
      <c r="C143" s="1498"/>
      <c r="D143" s="1100" t="s">
        <v>640</v>
      </c>
      <c r="E143" s="1100" t="s">
        <v>641</v>
      </c>
      <c r="F143" s="1100" t="s">
        <v>642</v>
      </c>
      <c r="G143" s="1100" t="s">
        <v>643</v>
      </c>
      <c r="H143" s="1503"/>
    </row>
    <row r="144" spans="1:30" ht="55.2" customHeight="1" thickBot="1" x14ac:dyDescent="0.35">
      <c r="B144" s="1101" t="s">
        <v>644</v>
      </c>
      <c r="C144" s="1102" t="s">
        <v>645</v>
      </c>
      <c r="D144" s="1103">
        <v>0.1349149051551963</v>
      </c>
      <c r="E144" s="1103">
        <v>8.471162968174997E-4</v>
      </c>
      <c r="F144" s="1103">
        <v>2.9495475482315689E-3</v>
      </c>
      <c r="G144" s="1104">
        <v>0.13871156900024537</v>
      </c>
      <c r="H144" s="1105" t="s">
        <v>646</v>
      </c>
    </row>
    <row r="145" spans="2:23" x14ac:dyDescent="0.3">
      <c r="I145" s="171"/>
      <c r="J145" s="171"/>
      <c r="K145" s="171"/>
      <c r="L145" s="171"/>
      <c r="M145" s="221"/>
      <c r="N145" s="221"/>
      <c r="O145" s="221"/>
      <c r="P145" s="221"/>
      <c r="W145" s="177"/>
    </row>
    <row r="146" spans="2:23" x14ac:dyDescent="0.3">
      <c r="I146" s="171"/>
      <c r="J146" s="171"/>
      <c r="K146" s="171"/>
      <c r="L146" s="172"/>
      <c r="M146" s="221"/>
      <c r="N146" s="221"/>
      <c r="O146" s="221"/>
      <c r="P146" s="221"/>
      <c r="W146" s="139"/>
    </row>
    <row r="147" spans="2:23" x14ac:dyDescent="0.3">
      <c r="B147" s="115" t="s">
        <v>647</v>
      </c>
      <c r="I147" s="171"/>
      <c r="J147" s="171"/>
      <c r="K147" s="171"/>
      <c r="L147" s="172"/>
      <c r="M147" s="221"/>
      <c r="N147" s="221"/>
      <c r="O147" s="221"/>
      <c r="P147" s="221"/>
      <c r="W147" s="139"/>
    </row>
    <row r="148" spans="2:23" ht="15" thickBot="1" x14ac:dyDescent="0.35">
      <c r="B148" s="177" t="s">
        <v>648</v>
      </c>
      <c r="I148" s="171"/>
      <c r="J148" s="171"/>
      <c r="K148" s="171"/>
      <c r="L148" s="172"/>
      <c r="M148" s="221"/>
      <c r="N148" s="221"/>
      <c r="O148" s="221"/>
      <c r="P148" s="221"/>
      <c r="W148" s="139"/>
    </row>
    <row r="149" spans="2:23" x14ac:dyDescent="0.3">
      <c r="B149" s="1473" t="s">
        <v>649</v>
      </c>
      <c r="C149" s="1474"/>
      <c r="D149" s="1474"/>
      <c r="E149" s="1474" t="s">
        <v>650</v>
      </c>
      <c r="F149" s="1474"/>
      <c r="G149" s="1474"/>
      <c r="H149" s="1504"/>
      <c r="I149" s="171"/>
      <c r="J149" s="171"/>
      <c r="K149" s="171"/>
      <c r="L149" s="171"/>
      <c r="M149" s="221"/>
      <c r="N149" s="221"/>
      <c r="O149" s="221"/>
      <c r="P149" s="221"/>
    </row>
    <row r="150" spans="2:23" x14ac:dyDescent="0.3">
      <c r="B150" s="1507" t="s">
        <v>651</v>
      </c>
      <c r="C150" s="1475"/>
      <c r="D150" s="1475" t="s">
        <v>652</v>
      </c>
      <c r="E150" s="1475" t="s">
        <v>653</v>
      </c>
      <c r="F150" s="1475" t="s">
        <v>654</v>
      </c>
      <c r="G150" s="1475" t="s">
        <v>655</v>
      </c>
      <c r="H150" s="1508" t="s">
        <v>656</v>
      </c>
    </row>
    <row r="151" spans="2:23" ht="15.6" x14ac:dyDescent="0.3">
      <c r="B151" s="1507"/>
      <c r="C151" s="1475"/>
      <c r="D151" s="1475"/>
      <c r="E151" s="1475"/>
      <c r="F151" s="1475"/>
      <c r="G151" s="1475"/>
      <c r="H151" s="1508"/>
      <c r="I151" s="217"/>
      <c r="J151" s="217"/>
      <c r="K151" s="217"/>
      <c r="L151" s="217"/>
      <c r="M151" s="1496"/>
      <c r="N151" s="1496"/>
      <c r="O151" s="1496"/>
      <c r="P151" s="1496"/>
      <c r="Q151" s="1496"/>
      <c r="R151" s="1496"/>
    </row>
    <row r="152" spans="2:23" ht="15.6" x14ac:dyDescent="0.3">
      <c r="B152" s="1505" t="s">
        <v>640</v>
      </c>
      <c r="C152" s="1506"/>
      <c r="D152" s="1106" t="s">
        <v>657</v>
      </c>
      <c r="E152" s="1107">
        <v>1</v>
      </c>
      <c r="F152" s="1107">
        <v>1</v>
      </c>
      <c r="G152" s="1107">
        <v>1</v>
      </c>
      <c r="H152" s="473">
        <v>1</v>
      </c>
      <c r="I152" s="1496"/>
      <c r="J152" s="1496"/>
      <c r="K152" s="217"/>
      <c r="L152" s="217"/>
      <c r="M152" s="1496"/>
      <c r="N152" s="1496"/>
      <c r="O152" s="1496"/>
      <c r="P152" s="1496"/>
      <c r="Q152" s="1496"/>
      <c r="R152" s="1496"/>
    </row>
    <row r="153" spans="2:23" ht="15.6" x14ac:dyDescent="0.3">
      <c r="B153" s="1484" t="s">
        <v>641</v>
      </c>
      <c r="C153" s="1485"/>
      <c r="D153" s="1108" t="s">
        <v>658</v>
      </c>
      <c r="E153" s="1109">
        <v>28</v>
      </c>
      <c r="F153" s="1109">
        <v>25</v>
      </c>
      <c r="G153" s="1109">
        <v>23</v>
      </c>
      <c r="H153" s="1110">
        <v>21</v>
      </c>
      <c r="I153" s="280"/>
      <c r="J153" s="280"/>
      <c r="K153" s="280"/>
      <c r="L153" s="280"/>
      <c r="M153" s="280"/>
      <c r="N153" s="280"/>
      <c r="O153" s="280"/>
      <c r="P153" s="280"/>
      <c r="Q153" s="280"/>
      <c r="R153" s="280"/>
    </row>
    <row r="154" spans="2:23" x14ac:dyDescent="0.3">
      <c r="B154" s="1484" t="s">
        <v>642</v>
      </c>
      <c r="C154" s="1485"/>
      <c r="D154" s="1108" t="s">
        <v>659</v>
      </c>
      <c r="E154" s="1109">
        <v>265</v>
      </c>
      <c r="F154" s="1109">
        <v>298</v>
      </c>
      <c r="G154" s="1109">
        <v>296</v>
      </c>
      <c r="H154" s="1110">
        <v>310</v>
      </c>
      <c r="I154" s="1500"/>
      <c r="J154" s="1500"/>
      <c r="K154" s="1499"/>
      <c r="L154" s="1499"/>
      <c r="M154" s="1499"/>
      <c r="N154" s="1499"/>
      <c r="O154" s="220"/>
      <c r="P154" s="220"/>
      <c r="Q154" s="1499"/>
      <c r="R154" s="1499"/>
    </row>
    <row r="155" spans="2:23" x14ac:dyDescent="0.3">
      <c r="B155" s="1484" t="s">
        <v>660</v>
      </c>
      <c r="C155" s="1485"/>
      <c r="D155" s="1108" t="s">
        <v>661</v>
      </c>
      <c r="E155" s="1109">
        <v>23500</v>
      </c>
      <c r="F155" s="1109">
        <v>22800</v>
      </c>
      <c r="G155" s="1109">
        <v>22200</v>
      </c>
      <c r="H155" s="1110">
        <v>23900</v>
      </c>
    </row>
    <row r="156" spans="2:23" x14ac:dyDescent="0.3">
      <c r="B156" s="1484" t="s">
        <v>662</v>
      </c>
      <c r="C156" s="1485"/>
      <c r="D156" s="1111" t="s">
        <v>663</v>
      </c>
      <c r="E156" s="1109">
        <v>6630</v>
      </c>
      <c r="F156" s="1109">
        <v>7390</v>
      </c>
      <c r="G156" s="1109">
        <v>5700</v>
      </c>
      <c r="H156" s="1110">
        <v>6500</v>
      </c>
    </row>
    <row r="157" spans="2:23" x14ac:dyDescent="0.3">
      <c r="B157" s="1484" t="s">
        <v>664</v>
      </c>
      <c r="C157" s="1485"/>
      <c r="D157" s="1111" t="s">
        <v>665</v>
      </c>
      <c r="E157" s="1109">
        <v>11100</v>
      </c>
      <c r="F157" s="1109">
        <v>12200</v>
      </c>
      <c r="G157" s="1109">
        <v>11900</v>
      </c>
      <c r="H157" s="1110">
        <v>9200</v>
      </c>
    </row>
    <row r="158" spans="2:23" x14ac:dyDescent="0.3">
      <c r="B158" s="1484" t="s">
        <v>666</v>
      </c>
      <c r="C158" s="1485"/>
      <c r="D158" s="1111" t="s">
        <v>667</v>
      </c>
      <c r="E158" s="1109">
        <v>12400</v>
      </c>
      <c r="F158" s="1109">
        <v>14800</v>
      </c>
      <c r="G158" s="1109">
        <v>12000</v>
      </c>
      <c r="H158" s="1110">
        <v>11700</v>
      </c>
    </row>
    <row r="159" spans="2:23" x14ac:dyDescent="0.3">
      <c r="B159" s="1484" t="s">
        <v>668</v>
      </c>
      <c r="C159" s="1485"/>
      <c r="D159" s="1111" t="s">
        <v>669</v>
      </c>
      <c r="E159" s="1109">
        <v>677</v>
      </c>
      <c r="F159" s="1109">
        <v>675</v>
      </c>
      <c r="G159" s="1109">
        <v>550</v>
      </c>
      <c r="H159" s="1110">
        <v>650</v>
      </c>
    </row>
    <row r="160" spans="2:23" x14ac:dyDescent="0.3">
      <c r="B160" s="1484" t="s">
        <v>670</v>
      </c>
      <c r="C160" s="1485"/>
      <c r="D160" s="1111" t="s">
        <v>671</v>
      </c>
      <c r="E160" s="1109">
        <v>116</v>
      </c>
      <c r="F160" s="1109">
        <v>92</v>
      </c>
      <c r="G160" s="1109">
        <v>97</v>
      </c>
      <c r="H160" s="1110">
        <v>150</v>
      </c>
    </row>
    <row r="161" spans="2:9" x14ac:dyDescent="0.3">
      <c r="B161" s="1484" t="s">
        <v>672</v>
      </c>
      <c r="C161" s="1485"/>
      <c r="D161" s="1111" t="s">
        <v>673</v>
      </c>
      <c r="E161" s="1109">
        <v>3170</v>
      </c>
      <c r="F161" s="1109">
        <v>3500</v>
      </c>
      <c r="G161" s="1109">
        <v>3400</v>
      </c>
      <c r="H161" s="1110">
        <v>2800</v>
      </c>
    </row>
    <row r="162" spans="2:9" x14ac:dyDescent="0.3">
      <c r="B162" s="1484" t="s">
        <v>674</v>
      </c>
      <c r="C162" s="1485"/>
      <c r="D162" s="1111" t="s">
        <v>675</v>
      </c>
      <c r="E162" s="1109">
        <v>1120</v>
      </c>
      <c r="F162" s="1109">
        <v>1100</v>
      </c>
      <c r="G162" s="1109">
        <v>1100</v>
      </c>
      <c r="H162" s="1110">
        <v>1000</v>
      </c>
    </row>
    <row r="163" spans="2:9" x14ac:dyDescent="0.3">
      <c r="B163" s="1484" t="s">
        <v>676</v>
      </c>
      <c r="C163" s="1485"/>
      <c r="D163" s="1111" t="s">
        <v>677</v>
      </c>
      <c r="E163" s="1109">
        <v>1300</v>
      </c>
      <c r="F163" s="1109">
        <v>1430</v>
      </c>
      <c r="G163" s="1109">
        <v>1300</v>
      </c>
      <c r="H163" s="1110">
        <v>1300</v>
      </c>
    </row>
    <row r="164" spans="2:9" x14ac:dyDescent="0.3">
      <c r="B164" s="1484" t="s">
        <v>678</v>
      </c>
      <c r="C164" s="1485"/>
      <c r="D164" s="1111" t="s">
        <v>679</v>
      </c>
      <c r="E164" s="1109">
        <v>328</v>
      </c>
      <c r="F164" s="1109">
        <v>353</v>
      </c>
      <c r="G164" s="1109">
        <v>330</v>
      </c>
      <c r="H164" s="1110">
        <v>300</v>
      </c>
    </row>
    <row r="165" spans="2:9" x14ac:dyDescent="0.3">
      <c r="B165" s="1484" t="s">
        <v>680</v>
      </c>
      <c r="C165" s="1485"/>
      <c r="D165" s="1111" t="s">
        <v>681</v>
      </c>
      <c r="E165" s="1109">
        <v>4800</v>
      </c>
      <c r="F165" s="1109">
        <v>4470</v>
      </c>
      <c r="G165" s="1109">
        <v>4300</v>
      </c>
      <c r="H165" s="1110">
        <v>3800</v>
      </c>
    </row>
    <row r="166" spans="2:9" x14ac:dyDescent="0.3">
      <c r="B166" s="1484" t="s">
        <v>682</v>
      </c>
      <c r="C166" s="1485"/>
      <c r="D166" s="1111" t="s">
        <v>683</v>
      </c>
      <c r="E166" s="1109">
        <v>138</v>
      </c>
      <c r="F166" s="1109">
        <v>124</v>
      </c>
      <c r="G166" s="1109">
        <v>120</v>
      </c>
      <c r="H166" s="1110">
        <v>140</v>
      </c>
    </row>
    <row r="167" spans="2:9" x14ac:dyDescent="0.3">
      <c r="B167" s="1484" t="s">
        <v>684</v>
      </c>
      <c r="C167" s="1485"/>
      <c r="D167" s="1111" t="s">
        <v>685</v>
      </c>
      <c r="E167" s="1109">
        <v>3350</v>
      </c>
      <c r="F167" s="1109">
        <v>3220</v>
      </c>
      <c r="G167" s="1109">
        <v>3500</v>
      </c>
      <c r="H167" s="1110">
        <v>2900</v>
      </c>
    </row>
    <row r="168" spans="2:9" x14ac:dyDescent="0.3">
      <c r="B168" s="1484" t="s">
        <v>686</v>
      </c>
      <c r="C168" s="1485"/>
      <c r="D168" s="1111" t="s">
        <v>687</v>
      </c>
      <c r="E168" s="1109">
        <v>8060</v>
      </c>
      <c r="F168" s="1109">
        <v>9810</v>
      </c>
      <c r="G168" s="1109">
        <v>9400</v>
      </c>
      <c r="H168" s="1110">
        <v>6300</v>
      </c>
    </row>
    <row r="169" spans="2:9" x14ac:dyDescent="0.3">
      <c r="B169" s="1484" t="s">
        <v>688</v>
      </c>
      <c r="C169" s="1485"/>
      <c r="D169" s="1111" t="s">
        <v>689</v>
      </c>
      <c r="E169" s="1109">
        <v>716</v>
      </c>
      <c r="F169" s="1109">
        <v>1030</v>
      </c>
      <c r="G169" s="1109">
        <v>950</v>
      </c>
      <c r="H169" s="1110">
        <v>560</v>
      </c>
    </row>
    <row r="170" spans="2:9" ht="15" thickBot="1" x14ac:dyDescent="0.35">
      <c r="B170" s="1494" t="s">
        <v>690</v>
      </c>
      <c r="C170" s="1495"/>
      <c r="D170" s="1112" t="s">
        <v>691</v>
      </c>
      <c r="E170" s="1113">
        <v>16100</v>
      </c>
      <c r="F170" s="1113">
        <v>17200</v>
      </c>
      <c r="G170" s="1113"/>
      <c r="H170" s="1114"/>
    </row>
    <row r="171" spans="2:9" x14ac:dyDescent="0.3">
      <c r="B171" s="70" t="s">
        <v>692</v>
      </c>
      <c r="C171" s="177"/>
      <c r="D171" s="177"/>
      <c r="E171" s="177"/>
      <c r="F171" s="177"/>
      <c r="G171" s="177"/>
      <c r="H171" s="177"/>
    </row>
    <row r="174" spans="2:9" x14ac:dyDescent="0.3">
      <c r="B174" s="562" t="s">
        <v>693</v>
      </c>
    </row>
    <row r="175" spans="2:9" ht="15" thickBot="1" x14ac:dyDescent="0.35"/>
    <row r="176" spans="2:9" x14ac:dyDescent="0.3">
      <c r="B176" s="366"/>
      <c r="C176" s="529" t="s">
        <v>694</v>
      </c>
      <c r="D176" s="529" t="s">
        <v>573</v>
      </c>
      <c r="E176" s="529" t="s">
        <v>695</v>
      </c>
      <c r="F176" s="529" t="s">
        <v>696</v>
      </c>
      <c r="G176" s="529" t="s">
        <v>575</v>
      </c>
      <c r="H176" s="529" t="s">
        <v>577</v>
      </c>
      <c r="I176" s="530" t="s">
        <v>578</v>
      </c>
    </row>
    <row r="177" spans="1:17" x14ac:dyDescent="0.3">
      <c r="B177" s="1115" t="s">
        <v>697</v>
      </c>
      <c r="C177" s="1116">
        <f t="shared" ref="C177:C183" si="0">D177*1000</f>
        <v>1</v>
      </c>
      <c r="D177" s="1116">
        <f>D178/1000</f>
        <v>1E-3</v>
      </c>
      <c r="E177" s="1116">
        <f>E178/1000</f>
        <v>9.9999999999999995E-7</v>
      </c>
      <c r="F177" s="1116">
        <f>1/C180</f>
        <v>1.0000000000000001E-9</v>
      </c>
      <c r="G177" s="1116">
        <f>G178/1000</f>
        <v>9.8400000000000002E-7</v>
      </c>
      <c r="H177" s="1116">
        <f>H178/1000</f>
        <v>1.102E-6</v>
      </c>
      <c r="I177" s="1117">
        <f>I178/1000</f>
        <v>2.2046000000000001E-3</v>
      </c>
    </row>
    <row r="178" spans="1:17" x14ac:dyDescent="0.3">
      <c r="B178" s="1115" t="s">
        <v>698</v>
      </c>
      <c r="C178" s="1116">
        <f t="shared" si="0"/>
        <v>1000</v>
      </c>
      <c r="D178" s="1116">
        <v>1</v>
      </c>
      <c r="E178" s="1116">
        <v>1E-3</v>
      </c>
      <c r="F178" s="1116">
        <f>1/D180</f>
        <v>9.9999999999999995E-7</v>
      </c>
      <c r="G178" s="1116">
        <v>9.8400000000000007E-4</v>
      </c>
      <c r="H178" s="1116">
        <v>1.1019999999999999E-3</v>
      </c>
      <c r="I178" s="1117">
        <v>2.2046000000000001</v>
      </c>
    </row>
    <row r="179" spans="1:17" x14ac:dyDescent="0.3">
      <c r="B179" s="1115" t="s">
        <v>699</v>
      </c>
      <c r="C179" s="1116">
        <f t="shared" si="0"/>
        <v>1000000</v>
      </c>
      <c r="D179" s="1116">
        <v>1000</v>
      </c>
      <c r="E179" s="1116">
        <v>1</v>
      </c>
      <c r="F179" s="1116">
        <f>1/E180</f>
        <v>1E-3</v>
      </c>
      <c r="G179" s="1116">
        <v>0.98399999999999999</v>
      </c>
      <c r="H179" s="1116">
        <v>1.1023000000000001</v>
      </c>
      <c r="I179" s="1117">
        <v>2204.6</v>
      </c>
    </row>
    <row r="180" spans="1:17" x14ac:dyDescent="0.3">
      <c r="B180" s="1115" t="s">
        <v>700</v>
      </c>
      <c r="C180" s="1116">
        <v>1000000000</v>
      </c>
      <c r="D180" s="1116">
        <v>1000000</v>
      </c>
      <c r="E180" s="1116">
        <v>1000</v>
      </c>
      <c r="F180" s="1116">
        <v>1</v>
      </c>
      <c r="G180" s="1116">
        <v>984</v>
      </c>
      <c r="H180" s="1116">
        <v>1102.3</v>
      </c>
      <c r="I180" s="1117">
        <v>2204600</v>
      </c>
    </row>
    <row r="181" spans="1:17" x14ac:dyDescent="0.3">
      <c r="B181" s="1115" t="s">
        <v>701</v>
      </c>
      <c r="C181" s="1116">
        <f t="shared" si="0"/>
        <v>1016000</v>
      </c>
      <c r="D181" s="1116">
        <v>1016</v>
      </c>
      <c r="E181" s="1116">
        <v>1.016</v>
      </c>
      <c r="F181" s="1116">
        <f>1/G180</f>
        <v>1.0162601626016261E-3</v>
      </c>
      <c r="G181" s="1116">
        <v>1</v>
      </c>
      <c r="H181" s="1116">
        <v>1.1200000000000001</v>
      </c>
      <c r="I181" s="1117">
        <v>2240</v>
      </c>
    </row>
    <row r="182" spans="1:17" x14ac:dyDescent="0.3">
      <c r="B182" s="1115" t="s">
        <v>702</v>
      </c>
      <c r="C182" s="1116">
        <f t="shared" si="0"/>
        <v>907200</v>
      </c>
      <c r="D182" s="1116">
        <v>907.2</v>
      </c>
      <c r="E182" s="1116">
        <v>0.90720000000000001</v>
      </c>
      <c r="F182" s="1116">
        <f>1/H180</f>
        <v>9.0719404880703985E-4</v>
      </c>
      <c r="G182" s="1116">
        <v>0.89300000000000002</v>
      </c>
      <c r="H182" s="1116">
        <v>1</v>
      </c>
      <c r="I182" s="1117">
        <v>2000</v>
      </c>
    </row>
    <row r="183" spans="1:17" ht="15" thickBot="1" x14ac:dyDescent="0.35">
      <c r="B183" s="1118" t="s">
        <v>703</v>
      </c>
      <c r="C183" s="1119">
        <f t="shared" si="0"/>
        <v>453.59702440351992</v>
      </c>
      <c r="D183" s="1119">
        <f>1/I178</f>
        <v>0.4535970244035199</v>
      </c>
      <c r="E183" s="1119">
        <f>1/I179</f>
        <v>4.5359702440351992E-4</v>
      </c>
      <c r="F183" s="1119">
        <f>1/I180</f>
        <v>4.5359702440351992E-7</v>
      </c>
      <c r="G183" s="1119">
        <f>1/I181</f>
        <v>4.4642857142857141E-4</v>
      </c>
      <c r="H183" s="1119">
        <f>1/I182</f>
        <v>5.0000000000000001E-4</v>
      </c>
      <c r="I183" s="1120">
        <v>1</v>
      </c>
    </row>
    <row r="184" spans="1:17" x14ac:dyDescent="0.3">
      <c r="A184" s="267"/>
      <c r="B184" s="267"/>
      <c r="C184" s="267"/>
      <c r="D184" s="267"/>
      <c r="E184" s="267"/>
      <c r="F184" s="267"/>
      <c r="G184" s="267"/>
      <c r="H184" s="267"/>
      <c r="I184" s="267"/>
      <c r="J184" s="267"/>
    </row>
    <row r="185" spans="1:17" x14ac:dyDescent="0.3">
      <c r="A185" s="267"/>
      <c r="B185" s="267"/>
      <c r="C185" s="267"/>
      <c r="D185" s="267"/>
      <c r="E185" s="267"/>
      <c r="F185" s="267"/>
      <c r="G185" s="267"/>
      <c r="H185" s="267"/>
      <c r="I185" s="267"/>
      <c r="J185" s="267"/>
    </row>
    <row r="186" spans="1:17" x14ac:dyDescent="0.3">
      <c r="A186" s="267"/>
      <c r="B186" s="562" t="s">
        <v>704</v>
      </c>
      <c r="C186" s="25"/>
      <c r="D186" s="25"/>
      <c r="E186" s="25"/>
      <c r="F186" s="25"/>
    </row>
    <row r="187" spans="1:17" ht="15" thickBot="1" x14ac:dyDescent="0.35">
      <c r="A187" s="267"/>
      <c r="B187" s="115"/>
      <c r="C187" s="25"/>
      <c r="D187" s="25"/>
      <c r="E187" s="25"/>
      <c r="F187" s="25"/>
    </row>
    <row r="188" spans="1:17" x14ac:dyDescent="0.3">
      <c r="A188" s="267"/>
      <c r="B188" s="368"/>
      <c r="C188" s="531" t="s">
        <v>245</v>
      </c>
      <c r="D188" s="531" t="s">
        <v>557</v>
      </c>
      <c r="E188" s="531" t="s">
        <v>558</v>
      </c>
      <c r="F188" s="531" t="s">
        <v>560</v>
      </c>
      <c r="G188" s="531" t="s">
        <v>561</v>
      </c>
      <c r="H188" s="531" t="s">
        <v>562</v>
      </c>
      <c r="I188" s="531" t="s">
        <v>563</v>
      </c>
      <c r="J188" s="531" t="s">
        <v>564</v>
      </c>
      <c r="K188" s="531" t="s">
        <v>566</v>
      </c>
      <c r="L188" s="531" t="s">
        <v>569</v>
      </c>
      <c r="M188" s="531" t="s">
        <v>570</v>
      </c>
      <c r="N188" s="531" t="s">
        <v>571</v>
      </c>
      <c r="O188" s="531" t="s">
        <v>572</v>
      </c>
      <c r="P188" s="531" t="s">
        <v>574</v>
      </c>
      <c r="Q188" s="532" t="s">
        <v>576</v>
      </c>
    </row>
    <row r="189" spans="1:17" x14ac:dyDescent="0.3">
      <c r="A189" s="267"/>
      <c r="B189" s="1121" t="s">
        <v>245</v>
      </c>
      <c r="C189" s="1122">
        <v>1</v>
      </c>
      <c r="D189" s="1122">
        <v>1E-3</v>
      </c>
      <c r="E189" s="1122">
        <v>9.9999999999999995E-7</v>
      </c>
      <c r="F189" s="1122">
        <v>1.0000000000000001E-9</v>
      </c>
      <c r="G189" s="1123">
        <v>3.5999999999999996</v>
      </c>
      <c r="H189" s="1122">
        <v>3.5999999999999999E-3</v>
      </c>
      <c r="I189" s="1122">
        <v>3.6000000000000003E-6</v>
      </c>
      <c r="J189" s="1122">
        <v>0.86042065174076598</v>
      </c>
      <c r="K189" s="1122">
        <v>8.6042065174076593E-4</v>
      </c>
      <c r="L189" s="1122">
        <v>3412.1416351330754</v>
      </c>
      <c r="M189" s="1122">
        <v>3.4121416351330756</v>
      </c>
      <c r="N189" s="1122">
        <v>3.412141635133076E-3</v>
      </c>
      <c r="O189" s="1122">
        <v>3.4095106405144834E-2</v>
      </c>
      <c r="P189" s="1124">
        <v>8.5984522785898506E-11</v>
      </c>
      <c r="Q189" s="1125">
        <v>6.1417516275641816E-4</v>
      </c>
    </row>
    <row r="190" spans="1:17" x14ac:dyDescent="0.3">
      <c r="A190" s="267"/>
      <c r="B190" s="1121" t="s">
        <v>557</v>
      </c>
      <c r="C190" s="1122">
        <v>1000</v>
      </c>
      <c r="D190" s="1122">
        <v>1</v>
      </c>
      <c r="E190" s="1122">
        <v>1E-3</v>
      </c>
      <c r="F190" s="1122">
        <v>9.9999999999999995E-7</v>
      </c>
      <c r="G190" s="1126">
        <v>3600</v>
      </c>
      <c r="H190" s="1122">
        <v>3.6</v>
      </c>
      <c r="I190" s="1122">
        <v>3.6000000000000003E-3</v>
      </c>
      <c r="J190" s="1122">
        <v>860.42065174076595</v>
      </c>
      <c r="K190" s="1122">
        <v>0.86042065174076598</v>
      </c>
      <c r="L190" s="1122">
        <v>3412141.6351330755</v>
      </c>
      <c r="M190" s="1122">
        <v>3412.1416351330754</v>
      </c>
      <c r="N190" s="1122">
        <v>3.412141635133076</v>
      </c>
      <c r="O190" s="1122">
        <v>34.095106405144833</v>
      </c>
      <c r="P190" s="1122">
        <v>8.5984522785898541E-8</v>
      </c>
      <c r="Q190" s="1125">
        <v>0.61417516275641815</v>
      </c>
    </row>
    <row r="191" spans="1:17" x14ac:dyDescent="0.3">
      <c r="A191" s="267"/>
      <c r="B191" s="1121" t="s">
        <v>558</v>
      </c>
      <c r="C191" s="1122">
        <v>1000000</v>
      </c>
      <c r="D191" s="1122">
        <v>1000</v>
      </c>
      <c r="E191" s="1122">
        <v>1</v>
      </c>
      <c r="F191" s="1122">
        <v>1E-3</v>
      </c>
      <c r="G191" s="1126">
        <v>3600000</v>
      </c>
      <c r="H191" s="1122">
        <v>3600</v>
      </c>
      <c r="I191" s="1122">
        <v>3.6000000000000005</v>
      </c>
      <c r="J191" s="1122">
        <v>860420.65174076601</v>
      </c>
      <c r="K191" s="1122">
        <v>860.42065174076595</v>
      </c>
      <c r="L191" s="1122">
        <v>3412141635.1330757</v>
      </c>
      <c r="M191" s="1122">
        <v>3412141.6351330755</v>
      </c>
      <c r="N191" s="1122">
        <v>3412.1416351330759</v>
      </c>
      <c r="O191" s="1122">
        <v>34095.106405144834</v>
      </c>
      <c r="P191" s="1122">
        <v>8.5984522785898537E-5</v>
      </c>
      <c r="Q191" s="1125">
        <v>614.1751627564181</v>
      </c>
    </row>
    <row r="192" spans="1:17" x14ac:dyDescent="0.3">
      <c r="A192" s="267"/>
      <c r="B192" s="1121" t="s">
        <v>560</v>
      </c>
      <c r="C192" s="1122">
        <v>1000000000</v>
      </c>
      <c r="D192" s="1122">
        <v>1000000</v>
      </c>
      <c r="E192" s="1122">
        <v>1000</v>
      </c>
      <c r="F192" s="1122">
        <v>1</v>
      </c>
      <c r="G192" s="1126">
        <v>3600000000</v>
      </c>
      <c r="H192" s="1122">
        <v>3600000</v>
      </c>
      <c r="I192" s="1122">
        <v>3600.0000000000005</v>
      </c>
      <c r="J192" s="1122">
        <v>860420651.74076605</v>
      </c>
      <c r="K192" s="1122">
        <v>860420.65174076601</v>
      </c>
      <c r="L192" s="1122">
        <v>3412141635133.0757</v>
      </c>
      <c r="M192" s="1122">
        <v>3412141635.1330757</v>
      </c>
      <c r="N192" s="1122">
        <v>3412141.635133076</v>
      </c>
      <c r="O192" s="1122">
        <v>34095106.405144833</v>
      </c>
      <c r="P192" s="1122">
        <v>8.5984522785898534E-2</v>
      </c>
      <c r="Q192" s="1125">
        <v>614175.16275641811</v>
      </c>
    </row>
    <row r="193" spans="1:19" x14ac:dyDescent="0.3">
      <c r="A193" s="267"/>
      <c r="B193" s="1121" t="s">
        <v>561</v>
      </c>
      <c r="C193" s="1122">
        <v>0.27777777777777779</v>
      </c>
      <c r="D193" s="1122">
        <v>2.7777777777777778E-4</v>
      </c>
      <c r="E193" s="1122">
        <v>2.7777777777777781E-7</v>
      </c>
      <c r="F193" s="1122">
        <v>2.7777777777777777E-10</v>
      </c>
      <c r="G193" s="1122">
        <v>1</v>
      </c>
      <c r="H193" s="1127">
        <v>1E-3</v>
      </c>
      <c r="I193" s="1122">
        <v>1.0000000000000002E-6</v>
      </c>
      <c r="J193" s="1122">
        <v>0.23900573659465724</v>
      </c>
      <c r="K193" s="1122">
        <v>2.3900573659465724E-4</v>
      </c>
      <c r="L193" s="1122">
        <v>947.81712087029882</v>
      </c>
      <c r="M193" s="1122">
        <v>0.94781712087029879</v>
      </c>
      <c r="N193" s="1122">
        <v>9.478171208702989E-4</v>
      </c>
      <c r="O193" s="1122">
        <v>9.4708628903180086E-3</v>
      </c>
      <c r="P193" s="1122">
        <v>2.3884589662749594E-11</v>
      </c>
      <c r="Q193" s="1125">
        <v>1.7060421187678281E-4</v>
      </c>
    </row>
    <row r="194" spans="1:19" x14ac:dyDescent="0.3">
      <c r="A194" s="267"/>
      <c r="B194" s="1121" t="s">
        <v>562</v>
      </c>
      <c r="C194" s="1122">
        <v>277.77777777777777</v>
      </c>
      <c r="D194" s="1122">
        <v>0.27777777777777779</v>
      </c>
      <c r="E194" s="1122">
        <v>2.7777777777777778E-4</v>
      </c>
      <c r="F194" s="1122">
        <v>2.7777777777777776E-7</v>
      </c>
      <c r="G194" s="1128">
        <v>999.99999999999989</v>
      </c>
      <c r="H194" s="1122">
        <v>1</v>
      </c>
      <c r="I194" s="1129">
        <v>1E-3</v>
      </c>
      <c r="J194" s="1122">
        <v>239.00573659465721</v>
      </c>
      <c r="K194" s="1122">
        <v>0.23900573659465721</v>
      </c>
      <c r="L194" s="1122">
        <v>947817.12087029871</v>
      </c>
      <c r="M194" s="1122">
        <v>947.81712087029871</v>
      </c>
      <c r="N194" s="1122">
        <v>0.94781712087029879</v>
      </c>
      <c r="O194" s="1122">
        <v>9.4708628903180081</v>
      </c>
      <c r="P194" s="1122">
        <v>2.3884589662749594E-8</v>
      </c>
      <c r="Q194" s="1125">
        <v>0.17060421187678282</v>
      </c>
    </row>
    <row r="195" spans="1:19" x14ac:dyDescent="0.3">
      <c r="A195" s="267"/>
      <c r="B195" s="1121" t="s">
        <v>563</v>
      </c>
      <c r="C195" s="1122">
        <v>277777.77777777775</v>
      </c>
      <c r="D195" s="1122">
        <v>277.77777777777777</v>
      </c>
      <c r="E195" s="1122">
        <v>0.27777777777777773</v>
      </c>
      <c r="F195" s="1122">
        <v>2.7777777777777778E-4</v>
      </c>
      <c r="G195" s="1128">
        <v>999999.99999999988</v>
      </c>
      <c r="H195" s="1122">
        <v>999.99999999999989</v>
      </c>
      <c r="I195" s="1122">
        <v>1</v>
      </c>
      <c r="J195" s="1122">
        <v>239005.73659465721</v>
      </c>
      <c r="K195" s="1122">
        <v>239.00573659465721</v>
      </c>
      <c r="L195" s="1122">
        <v>947817120.87029862</v>
      </c>
      <c r="M195" s="1122">
        <v>947817.12087029871</v>
      </c>
      <c r="N195" s="1122">
        <v>947.81712087029871</v>
      </c>
      <c r="O195" s="1122">
        <v>9470.8628903180088</v>
      </c>
      <c r="P195" s="1122">
        <v>2.3884589662749591E-5</v>
      </c>
      <c r="Q195" s="1125">
        <v>170.60421187678278</v>
      </c>
    </row>
    <row r="196" spans="1:19" x14ac:dyDescent="0.3">
      <c r="A196" s="267"/>
      <c r="B196" s="1121" t="s">
        <v>564</v>
      </c>
      <c r="C196" s="1122">
        <v>1.1622222200000001</v>
      </c>
      <c r="D196" s="1122">
        <v>1.1622222200000001E-3</v>
      </c>
      <c r="E196" s="1122">
        <v>1.16222222E-6</v>
      </c>
      <c r="F196" s="1122">
        <v>1.1622222200000001E-9</v>
      </c>
      <c r="G196" s="1122">
        <v>4.1839999920000004</v>
      </c>
      <c r="H196" s="1122">
        <v>4.1839999920000003E-3</v>
      </c>
      <c r="I196" s="1122">
        <v>4.1839999920000009E-6</v>
      </c>
      <c r="J196" s="1122">
        <v>1</v>
      </c>
      <c r="K196" s="1122">
        <v>1E-3</v>
      </c>
      <c r="L196" s="1122">
        <v>3965.6668261387931</v>
      </c>
      <c r="M196" s="1122">
        <v>3.9656668261387935</v>
      </c>
      <c r="N196" s="1122">
        <v>3.9656668261387933E-3</v>
      </c>
      <c r="O196" s="1122">
        <v>3.9626090257323651E-2</v>
      </c>
      <c r="P196" s="1122">
        <v>9.9933122957867592E-11</v>
      </c>
      <c r="Q196" s="1125">
        <v>7.138080211276256E-4</v>
      </c>
    </row>
    <row r="197" spans="1:19" x14ac:dyDescent="0.3">
      <c r="A197" s="267"/>
      <c r="B197" s="1121" t="s">
        <v>566</v>
      </c>
      <c r="C197" s="1122">
        <v>1162.2222200000001</v>
      </c>
      <c r="D197" s="1122">
        <v>1.1622222200000001</v>
      </c>
      <c r="E197" s="1122">
        <v>1.1622222200000001E-3</v>
      </c>
      <c r="F197" s="1122">
        <v>1.1622222200000002E-6</v>
      </c>
      <c r="G197" s="1122">
        <v>4183.999992</v>
      </c>
      <c r="H197" s="1122">
        <v>4.1839999920000004</v>
      </c>
      <c r="I197" s="1122">
        <v>4.1839999920000011E-3</v>
      </c>
      <c r="J197" s="1122">
        <v>1000</v>
      </c>
      <c r="K197" s="1122">
        <v>1</v>
      </c>
      <c r="L197" s="1122">
        <v>3965666.8261387935</v>
      </c>
      <c r="M197" s="1122">
        <v>3965.6668261387936</v>
      </c>
      <c r="N197" s="1122">
        <v>3.965666826138794</v>
      </c>
      <c r="O197" s="1122">
        <v>39.626090257323646</v>
      </c>
      <c r="P197" s="1122">
        <v>9.9933122957867597E-8</v>
      </c>
      <c r="Q197" s="1125">
        <v>0.71380802112762565</v>
      </c>
    </row>
    <row r="198" spans="1:19" x14ac:dyDescent="0.3">
      <c r="A198" s="267"/>
      <c r="B198" s="1121" t="s">
        <v>569</v>
      </c>
      <c r="C198" s="1122">
        <v>2.9307106999999999E-4</v>
      </c>
      <c r="D198" s="1122">
        <v>2.9307106999999998E-7</v>
      </c>
      <c r="E198" s="1122">
        <v>2.9307107000000001E-10</v>
      </c>
      <c r="F198" s="1122">
        <v>2.9307107E-13</v>
      </c>
      <c r="G198" s="1122">
        <v>1.0550558519999999E-3</v>
      </c>
      <c r="H198" s="1122">
        <v>1.055055852E-6</v>
      </c>
      <c r="I198" s="1122">
        <v>1.0550558520000001E-9</v>
      </c>
      <c r="J198" s="1122">
        <v>2.5216440105576367E-4</v>
      </c>
      <c r="K198" s="1122">
        <v>2.5216440105576365E-7</v>
      </c>
      <c r="L198" s="1122">
        <v>1</v>
      </c>
      <c r="M198" s="1122">
        <v>1E-3</v>
      </c>
      <c r="N198" s="1122">
        <v>1.0000000000000002E-6</v>
      </c>
      <c r="O198" s="1122">
        <v>9.9922893159196494E-6</v>
      </c>
      <c r="P198" s="1122">
        <v>2.5199576096302666E-14</v>
      </c>
      <c r="Q198" s="1125">
        <v>1.799969721164476E-7</v>
      </c>
    </row>
    <row r="199" spans="1:19" x14ac:dyDescent="0.3">
      <c r="A199" s="267"/>
      <c r="B199" s="1121" t="s">
        <v>570</v>
      </c>
      <c r="C199" s="1122">
        <v>0.29307106999999999</v>
      </c>
      <c r="D199" s="1122">
        <v>2.9307106999999999E-4</v>
      </c>
      <c r="E199" s="1122">
        <v>2.9307106999999998E-7</v>
      </c>
      <c r="F199" s="1122">
        <v>2.9307107000000001E-10</v>
      </c>
      <c r="G199" s="1122">
        <v>1.055055852</v>
      </c>
      <c r="H199" s="1122">
        <v>1.0550558519999999E-3</v>
      </c>
      <c r="I199" s="1122">
        <v>1.055055852E-6</v>
      </c>
      <c r="J199" s="1122">
        <v>0.25216440105576365</v>
      </c>
      <c r="K199" s="1122">
        <v>2.5216440105576367E-4</v>
      </c>
      <c r="L199" s="1122">
        <v>1000</v>
      </c>
      <c r="M199" s="1122">
        <v>1</v>
      </c>
      <c r="N199" s="1122">
        <v>1E-3</v>
      </c>
      <c r="O199" s="1122">
        <v>9.9922893159196495E-3</v>
      </c>
      <c r="P199" s="1122">
        <v>2.5199576096302666E-11</v>
      </c>
      <c r="Q199" s="1125">
        <v>1.7999697211644759E-4</v>
      </c>
    </row>
    <row r="200" spans="1:19" x14ac:dyDescent="0.3">
      <c r="A200" s="267"/>
      <c r="B200" s="1121" t="s">
        <v>571</v>
      </c>
      <c r="C200" s="1122">
        <v>293.07106999999996</v>
      </c>
      <c r="D200" s="1122">
        <v>0.29307106999999999</v>
      </c>
      <c r="E200" s="1122">
        <v>2.9307106999999994E-4</v>
      </c>
      <c r="F200" s="1122">
        <v>2.9307106999999998E-7</v>
      </c>
      <c r="G200" s="1122">
        <v>1055.0558519999997</v>
      </c>
      <c r="H200" s="1122">
        <v>1.055055852</v>
      </c>
      <c r="I200" s="1122">
        <v>1.0550558519999999E-3</v>
      </c>
      <c r="J200" s="1122">
        <v>252.16440105576362</v>
      </c>
      <c r="K200" s="1122">
        <v>0.2521644010557636</v>
      </c>
      <c r="L200" s="1122">
        <v>999999.99999999988</v>
      </c>
      <c r="M200" s="1122">
        <v>999.99999999999989</v>
      </c>
      <c r="N200" s="1122">
        <v>1</v>
      </c>
      <c r="O200" s="1122">
        <v>9.9922893159196473</v>
      </c>
      <c r="P200" s="1122">
        <v>2.5199576096302661E-8</v>
      </c>
      <c r="Q200" s="1125">
        <v>0.17999697211644758</v>
      </c>
    </row>
    <row r="201" spans="1:19" x14ac:dyDescent="0.3">
      <c r="A201" s="267"/>
      <c r="B201" s="1121" t="s">
        <v>572</v>
      </c>
      <c r="C201" s="1122">
        <v>29.329722222221999</v>
      </c>
      <c r="D201" s="1122">
        <v>2.9329722222222E-2</v>
      </c>
      <c r="E201" s="1122">
        <v>2.9329722222221999E-5</v>
      </c>
      <c r="F201" s="1122">
        <v>2.9329722222221998E-8</v>
      </c>
      <c r="G201" s="1122">
        <v>105.58699999999919</v>
      </c>
      <c r="H201" s="1122">
        <v>0.1055869999999992</v>
      </c>
      <c r="I201" s="1122">
        <v>1.055869999999992E-4</v>
      </c>
      <c r="J201" s="1122">
        <v>25.235898709819882</v>
      </c>
      <c r="K201" s="1122">
        <v>2.523589870981988E-2</v>
      </c>
      <c r="L201" s="1122">
        <v>100077.16634133147</v>
      </c>
      <c r="M201" s="1122">
        <v>100.07716634133148</v>
      </c>
      <c r="N201" s="1122">
        <v>0.10007716634133149</v>
      </c>
      <c r="O201" s="1122">
        <v>1</v>
      </c>
      <c r="P201" s="1122">
        <v>2.5219021687207223E-9</v>
      </c>
      <c r="Q201" s="1125">
        <v>1.8013586919433729E-2</v>
      </c>
    </row>
    <row r="202" spans="1:19" x14ac:dyDescent="0.3">
      <c r="A202" s="267"/>
      <c r="B202" s="1121" t="s">
        <v>574</v>
      </c>
      <c r="C202" s="1122">
        <v>11630000000</v>
      </c>
      <c r="D202" s="1122">
        <v>11630000</v>
      </c>
      <c r="E202" s="1122">
        <v>11630</v>
      </c>
      <c r="F202" s="1122">
        <v>11.63</v>
      </c>
      <c r="G202" s="1122">
        <v>41868000000</v>
      </c>
      <c r="H202" s="1122">
        <v>41868000</v>
      </c>
      <c r="I202" s="1122">
        <v>41868.000000000007</v>
      </c>
      <c r="J202" s="1122">
        <v>10006692179.74511</v>
      </c>
      <c r="K202" s="1122">
        <v>10006692.179745108</v>
      </c>
      <c r="L202" s="1122">
        <v>39683207216597.672</v>
      </c>
      <c r="M202" s="1122">
        <v>39683207216.597672</v>
      </c>
      <c r="N202" s="1122">
        <v>39683207.216597669</v>
      </c>
      <c r="O202" s="1122">
        <v>396526087.4918344</v>
      </c>
      <c r="P202" s="1122">
        <v>1</v>
      </c>
      <c r="Q202" s="1125">
        <v>7142857.1428571427</v>
      </c>
    </row>
    <row r="203" spans="1:19" ht="15" thickBot="1" x14ac:dyDescent="0.35">
      <c r="A203" s="267"/>
      <c r="B203" s="1101" t="s">
        <v>576</v>
      </c>
      <c r="C203" s="1130">
        <v>1628.2</v>
      </c>
      <c r="D203" s="1130">
        <v>1.6282000000000001</v>
      </c>
      <c r="E203" s="1130">
        <v>1.6282E-3</v>
      </c>
      <c r="F203" s="1130">
        <v>1.6282000000000001E-6</v>
      </c>
      <c r="G203" s="1130">
        <v>5861.5199999999995</v>
      </c>
      <c r="H203" s="1130">
        <v>5.8615200000000005</v>
      </c>
      <c r="I203" s="1130">
        <v>5.8615200000000011E-3</v>
      </c>
      <c r="J203" s="1130">
        <v>1400.9369051643152</v>
      </c>
      <c r="K203" s="1130">
        <v>1.4009369051643152</v>
      </c>
      <c r="L203" s="1130">
        <v>5555649.0103236735</v>
      </c>
      <c r="M203" s="1130">
        <v>5555.6490103236738</v>
      </c>
      <c r="N203" s="1130">
        <v>5.5556490103236742</v>
      </c>
      <c r="O203" s="1130">
        <v>55.513652248856815</v>
      </c>
      <c r="P203" s="1130">
        <v>1.4000000000000001E-7</v>
      </c>
      <c r="Q203" s="1131">
        <v>1</v>
      </c>
    </row>
    <row r="204" spans="1:19" x14ac:dyDescent="0.3">
      <c r="A204" s="267"/>
      <c r="B204" s="177"/>
      <c r="C204" s="177"/>
      <c r="D204" s="177"/>
      <c r="E204" s="177"/>
      <c r="F204" s="177"/>
      <c r="G204" s="177"/>
      <c r="H204" s="177"/>
      <c r="I204" s="177"/>
      <c r="J204" s="177"/>
      <c r="K204" s="177"/>
      <c r="L204" s="177"/>
      <c r="M204" s="177"/>
      <c r="N204" s="177"/>
      <c r="O204" s="177"/>
      <c r="P204" s="177"/>
      <c r="Q204" s="177"/>
      <c r="R204" s="177"/>
      <c r="S204" s="177"/>
    </row>
    <row r="205" spans="1:19" x14ac:dyDescent="0.3">
      <c r="A205" s="267"/>
      <c r="B205" s="177"/>
      <c r="C205" s="177"/>
      <c r="D205" s="177"/>
      <c r="E205" s="177"/>
      <c r="F205" s="177"/>
      <c r="G205" s="177"/>
      <c r="H205" s="177"/>
      <c r="I205" s="177"/>
      <c r="J205" s="177"/>
      <c r="K205" s="177"/>
      <c r="L205" s="177"/>
      <c r="M205" s="177"/>
      <c r="N205" s="177"/>
      <c r="O205" s="177"/>
      <c r="P205" s="177"/>
      <c r="Q205" s="177"/>
      <c r="R205" s="177"/>
      <c r="S205" s="177"/>
    </row>
    <row r="206" spans="1:19" x14ac:dyDescent="0.3">
      <c r="A206" s="267"/>
      <c r="B206" s="563" t="s">
        <v>705</v>
      </c>
      <c r="C206" s="177"/>
      <c r="D206" s="177"/>
      <c r="E206" s="177"/>
      <c r="F206" s="177"/>
      <c r="G206" s="177"/>
      <c r="H206" s="177"/>
      <c r="I206" s="177"/>
      <c r="J206" s="177"/>
      <c r="K206" s="177"/>
      <c r="L206" s="177"/>
      <c r="M206" s="177"/>
      <c r="N206" s="177"/>
      <c r="O206" s="177"/>
      <c r="P206" s="177"/>
      <c r="Q206" s="177"/>
      <c r="R206" s="177"/>
      <c r="S206" s="177"/>
    </row>
    <row r="207" spans="1:19" ht="15" thickBot="1" x14ac:dyDescent="0.35">
      <c r="A207" s="267"/>
      <c r="B207" s="177"/>
      <c r="C207" s="177"/>
      <c r="D207" s="177"/>
      <c r="E207" s="177"/>
      <c r="F207" s="177"/>
      <c r="G207" s="177"/>
      <c r="H207" s="177"/>
      <c r="I207" s="177"/>
      <c r="J207" s="177"/>
      <c r="K207" s="177"/>
      <c r="L207" s="177"/>
      <c r="M207" s="177"/>
      <c r="N207" s="177"/>
      <c r="O207" s="177"/>
      <c r="P207" s="177"/>
      <c r="Q207" s="177"/>
      <c r="R207" s="177"/>
      <c r="S207" s="177"/>
    </row>
    <row r="208" spans="1:19" ht="16.2" x14ac:dyDescent="0.3">
      <c r="A208" s="267"/>
      <c r="B208" s="367"/>
      <c r="C208" s="527" t="s">
        <v>706</v>
      </c>
      <c r="D208" s="527" t="s">
        <v>707</v>
      </c>
      <c r="E208" s="527" t="s">
        <v>708</v>
      </c>
      <c r="F208" s="527" t="s">
        <v>709</v>
      </c>
      <c r="G208" s="527" t="s">
        <v>710</v>
      </c>
      <c r="H208" s="528" t="s">
        <v>711</v>
      </c>
      <c r="I208" s="177"/>
      <c r="J208" s="177"/>
      <c r="K208" s="177"/>
      <c r="L208" s="177"/>
      <c r="M208" s="177"/>
      <c r="N208" s="177"/>
      <c r="O208" s="177"/>
      <c r="P208" s="177"/>
      <c r="Q208" s="177"/>
      <c r="R208" s="177"/>
    </row>
    <row r="209" spans="1:19" x14ac:dyDescent="0.3">
      <c r="A209" s="267"/>
      <c r="B209" s="1132" t="s">
        <v>712</v>
      </c>
      <c r="C209" s="1133"/>
      <c r="D209" s="1134">
        <v>1E-3</v>
      </c>
      <c r="E209" s="1135">
        <v>3.5314667000000001E-2</v>
      </c>
      <c r="F209" s="1135">
        <v>0.21996924800000001</v>
      </c>
      <c r="G209" s="1135">
        <v>0.26417205100000002</v>
      </c>
      <c r="H209" s="1136">
        <v>6.2898110000000002E-3</v>
      </c>
      <c r="I209" s="177"/>
      <c r="J209" s="177"/>
      <c r="K209" s="177"/>
      <c r="L209" s="177"/>
      <c r="M209" s="177"/>
      <c r="N209" s="177"/>
      <c r="O209" s="177"/>
      <c r="P209" s="177"/>
      <c r="Q209" s="177"/>
      <c r="R209" s="177"/>
    </row>
    <row r="210" spans="1:19" ht="16.2" x14ac:dyDescent="0.3">
      <c r="A210" s="267"/>
      <c r="B210" s="1132" t="s">
        <v>713</v>
      </c>
      <c r="C210" s="1137">
        <v>1000</v>
      </c>
      <c r="D210" s="1133"/>
      <c r="E210" s="1134">
        <v>35.314667</v>
      </c>
      <c r="F210" s="1138">
        <v>219.96924799999999</v>
      </c>
      <c r="G210" s="1138">
        <v>264.17205100000001</v>
      </c>
      <c r="H210" s="1139">
        <v>6.2898110000000003</v>
      </c>
      <c r="I210" s="177"/>
      <c r="J210" s="177"/>
      <c r="K210" s="177"/>
      <c r="L210" s="177"/>
      <c r="M210" s="177"/>
      <c r="N210" s="177"/>
      <c r="O210" s="177"/>
      <c r="P210" s="177"/>
      <c r="Q210" s="177"/>
      <c r="R210" s="177"/>
    </row>
    <row r="211" spans="1:19" x14ac:dyDescent="0.3">
      <c r="A211" s="267"/>
      <c r="B211" s="1132" t="s">
        <v>714</v>
      </c>
      <c r="C211" s="1134">
        <v>28.316846368677353</v>
      </c>
      <c r="D211" s="1135">
        <v>2.8316846368677356E-2</v>
      </c>
      <c r="E211" s="1133"/>
      <c r="F211" s="1140">
        <v>6.228835401449488</v>
      </c>
      <c r="G211" s="1135">
        <v>7.4805193830653991</v>
      </c>
      <c r="H211" s="1141">
        <v>0.17810761177501688</v>
      </c>
      <c r="I211" s="177"/>
      <c r="J211" s="177"/>
      <c r="K211" s="177"/>
      <c r="L211" s="177"/>
      <c r="M211" s="177"/>
      <c r="N211" s="177"/>
      <c r="O211" s="177"/>
      <c r="P211" s="177"/>
      <c r="Q211" s="177"/>
      <c r="R211" s="177"/>
    </row>
    <row r="212" spans="1:19" x14ac:dyDescent="0.3">
      <c r="A212" s="267"/>
      <c r="B212" s="1132" t="s">
        <v>715</v>
      </c>
      <c r="C212" s="1140">
        <v>4.5460900061812275</v>
      </c>
      <c r="D212" s="1135">
        <v>4.5460900061812274E-3</v>
      </c>
      <c r="E212" s="1135">
        <v>0.16054365472031801</v>
      </c>
      <c r="F212" s="1133"/>
      <c r="G212" s="1135">
        <v>1.2009499209634977</v>
      </c>
      <c r="H212" s="1142">
        <v>2.8594046927868752E-2</v>
      </c>
      <c r="I212" s="177"/>
      <c r="J212" s="177"/>
      <c r="K212" s="177"/>
      <c r="L212" s="177"/>
      <c r="M212" s="177"/>
      <c r="N212" s="177"/>
      <c r="O212" s="177"/>
      <c r="P212" s="177"/>
      <c r="Q212" s="177"/>
      <c r="R212" s="177"/>
    </row>
    <row r="213" spans="1:19" x14ac:dyDescent="0.3">
      <c r="A213" s="267"/>
      <c r="B213" s="1132" t="s">
        <v>710</v>
      </c>
      <c r="C213" s="1140">
        <v>3.7854118034613733</v>
      </c>
      <c r="D213" s="1143">
        <v>3.7854118034613732E-3</v>
      </c>
      <c r="E213" s="1135">
        <v>0.13368055729710784</v>
      </c>
      <c r="F213" s="1135">
        <v>0.83267418777772206</v>
      </c>
      <c r="G213" s="1133"/>
      <c r="H213" s="1142">
        <v>2.3809524800941183E-2</v>
      </c>
      <c r="I213" s="177"/>
      <c r="J213" s="177"/>
      <c r="K213" s="177"/>
      <c r="L213" s="177"/>
      <c r="M213" s="177"/>
      <c r="N213" s="177"/>
      <c r="O213" s="177"/>
      <c r="P213" s="177"/>
      <c r="Q213" s="177"/>
      <c r="R213" s="177"/>
    </row>
    <row r="214" spans="1:19" ht="15" thickBot="1" x14ac:dyDescent="0.35">
      <c r="A214" s="267"/>
      <c r="B214" s="1144" t="s">
        <v>716</v>
      </c>
      <c r="C214" s="1145">
        <v>158.98728912522174</v>
      </c>
      <c r="D214" s="1146">
        <v>0.15898728912522173</v>
      </c>
      <c r="E214" s="1147">
        <v>5.6145831726899269</v>
      </c>
      <c r="F214" s="1148">
        <v>34.972314430433606</v>
      </c>
      <c r="G214" s="1149">
        <v>41.999998251139822</v>
      </c>
      <c r="H214" s="1150"/>
      <c r="I214" s="177"/>
      <c r="J214" s="177"/>
      <c r="K214" s="177"/>
      <c r="L214" s="177"/>
      <c r="M214" s="177"/>
      <c r="N214" s="177"/>
      <c r="O214" s="177"/>
      <c r="P214" s="177"/>
      <c r="Q214" s="177"/>
      <c r="R214" s="177"/>
    </row>
    <row r="215" spans="1:19" x14ac:dyDescent="0.3">
      <c r="A215" s="267"/>
      <c r="B215" s="177"/>
      <c r="C215" s="177"/>
      <c r="D215" s="177"/>
      <c r="E215" s="177"/>
      <c r="F215" s="177"/>
      <c r="G215" s="177"/>
      <c r="H215" s="177"/>
      <c r="I215" s="177"/>
      <c r="J215" s="177"/>
      <c r="K215" s="177"/>
      <c r="L215" s="177"/>
      <c r="M215" s="177"/>
      <c r="N215" s="177"/>
      <c r="O215" s="177"/>
      <c r="P215" s="177"/>
      <c r="Q215" s="177"/>
      <c r="R215" s="177"/>
      <c r="S215" s="177"/>
    </row>
    <row r="216" spans="1:19" x14ac:dyDescent="0.3">
      <c r="A216" s="267"/>
      <c r="B216" s="177"/>
      <c r="C216" s="177"/>
      <c r="D216" s="177"/>
      <c r="E216" s="177"/>
      <c r="F216" s="177"/>
      <c r="G216" s="177"/>
      <c r="H216" s="177"/>
      <c r="I216" s="177"/>
      <c r="J216" s="177"/>
      <c r="K216" s="177"/>
      <c r="L216" s="177"/>
      <c r="M216" s="177"/>
      <c r="N216" s="177"/>
      <c r="O216" s="177"/>
      <c r="P216" s="177"/>
      <c r="Q216" s="177"/>
      <c r="R216" s="177"/>
      <c r="S216" s="177"/>
    </row>
    <row r="217" spans="1:19" x14ac:dyDescent="0.3">
      <c r="A217" s="267"/>
      <c r="B217" s="563" t="s">
        <v>717</v>
      </c>
      <c r="C217" s="177"/>
      <c r="D217" s="177"/>
      <c r="E217" s="177"/>
      <c r="F217" s="177"/>
      <c r="G217" s="177"/>
      <c r="H217" s="177"/>
      <c r="I217" s="177"/>
      <c r="J217" s="177"/>
      <c r="K217" s="177"/>
      <c r="L217" s="177"/>
      <c r="M217" s="177"/>
      <c r="N217" s="177"/>
      <c r="O217" s="177"/>
      <c r="P217" s="177"/>
      <c r="Q217" s="177"/>
      <c r="R217" s="177"/>
      <c r="S217" s="177"/>
    </row>
    <row r="218" spans="1:19" ht="15" thickBot="1" x14ac:dyDescent="0.35">
      <c r="A218" s="267"/>
      <c r="B218" s="177"/>
      <c r="C218" s="177"/>
      <c r="D218" s="177"/>
      <c r="E218" s="177"/>
      <c r="F218" s="177"/>
      <c r="G218" s="177"/>
      <c r="H218" s="177"/>
      <c r="I218" s="177"/>
      <c r="J218" s="177"/>
      <c r="K218" s="177"/>
      <c r="L218" s="177"/>
      <c r="M218" s="177"/>
      <c r="N218" s="177"/>
      <c r="O218" s="177"/>
      <c r="P218" s="177"/>
      <c r="Q218" s="177"/>
      <c r="R218" s="177"/>
      <c r="S218" s="177"/>
    </row>
    <row r="219" spans="1:19" x14ac:dyDescent="0.3">
      <c r="A219" s="267"/>
      <c r="B219" s="367"/>
      <c r="C219" s="527" t="s">
        <v>718</v>
      </c>
      <c r="D219" s="527" t="s">
        <v>719</v>
      </c>
      <c r="E219" s="527" t="s">
        <v>720</v>
      </c>
      <c r="F219" s="527" t="s">
        <v>559</v>
      </c>
      <c r="G219" s="528" t="s">
        <v>721</v>
      </c>
      <c r="H219" s="177"/>
      <c r="I219" s="177"/>
      <c r="J219" s="177"/>
      <c r="K219" s="177"/>
      <c r="L219" s="177"/>
      <c r="M219" s="177"/>
      <c r="N219" s="177"/>
      <c r="O219" s="177"/>
      <c r="P219" s="177"/>
      <c r="Q219" s="177"/>
      <c r="R219" s="177"/>
    </row>
    <row r="220" spans="1:19" x14ac:dyDescent="0.3">
      <c r="A220" s="267"/>
      <c r="B220" s="1132" t="s">
        <v>722</v>
      </c>
      <c r="C220" s="1133"/>
      <c r="D220" s="1140">
        <v>3.2808398950000002</v>
      </c>
      <c r="E220" s="1151">
        <v>6.2137119223733392E-4</v>
      </c>
      <c r="F220" s="1089">
        <v>1E-3</v>
      </c>
      <c r="G220" s="1152">
        <v>5.3995680351745805E-4</v>
      </c>
      <c r="H220" s="177"/>
      <c r="I220" s="177"/>
      <c r="J220" s="177"/>
      <c r="K220" s="177"/>
      <c r="L220" s="177"/>
      <c r="M220" s="177"/>
      <c r="N220" s="177"/>
      <c r="O220" s="177"/>
      <c r="P220" s="177"/>
      <c r="Q220" s="177"/>
      <c r="R220" s="177"/>
    </row>
    <row r="221" spans="1:19" x14ac:dyDescent="0.3">
      <c r="A221" s="267"/>
      <c r="B221" s="1132" t="s">
        <v>723</v>
      </c>
      <c r="C221" s="1135">
        <v>0.30480000000121921</v>
      </c>
      <c r="D221" s="1133"/>
      <c r="E221" s="1134">
        <v>1.8939393939469695E-4</v>
      </c>
      <c r="F221" s="1143">
        <v>3.0480000000121922E-4</v>
      </c>
      <c r="G221" s="1152">
        <v>1.6457883371277953E-4</v>
      </c>
      <c r="H221" s="177"/>
      <c r="I221" s="177"/>
      <c r="J221" s="177"/>
      <c r="K221" s="177"/>
      <c r="L221" s="177"/>
      <c r="M221" s="177"/>
      <c r="N221" s="177"/>
      <c r="O221" s="177"/>
      <c r="P221" s="177"/>
      <c r="Q221" s="177"/>
      <c r="R221" s="177"/>
    </row>
    <row r="222" spans="1:19" x14ac:dyDescent="0.3">
      <c r="A222" s="267"/>
      <c r="B222" s="1132" t="s">
        <v>724</v>
      </c>
      <c r="C222" s="1138">
        <v>1609.3440000000001</v>
      </c>
      <c r="D222" s="1137">
        <v>5279.9999999788806</v>
      </c>
      <c r="E222" s="1133"/>
      <c r="F222" s="1135">
        <v>1.6093440000000001</v>
      </c>
      <c r="G222" s="1141">
        <v>0.86897624200000001</v>
      </c>
      <c r="H222" s="177"/>
      <c r="I222" s="177"/>
      <c r="J222" s="177"/>
      <c r="K222" s="177"/>
      <c r="L222" s="177"/>
      <c r="M222" s="177"/>
      <c r="N222" s="177"/>
      <c r="O222" s="177"/>
      <c r="P222" s="177"/>
      <c r="Q222" s="177"/>
      <c r="R222" s="177"/>
    </row>
    <row r="223" spans="1:19" x14ac:dyDescent="0.3">
      <c r="A223" s="267"/>
      <c r="B223" s="1132" t="s">
        <v>725</v>
      </c>
      <c r="C223" s="1137">
        <v>1000</v>
      </c>
      <c r="D223" s="1153">
        <v>3280.8398950000001</v>
      </c>
      <c r="E223" s="1135">
        <v>0.62137119223733395</v>
      </c>
      <c r="F223" s="1133"/>
      <c r="G223" s="1141">
        <v>0.53995680351745801</v>
      </c>
      <c r="H223" s="177"/>
      <c r="I223" s="177"/>
      <c r="J223" s="177"/>
      <c r="K223" s="177"/>
      <c r="L223" s="177"/>
      <c r="M223" s="177"/>
      <c r="N223" s="177"/>
      <c r="O223" s="177"/>
      <c r="P223" s="177"/>
      <c r="Q223" s="177"/>
      <c r="R223" s="177"/>
    </row>
    <row r="224" spans="1:19" ht="15" thickBot="1" x14ac:dyDescent="0.35">
      <c r="A224" s="267"/>
      <c r="B224" s="1144" t="s">
        <v>726</v>
      </c>
      <c r="C224" s="1149">
        <v>1851.9999997882567</v>
      </c>
      <c r="D224" s="1154">
        <v>6076.1154848453043</v>
      </c>
      <c r="E224" s="1146">
        <v>1.1507794478919713</v>
      </c>
      <c r="F224" s="1148">
        <v>1.8519999997882568</v>
      </c>
      <c r="G224" s="1150"/>
      <c r="H224" s="177"/>
      <c r="I224" s="177"/>
      <c r="J224" s="177"/>
      <c r="K224" s="177"/>
      <c r="L224" s="177"/>
      <c r="M224" s="177"/>
      <c r="N224" s="177"/>
      <c r="O224" s="177"/>
      <c r="P224" s="177"/>
      <c r="Q224" s="177"/>
      <c r="R224" s="177"/>
    </row>
    <row r="225" spans="2:19" x14ac:dyDescent="0.3">
      <c r="B225" s="177"/>
      <c r="C225" s="177"/>
      <c r="D225" s="177"/>
      <c r="E225" s="177"/>
      <c r="F225" s="177"/>
      <c r="G225" s="177"/>
      <c r="H225" s="177"/>
      <c r="I225" s="177"/>
      <c r="J225" s="177"/>
      <c r="K225" s="177"/>
      <c r="L225" s="177"/>
      <c r="M225" s="177"/>
      <c r="N225" s="177"/>
      <c r="O225" s="177"/>
      <c r="P225" s="177"/>
      <c r="Q225" s="177"/>
      <c r="R225" s="177"/>
      <c r="S225" s="177"/>
    </row>
    <row r="226" spans="2:19" x14ac:dyDescent="0.3">
      <c r="B226" s="261"/>
      <c r="C226" s="261"/>
      <c r="D226" s="261"/>
      <c r="E226" s="261"/>
      <c r="F226" s="261"/>
      <c r="G226" s="261"/>
      <c r="H226" s="261"/>
      <c r="I226" s="261"/>
      <c r="J226" s="261"/>
      <c r="K226" s="261"/>
      <c r="L226" s="261"/>
      <c r="M226" s="261"/>
      <c r="N226" s="261"/>
      <c r="O226" s="261"/>
      <c r="P226" s="261"/>
      <c r="Q226" s="177"/>
      <c r="R226" s="177"/>
      <c r="S226" s="177"/>
    </row>
    <row r="227" spans="2:19" x14ac:dyDescent="0.3">
      <c r="B227" s="563" t="s">
        <v>727</v>
      </c>
      <c r="C227" s="261"/>
      <c r="D227" s="261"/>
      <c r="E227" s="261"/>
      <c r="F227" s="261"/>
      <c r="G227" s="261"/>
      <c r="H227" s="261"/>
      <c r="I227" s="261"/>
      <c r="J227" s="261"/>
      <c r="K227" s="261"/>
      <c r="L227" s="261"/>
      <c r="M227" s="261"/>
      <c r="N227" s="261"/>
      <c r="O227" s="261"/>
      <c r="P227" s="261"/>
      <c r="Q227" s="177"/>
      <c r="R227" s="177"/>
      <c r="S227" s="177"/>
    </row>
    <row r="228" spans="2:19" ht="15" thickBot="1" x14ac:dyDescent="0.35">
      <c r="B228" s="70" t="s">
        <v>624</v>
      </c>
      <c r="C228" s="177"/>
      <c r="D228" s="177"/>
      <c r="E228" s="177"/>
      <c r="F228" s="177"/>
      <c r="G228" s="177"/>
      <c r="H228" s="177"/>
      <c r="I228" s="177"/>
      <c r="J228" s="177"/>
      <c r="K228" s="177"/>
      <c r="L228" s="177"/>
      <c r="M228" s="177"/>
      <c r="N228" s="177"/>
      <c r="O228" s="177"/>
      <c r="P228" s="264"/>
      <c r="Q228" s="177"/>
      <c r="R228" s="177"/>
      <c r="S228" s="177"/>
    </row>
    <row r="229" spans="2:19" x14ac:dyDescent="0.3">
      <c r="B229" s="1489"/>
      <c r="C229" s="533" t="s">
        <v>728</v>
      </c>
      <c r="D229" s="533" t="s">
        <v>729</v>
      </c>
      <c r="E229" s="533" t="s">
        <v>730</v>
      </c>
      <c r="F229" s="533" t="s">
        <v>731</v>
      </c>
      <c r="G229" s="533" t="s">
        <v>728</v>
      </c>
      <c r="H229" s="533" t="s">
        <v>729</v>
      </c>
      <c r="I229" s="533" t="s">
        <v>728</v>
      </c>
      <c r="J229" s="534" t="s">
        <v>729</v>
      </c>
      <c r="M229" s="177"/>
      <c r="N229" s="264"/>
      <c r="O229" s="177"/>
      <c r="P229" s="177"/>
      <c r="Q229" s="177"/>
    </row>
    <row r="230" spans="2:19" ht="16.2" x14ac:dyDescent="0.3">
      <c r="B230" s="1490"/>
      <c r="C230" s="1155" t="s">
        <v>732</v>
      </c>
      <c r="D230" s="1156" t="s">
        <v>732</v>
      </c>
      <c r="E230" s="1156" t="s">
        <v>733</v>
      </c>
      <c r="F230" s="1156" t="s">
        <v>734</v>
      </c>
      <c r="G230" s="1155" t="s">
        <v>735</v>
      </c>
      <c r="H230" s="1155" t="s">
        <v>735</v>
      </c>
      <c r="I230" s="1155" t="s">
        <v>736</v>
      </c>
      <c r="J230" s="1157" t="s">
        <v>736</v>
      </c>
      <c r="M230" s="177"/>
      <c r="N230" s="273"/>
      <c r="O230" s="177"/>
      <c r="P230" s="177"/>
      <c r="Q230" s="177"/>
    </row>
    <row r="231" spans="2:19" x14ac:dyDescent="0.3">
      <c r="B231" s="1158" t="s">
        <v>737</v>
      </c>
      <c r="C231" s="1138">
        <v>44.796999999999997</v>
      </c>
      <c r="D231" s="1138">
        <v>47.155000000000001</v>
      </c>
      <c r="E231" s="1138">
        <v>729.92700000000002</v>
      </c>
      <c r="F231" s="1138">
        <v>1370</v>
      </c>
      <c r="G231" s="1138">
        <v>12.444000000000001</v>
      </c>
      <c r="H231" s="1138">
        <v>13.099</v>
      </c>
      <c r="I231" s="1138">
        <v>9.0830000000000002</v>
      </c>
      <c r="J231" s="1159">
        <v>9.5609999999999999</v>
      </c>
      <c r="M231" s="177"/>
      <c r="N231" s="264"/>
      <c r="O231" s="177"/>
      <c r="P231" s="177"/>
      <c r="Q231" s="177"/>
    </row>
    <row r="232" spans="2:19" x14ac:dyDescent="0.3">
      <c r="B232" s="1158" t="s">
        <v>556</v>
      </c>
      <c r="C232" s="1138">
        <v>43.905000000000001</v>
      </c>
      <c r="D232" s="1138">
        <v>46.215000000000003</v>
      </c>
      <c r="E232" s="1138">
        <v>800</v>
      </c>
      <c r="F232" s="1138">
        <v>1250</v>
      </c>
      <c r="G232" s="1138">
        <v>12.196</v>
      </c>
      <c r="H232" s="1138">
        <v>12.837999999999999</v>
      </c>
      <c r="I232" s="1138">
        <v>9.7569999999999997</v>
      </c>
      <c r="J232" s="1159">
        <v>10.27</v>
      </c>
      <c r="M232" s="177"/>
      <c r="N232" s="264"/>
      <c r="O232" s="177"/>
      <c r="P232" s="177"/>
      <c r="Q232" s="177"/>
    </row>
    <row r="233" spans="2:19" x14ac:dyDescent="0.3">
      <c r="B233" s="1158" t="s">
        <v>738</v>
      </c>
      <c r="C233" s="1138">
        <v>43.865000000000002</v>
      </c>
      <c r="D233" s="1138">
        <v>46.173999999999999</v>
      </c>
      <c r="E233" s="1138">
        <v>802.56799999999998</v>
      </c>
      <c r="F233" s="1138">
        <v>1246</v>
      </c>
      <c r="G233" s="1138">
        <v>12.185</v>
      </c>
      <c r="H233" s="1138">
        <v>12.826000000000001</v>
      </c>
      <c r="I233" s="1138">
        <v>9.7789999999999999</v>
      </c>
      <c r="J233" s="1159">
        <v>10.294</v>
      </c>
      <c r="M233" s="177"/>
      <c r="N233" s="264"/>
      <c r="O233" s="177"/>
      <c r="P233" s="177"/>
      <c r="Q233" s="177"/>
    </row>
    <row r="234" spans="2:19" x14ac:dyDescent="0.3">
      <c r="B234" s="1158" t="s">
        <v>621</v>
      </c>
      <c r="C234" s="1160">
        <v>28.613</v>
      </c>
      <c r="D234" s="1160">
        <v>30.119</v>
      </c>
      <c r="E234" s="1160">
        <v>850</v>
      </c>
      <c r="F234" s="1160">
        <v>1176.471</v>
      </c>
      <c r="G234" s="1160">
        <v>7.9480000000000004</v>
      </c>
      <c r="H234" s="1160">
        <v>8.3659999999999997</v>
      </c>
      <c r="I234" s="1160">
        <v>6.7560000000000002</v>
      </c>
      <c r="J234" s="1161">
        <v>7.1109999999999998</v>
      </c>
      <c r="M234" s="177"/>
      <c r="N234" s="264"/>
      <c r="O234" s="177"/>
      <c r="P234" s="177"/>
      <c r="Q234" s="177"/>
    </row>
    <row r="235" spans="2:19" ht="28.8" x14ac:dyDescent="0.3">
      <c r="B235" s="1158" t="s">
        <v>620</v>
      </c>
      <c r="C235" s="1160">
        <v>23.826000000000001</v>
      </c>
      <c r="D235" s="1160">
        <v>25.08</v>
      </c>
      <c r="E235" s="1162"/>
      <c r="F235" s="1162"/>
      <c r="G235" s="1160">
        <v>6.6180000000000003</v>
      </c>
      <c r="H235" s="1160">
        <v>6.9669999999999996</v>
      </c>
      <c r="I235" s="1163"/>
      <c r="J235" s="1164"/>
      <c r="M235" s="177"/>
      <c r="N235" s="263"/>
      <c r="O235" s="177"/>
      <c r="P235" s="177"/>
      <c r="Q235" s="177"/>
    </row>
    <row r="236" spans="2:19" ht="43.2" x14ac:dyDescent="0.3">
      <c r="B236" s="1158" t="s">
        <v>622</v>
      </c>
      <c r="C236" s="1160">
        <v>23.789000000000001</v>
      </c>
      <c r="D236" s="1160">
        <v>25.041</v>
      </c>
      <c r="E236" s="1162"/>
      <c r="F236" s="1162"/>
      <c r="G236" s="1160">
        <v>6.6079999999999997</v>
      </c>
      <c r="H236" s="1160">
        <v>6.9560000000000004</v>
      </c>
      <c r="I236" s="1163"/>
      <c r="J236" s="1164"/>
      <c r="M236" s="177"/>
      <c r="N236" s="263"/>
      <c r="O236" s="177"/>
      <c r="P236" s="177"/>
      <c r="Q236" s="177"/>
    </row>
    <row r="237" spans="2:19" x14ac:dyDescent="0.3">
      <c r="B237" s="1158" t="s">
        <v>619</v>
      </c>
      <c r="C237" s="1160">
        <v>25.405000000000001</v>
      </c>
      <c r="D237" s="1160">
        <v>26.742000000000001</v>
      </c>
      <c r="E237" s="1162"/>
      <c r="F237" s="1162"/>
      <c r="G237" s="1160">
        <v>7.0570000000000004</v>
      </c>
      <c r="H237" s="1160">
        <v>7.4279999999999999</v>
      </c>
      <c r="I237" s="1163"/>
      <c r="J237" s="1164"/>
      <c r="M237" s="177"/>
      <c r="N237" s="264"/>
      <c r="O237" s="177"/>
      <c r="P237" s="177"/>
      <c r="Q237" s="177"/>
    </row>
    <row r="238" spans="2:19" x14ac:dyDescent="0.3">
      <c r="B238" s="1158" t="s">
        <v>739</v>
      </c>
      <c r="C238" s="1160">
        <v>30.24</v>
      </c>
      <c r="D238" s="1160">
        <v>31.832000000000001</v>
      </c>
      <c r="E238" s="1162"/>
      <c r="F238" s="1162"/>
      <c r="G238" s="1160">
        <v>8.4</v>
      </c>
      <c r="H238" s="1160">
        <v>8.8420000000000005</v>
      </c>
      <c r="I238" s="1163"/>
      <c r="J238" s="1164"/>
      <c r="M238" s="177"/>
      <c r="N238" s="264"/>
      <c r="O238" s="177"/>
      <c r="P238" s="177"/>
      <c r="Q238" s="177"/>
    </row>
    <row r="239" spans="2:19" ht="28.8" x14ac:dyDescent="0.3">
      <c r="B239" s="1158" t="s">
        <v>608</v>
      </c>
      <c r="C239" s="1160">
        <v>43.027000000000001</v>
      </c>
      <c r="D239" s="1160">
        <v>45.774000000000001</v>
      </c>
      <c r="E239" s="1160">
        <v>830.56500000000005</v>
      </c>
      <c r="F239" s="1160">
        <v>1204</v>
      </c>
      <c r="G239" s="1160">
        <v>11.952</v>
      </c>
      <c r="H239" s="1160">
        <v>12.715</v>
      </c>
      <c r="I239" s="1160">
        <v>9.9269999999999996</v>
      </c>
      <c r="J239" s="1161">
        <v>10.561</v>
      </c>
      <c r="M239" s="177"/>
      <c r="N239" s="264"/>
      <c r="O239" s="177"/>
      <c r="P239" s="177"/>
      <c r="Q239" s="177"/>
    </row>
    <row r="240" spans="2:19" ht="28.8" x14ac:dyDescent="0.3">
      <c r="B240" s="1158" t="s">
        <v>607</v>
      </c>
      <c r="C240" s="1160">
        <v>42.838999999999999</v>
      </c>
      <c r="D240" s="1160">
        <v>45.545000000000002</v>
      </c>
      <c r="E240" s="1160">
        <v>832.36099999999999</v>
      </c>
      <c r="F240" s="1160">
        <v>1201.402</v>
      </c>
      <c r="G240" s="1160">
        <v>11.9</v>
      </c>
      <c r="H240" s="1160">
        <v>12.651</v>
      </c>
      <c r="I240" s="1160">
        <v>9.9049999999999994</v>
      </c>
      <c r="J240" s="1161">
        <v>10.531000000000001</v>
      </c>
      <c r="M240" s="177"/>
      <c r="N240" s="264"/>
      <c r="O240" s="177"/>
      <c r="P240" s="177"/>
      <c r="Q240" s="177"/>
    </row>
    <row r="241" spans="2:17" x14ac:dyDescent="0.3">
      <c r="B241" s="1158" t="s">
        <v>740</v>
      </c>
      <c r="C241" s="1160">
        <v>40.752000000000002</v>
      </c>
      <c r="D241" s="1160">
        <v>43.353000000000002</v>
      </c>
      <c r="E241" s="1160">
        <v>983.28399999999999</v>
      </c>
      <c r="F241" s="1160">
        <v>1017</v>
      </c>
      <c r="G241" s="1160">
        <v>11.32</v>
      </c>
      <c r="H241" s="1160">
        <v>12.042</v>
      </c>
      <c r="I241" s="1160">
        <v>11.131</v>
      </c>
      <c r="J241" s="1161">
        <v>11.840999999999999</v>
      </c>
      <c r="M241" s="177"/>
      <c r="N241" s="264"/>
      <c r="O241" s="177"/>
      <c r="P241" s="177"/>
      <c r="Q241" s="177"/>
    </row>
    <row r="242" spans="2:17" x14ac:dyDescent="0.3">
      <c r="B242" s="1158" t="s">
        <v>741</v>
      </c>
      <c r="C242" s="1160">
        <v>42.569000000000003</v>
      </c>
      <c r="D242" s="1160">
        <v>45.286000000000001</v>
      </c>
      <c r="E242" s="1160">
        <v>853.971</v>
      </c>
      <c r="F242" s="1160">
        <v>1171</v>
      </c>
      <c r="G242" s="1160">
        <v>11.824999999999999</v>
      </c>
      <c r="H242" s="1160">
        <v>12.579000000000001</v>
      </c>
      <c r="I242" s="1160">
        <v>10.098000000000001</v>
      </c>
      <c r="J242" s="1161">
        <v>10.742000000000001</v>
      </c>
      <c r="M242" s="177"/>
      <c r="N242" s="264"/>
      <c r="O242" s="177"/>
      <c r="P242" s="177"/>
      <c r="Q242" s="177"/>
    </row>
    <row r="243" spans="2:17" x14ac:dyDescent="0.3">
      <c r="B243" s="1158" t="s">
        <v>579</v>
      </c>
      <c r="C243" s="1160">
        <v>40.752000000000002</v>
      </c>
      <c r="D243" s="1160">
        <v>43.353000000000002</v>
      </c>
      <c r="E243" s="1160">
        <v>864.30399999999997</v>
      </c>
      <c r="F243" s="1160">
        <v>1157</v>
      </c>
      <c r="G243" s="1160">
        <v>11.32</v>
      </c>
      <c r="H243" s="1160">
        <v>12.042</v>
      </c>
      <c r="I243" s="1160">
        <v>9.7840000000000007</v>
      </c>
      <c r="J243" s="1161">
        <v>10.407999999999999</v>
      </c>
      <c r="M243" s="177"/>
      <c r="N243" s="264"/>
      <c r="O243" s="177"/>
      <c r="P243" s="177"/>
      <c r="Q243" s="177"/>
    </row>
    <row r="244" spans="2:17" x14ac:dyDescent="0.3">
      <c r="B244" s="1158" t="s">
        <v>599</v>
      </c>
      <c r="C244" s="1160">
        <v>45.944000000000003</v>
      </c>
      <c r="D244" s="1160">
        <v>49.332999999999998</v>
      </c>
      <c r="E244" s="1160">
        <v>529.74900000000002</v>
      </c>
      <c r="F244" s="1160">
        <v>1887.6849999999999</v>
      </c>
      <c r="G244" s="1160">
        <v>12.762</v>
      </c>
      <c r="H244" s="1160">
        <v>13.704000000000001</v>
      </c>
      <c r="I244" s="1160">
        <v>6.7610000000000001</v>
      </c>
      <c r="J244" s="1161">
        <v>7.2590000000000003</v>
      </c>
      <c r="M244" s="177"/>
      <c r="N244" s="264"/>
      <c r="O244" s="177"/>
      <c r="P244" s="177"/>
      <c r="Q244" s="177"/>
    </row>
    <row r="245" spans="2:17" x14ac:dyDescent="0.3">
      <c r="B245" s="1158" t="s">
        <v>580</v>
      </c>
      <c r="C245" s="1160">
        <v>45.447000000000003</v>
      </c>
      <c r="D245" s="1160">
        <v>47.838999999999999</v>
      </c>
      <c r="E245" s="1160">
        <v>674.30899999999997</v>
      </c>
      <c r="F245" s="1160">
        <v>1483</v>
      </c>
      <c r="G245" s="1160">
        <v>12.624000000000001</v>
      </c>
      <c r="H245" s="1160">
        <v>13.289</v>
      </c>
      <c r="I245" s="1160">
        <v>8.5129999999999999</v>
      </c>
      <c r="J245" s="1161">
        <v>8.9610000000000003</v>
      </c>
      <c r="M245" s="177"/>
      <c r="N245" s="264"/>
      <c r="O245" s="177"/>
      <c r="P245" s="177"/>
      <c r="Q245" s="177"/>
    </row>
    <row r="246" spans="2:17" x14ac:dyDescent="0.3">
      <c r="B246" s="1158" t="s">
        <v>280</v>
      </c>
      <c r="C246" s="1160">
        <v>45.744999999999997</v>
      </c>
      <c r="D246" s="1160">
        <v>50.677999999999997</v>
      </c>
      <c r="E246" s="1160">
        <v>0.80200000000000005</v>
      </c>
      <c r="F246" s="1160">
        <v>1246142.986</v>
      </c>
      <c r="G246" s="1160">
        <v>12.707000000000001</v>
      </c>
      <c r="H246" s="1160">
        <v>14.077</v>
      </c>
      <c r="I246" s="1160">
        <v>0.01</v>
      </c>
      <c r="J246" s="1161">
        <v>1.0999999999999999E-2</v>
      </c>
      <c r="M246" s="177"/>
      <c r="N246" s="264"/>
      <c r="O246" s="177"/>
      <c r="P246" s="177"/>
      <c r="Q246" s="177"/>
    </row>
    <row r="247" spans="2:17" ht="28.8" x14ac:dyDescent="0.3">
      <c r="B247" s="1158" t="s">
        <v>742</v>
      </c>
      <c r="C247" s="1160">
        <v>45.744999999999997</v>
      </c>
      <c r="D247" s="1160">
        <v>50.677999999999997</v>
      </c>
      <c r="E247" s="1160">
        <v>0.80200000000000005</v>
      </c>
      <c r="F247" s="1160">
        <v>1246142.986</v>
      </c>
      <c r="G247" s="1160">
        <v>12.707000000000001</v>
      </c>
      <c r="H247" s="1160">
        <v>14.077</v>
      </c>
      <c r="I247" s="1160">
        <v>0.01</v>
      </c>
      <c r="J247" s="1161">
        <v>1.0999999999999999E-2</v>
      </c>
      <c r="M247" s="177"/>
      <c r="N247" s="264"/>
      <c r="O247" s="177"/>
      <c r="P247" s="177"/>
      <c r="Q247" s="177"/>
    </row>
    <row r="248" spans="2:17" x14ac:dyDescent="0.3">
      <c r="B248" s="1158" t="s">
        <v>602</v>
      </c>
      <c r="C248" s="1160">
        <v>46.601999999999997</v>
      </c>
      <c r="D248" s="1160">
        <v>50.654000000000003</v>
      </c>
      <c r="E248" s="1160">
        <v>366.3</v>
      </c>
      <c r="F248" s="1160">
        <v>2730</v>
      </c>
      <c r="G248" s="1160">
        <v>12.945</v>
      </c>
      <c r="H248" s="1160">
        <v>14.071</v>
      </c>
      <c r="I248" s="1160">
        <v>4.742</v>
      </c>
      <c r="J248" s="1161">
        <v>5.1539999999999999</v>
      </c>
      <c r="M248" s="177"/>
      <c r="N248" s="264"/>
      <c r="O248" s="177"/>
      <c r="P248" s="177"/>
      <c r="Q248" s="177"/>
    </row>
    <row r="249" spans="2:17" x14ac:dyDescent="0.3">
      <c r="B249" s="1158" t="s">
        <v>581</v>
      </c>
      <c r="C249" s="1160">
        <v>33.972000000000001</v>
      </c>
      <c r="D249" s="1160">
        <v>35.76</v>
      </c>
      <c r="E249" s="1165"/>
      <c r="F249" s="1165"/>
      <c r="G249" s="1160">
        <v>9.4369999999999994</v>
      </c>
      <c r="H249" s="1160">
        <v>9.9329999999999998</v>
      </c>
      <c r="I249" s="1165"/>
      <c r="J249" s="1166"/>
      <c r="M249" s="177"/>
      <c r="N249" s="264"/>
      <c r="O249" s="177"/>
      <c r="P249" s="177"/>
      <c r="Q249" s="177"/>
    </row>
    <row r="250" spans="2:17" ht="28.8" x14ac:dyDescent="0.3">
      <c r="B250" s="1158" t="s">
        <v>611</v>
      </c>
      <c r="C250" s="1160">
        <v>44.65</v>
      </c>
      <c r="D250" s="1160">
        <v>47</v>
      </c>
      <c r="E250" s="1160">
        <v>741.84</v>
      </c>
      <c r="F250" s="1160">
        <v>1348</v>
      </c>
      <c r="G250" s="1160">
        <v>12.403</v>
      </c>
      <c r="H250" s="1160">
        <v>13.055999999999999</v>
      </c>
      <c r="I250" s="1160">
        <v>9.2010000000000005</v>
      </c>
      <c r="J250" s="1161">
        <v>9.6850000000000005</v>
      </c>
      <c r="M250" s="177"/>
      <c r="N250" s="264"/>
      <c r="O250" s="177"/>
      <c r="P250" s="177"/>
      <c r="Q250" s="177"/>
    </row>
    <row r="251" spans="2:17" ht="28.8" x14ac:dyDescent="0.3">
      <c r="B251" s="1158" t="s">
        <v>610</v>
      </c>
      <c r="C251" s="1160">
        <v>43.061</v>
      </c>
      <c r="D251" s="1160">
        <v>45.46</v>
      </c>
      <c r="E251" s="1160">
        <v>746.20399999999995</v>
      </c>
      <c r="F251" s="1160">
        <v>1340.116</v>
      </c>
      <c r="G251" s="1160">
        <v>11.961</v>
      </c>
      <c r="H251" s="1160">
        <v>12.628</v>
      </c>
      <c r="I251" s="1160">
        <v>8.9260000000000002</v>
      </c>
      <c r="J251" s="1161">
        <v>9.423</v>
      </c>
      <c r="M251" s="177"/>
      <c r="N251" s="264"/>
      <c r="O251" s="177"/>
      <c r="P251" s="177"/>
      <c r="Q251" s="177"/>
    </row>
    <row r="252" spans="2:17" x14ac:dyDescent="0.3">
      <c r="B252" s="1158" t="s">
        <v>615</v>
      </c>
      <c r="C252" s="1160">
        <v>42.207999999999998</v>
      </c>
      <c r="D252" s="1160">
        <v>45.2</v>
      </c>
      <c r="E252" s="1160">
        <v>853.971</v>
      </c>
      <c r="F252" s="1160">
        <v>1171</v>
      </c>
      <c r="G252" s="1160">
        <v>11.724</v>
      </c>
      <c r="H252" s="1160">
        <v>12.555999999999999</v>
      </c>
      <c r="I252" s="1160">
        <v>10.012</v>
      </c>
      <c r="J252" s="1161">
        <v>10.722</v>
      </c>
      <c r="M252" s="177"/>
      <c r="N252" s="264"/>
      <c r="O252" s="177"/>
      <c r="P252" s="177"/>
      <c r="Q252" s="177"/>
    </row>
    <row r="253" spans="2:17" x14ac:dyDescent="0.3">
      <c r="B253" s="1158" t="s">
        <v>743</v>
      </c>
      <c r="C253" s="1160">
        <v>37.200000000000003</v>
      </c>
      <c r="D253" s="1160">
        <v>38.700000000000003</v>
      </c>
      <c r="E253" s="1160">
        <v>890</v>
      </c>
      <c r="F253" s="1167">
        <v>1123.596</v>
      </c>
      <c r="G253" s="1160">
        <v>10.333</v>
      </c>
      <c r="H253" s="1160">
        <v>10.75</v>
      </c>
      <c r="I253" s="1160">
        <v>9.1969999999999992</v>
      </c>
      <c r="J253" s="1161">
        <v>9.5679999999999996</v>
      </c>
      <c r="M253" s="177"/>
      <c r="N253" s="264"/>
      <c r="O253" s="177"/>
      <c r="P253" s="177"/>
      <c r="Q253" s="177"/>
    </row>
    <row r="254" spans="2:17" x14ac:dyDescent="0.3">
      <c r="B254" s="1158" t="s">
        <v>744</v>
      </c>
      <c r="C254" s="1160">
        <v>44</v>
      </c>
      <c r="D254" s="1160">
        <v>45.832999999999998</v>
      </c>
      <c r="E254" s="1160">
        <v>780</v>
      </c>
      <c r="F254" s="1167">
        <v>1282.0509999999999</v>
      </c>
      <c r="G254" s="1160">
        <v>12.222</v>
      </c>
      <c r="H254" s="1160">
        <v>12.731</v>
      </c>
      <c r="I254" s="1160">
        <v>9.5329999999999995</v>
      </c>
      <c r="J254" s="1161">
        <v>9.9309999999999992</v>
      </c>
      <c r="M254" s="177"/>
      <c r="N254" s="264"/>
      <c r="O254" s="177"/>
      <c r="P254" s="177"/>
      <c r="Q254" s="177"/>
    </row>
    <row r="255" spans="2:17" x14ac:dyDescent="0.3">
      <c r="B255" s="1158" t="s">
        <v>745</v>
      </c>
      <c r="C255" s="1160">
        <v>26.8</v>
      </c>
      <c r="D255" s="1160">
        <v>29.7</v>
      </c>
      <c r="E255" s="1160">
        <v>794</v>
      </c>
      <c r="F255" s="1167">
        <v>1259.4459999999999</v>
      </c>
      <c r="G255" s="1160">
        <v>7.444</v>
      </c>
      <c r="H255" s="1160">
        <v>8.25</v>
      </c>
      <c r="I255" s="1160">
        <v>5.9109999999999996</v>
      </c>
      <c r="J255" s="1161">
        <v>6.5510000000000002</v>
      </c>
      <c r="M255" s="177"/>
      <c r="N255" s="264"/>
      <c r="O255" s="177"/>
      <c r="P255" s="177"/>
      <c r="Q255" s="177"/>
    </row>
    <row r="256" spans="2:17" x14ac:dyDescent="0.3">
      <c r="B256" s="1158" t="s">
        <v>746</v>
      </c>
      <c r="C256" s="1160">
        <v>36.299999999999997</v>
      </c>
      <c r="D256" s="1160">
        <v>39.628999999999998</v>
      </c>
      <c r="E256" s="1160">
        <v>750</v>
      </c>
      <c r="F256" s="1167">
        <v>1333.3330000000001</v>
      </c>
      <c r="G256" s="1160">
        <v>10.083</v>
      </c>
      <c r="H256" s="1160">
        <v>11.007999999999999</v>
      </c>
      <c r="I256" s="1160">
        <v>7.5629999999999997</v>
      </c>
      <c r="J256" s="1161">
        <v>8.2560000000000002</v>
      </c>
      <c r="M256" s="177"/>
      <c r="N256" s="264"/>
      <c r="O256" s="177"/>
      <c r="P256" s="177"/>
      <c r="Q256" s="177"/>
    </row>
    <row r="257" spans="2:19" x14ac:dyDescent="0.3">
      <c r="B257" s="1158" t="s">
        <v>747</v>
      </c>
      <c r="C257" s="1160">
        <v>20</v>
      </c>
      <c r="D257" s="1160">
        <v>21.978000000000002</v>
      </c>
      <c r="E257" s="1160">
        <v>1.1499999999999999</v>
      </c>
      <c r="F257" s="1167">
        <v>869565.21699999995</v>
      </c>
      <c r="G257" s="1160">
        <v>5.556</v>
      </c>
      <c r="H257" s="1160">
        <v>6.1050000000000004</v>
      </c>
      <c r="I257" s="1160">
        <v>6.0000000000000001E-3</v>
      </c>
      <c r="J257" s="1161">
        <v>7.0000000000000001E-3</v>
      </c>
      <c r="M257" s="177"/>
      <c r="N257" s="264"/>
      <c r="O257" s="177"/>
      <c r="P257" s="177"/>
      <c r="Q257" s="177"/>
    </row>
    <row r="258" spans="2:19" x14ac:dyDescent="0.3">
      <c r="B258" s="1158" t="s">
        <v>748</v>
      </c>
      <c r="C258" s="1160">
        <v>49</v>
      </c>
      <c r="D258" s="1160">
        <v>54.298000000000002</v>
      </c>
      <c r="E258" s="1160">
        <v>0.72499999999999998</v>
      </c>
      <c r="F258" s="1167">
        <v>1379355.673</v>
      </c>
      <c r="G258" s="1160">
        <v>13.611000000000001</v>
      </c>
      <c r="H258" s="1160">
        <v>15.083</v>
      </c>
      <c r="I258" s="1160">
        <v>0.01</v>
      </c>
      <c r="J258" s="1161">
        <v>1.0999999999999999E-2</v>
      </c>
      <c r="M258" s="177"/>
      <c r="N258" s="264"/>
      <c r="O258" s="177"/>
      <c r="P258" s="177"/>
      <c r="Q258" s="177"/>
    </row>
    <row r="259" spans="2:19" x14ac:dyDescent="0.3">
      <c r="B259" s="1158" t="s">
        <v>594</v>
      </c>
      <c r="C259" s="1160">
        <v>45.744999999999997</v>
      </c>
      <c r="D259" s="1160">
        <v>50.677999999999997</v>
      </c>
      <c r="E259" s="1160">
        <v>175</v>
      </c>
      <c r="F259" s="1167">
        <v>5714.2860000000001</v>
      </c>
      <c r="G259" s="1160">
        <v>12.707000000000001</v>
      </c>
      <c r="H259" s="1160">
        <v>14.077</v>
      </c>
      <c r="I259" s="1160">
        <v>2.2240000000000002</v>
      </c>
      <c r="J259" s="1161">
        <v>2.464</v>
      </c>
      <c r="M259" s="177"/>
      <c r="N259" s="264"/>
      <c r="O259" s="177"/>
      <c r="P259" s="177"/>
      <c r="Q259" s="177"/>
    </row>
    <row r="260" spans="2:19" x14ac:dyDescent="0.3">
      <c r="B260" s="1158" t="s">
        <v>749</v>
      </c>
      <c r="C260" s="1160">
        <v>13.468</v>
      </c>
      <c r="D260" s="1160">
        <v>15.845000000000001</v>
      </c>
      <c r="E260" s="1160">
        <v>160</v>
      </c>
      <c r="F260" s="1167">
        <v>6250</v>
      </c>
      <c r="G260" s="1160">
        <v>3.7410000000000001</v>
      </c>
      <c r="H260" s="1160">
        <v>4.4009999999999998</v>
      </c>
      <c r="I260" s="1168"/>
      <c r="J260" s="1169"/>
      <c r="M260" s="177"/>
      <c r="N260" s="264"/>
      <c r="O260" s="177"/>
      <c r="P260" s="177"/>
      <c r="Q260" s="177"/>
    </row>
    <row r="261" spans="2:19" x14ac:dyDescent="0.3">
      <c r="B261" s="1158" t="s">
        <v>750</v>
      </c>
      <c r="C261" s="1160">
        <v>12.3</v>
      </c>
      <c r="D261" s="1160">
        <v>13.516</v>
      </c>
      <c r="E261" s="1160">
        <v>1.3</v>
      </c>
      <c r="F261" s="1167">
        <v>769230.76899999997</v>
      </c>
      <c r="G261" s="1160">
        <v>3.4169999999999998</v>
      </c>
      <c r="H261" s="1160">
        <v>3.7549999999999999</v>
      </c>
      <c r="I261" s="1160">
        <v>4.0000000000000001E-3</v>
      </c>
      <c r="J261" s="1161">
        <v>5.0000000000000001E-3</v>
      </c>
      <c r="M261" s="177"/>
      <c r="N261" s="264"/>
      <c r="O261" s="177"/>
      <c r="P261" s="177"/>
      <c r="Q261" s="177"/>
    </row>
    <row r="262" spans="2:19" x14ac:dyDescent="0.3">
      <c r="B262" s="1158" t="s">
        <v>598</v>
      </c>
      <c r="C262" s="1160">
        <v>45.744999999999997</v>
      </c>
      <c r="D262" s="1160">
        <v>50.677999999999997</v>
      </c>
      <c r="E262" s="1160">
        <v>452.48899999999998</v>
      </c>
      <c r="F262" s="1167">
        <v>2210</v>
      </c>
      <c r="G262" s="1160">
        <v>12.707000000000001</v>
      </c>
      <c r="H262" s="1160">
        <v>14.077</v>
      </c>
      <c r="I262" s="1160">
        <v>5.75</v>
      </c>
      <c r="J262" s="1161">
        <v>6.37</v>
      </c>
      <c r="M262" s="177"/>
      <c r="N262" s="264"/>
      <c r="O262" s="177"/>
      <c r="P262" s="177"/>
      <c r="Q262" s="177"/>
    </row>
    <row r="263" spans="2:19" x14ac:dyDescent="0.3">
      <c r="B263" s="1158" t="s">
        <v>751</v>
      </c>
      <c r="C263" s="1160">
        <v>13.6</v>
      </c>
      <c r="D263" s="1160">
        <v>14.712999999999999</v>
      </c>
      <c r="E263" s="1160">
        <v>253</v>
      </c>
      <c r="F263" s="1167">
        <v>3952.569</v>
      </c>
      <c r="G263" s="1160">
        <v>3.778</v>
      </c>
      <c r="H263" s="1160">
        <v>4.0869999999999997</v>
      </c>
      <c r="I263" s="1168"/>
      <c r="J263" s="1169"/>
      <c r="M263" s="177"/>
      <c r="N263" s="264"/>
      <c r="O263" s="177"/>
      <c r="P263" s="177"/>
      <c r="Q263" s="177"/>
    </row>
    <row r="264" spans="2:19" x14ac:dyDescent="0.3">
      <c r="B264" s="1158" t="s">
        <v>752</v>
      </c>
      <c r="C264" s="1160">
        <v>14.71</v>
      </c>
      <c r="D264" s="1160">
        <v>16.256</v>
      </c>
      <c r="E264" s="1160">
        <v>425</v>
      </c>
      <c r="F264" s="1167">
        <v>2352.9409999999998</v>
      </c>
      <c r="G264" s="1160">
        <v>4.0860000000000003</v>
      </c>
      <c r="H264" s="1160">
        <v>4.516</v>
      </c>
      <c r="I264" s="1168"/>
      <c r="J264" s="1169"/>
      <c r="M264" s="177"/>
      <c r="N264" s="264"/>
      <c r="O264" s="177"/>
      <c r="P264" s="177"/>
      <c r="Q264" s="177"/>
    </row>
    <row r="265" spans="2:19" x14ac:dyDescent="0.3">
      <c r="B265" s="1158" t="s">
        <v>753</v>
      </c>
      <c r="C265" s="1160">
        <v>17.28</v>
      </c>
      <c r="D265" s="1160">
        <v>18.693999999999999</v>
      </c>
      <c r="E265" s="1170">
        <v>650</v>
      </c>
      <c r="F265" s="1171">
        <v>1538.462</v>
      </c>
      <c r="G265" s="1160">
        <v>4.8</v>
      </c>
      <c r="H265" s="1160">
        <v>5.1929999999999996</v>
      </c>
      <c r="I265" s="1168"/>
      <c r="J265" s="1169"/>
      <c r="M265" s="177"/>
      <c r="N265" s="264"/>
      <c r="O265" s="177"/>
      <c r="P265" s="177"/>
      <c r="Q265" s="177"/>
    </row>
    <row r="266" spans="2:19" ht="16.2" x14ac:dyDescent="0.3">
      <c r="B266" s="1158" t="s">
        <v>754</v>
      </c>
      <c r="C266" s="1160">
        <v>50</v>
      </c>
      <c r="D266" s="1160">
        <v>55.405999999999999</v>
      </c>
      <c r="E266" s="1160">
        <v>0.71599999999999997</v>
      </c>
      <c r="F266" s="1167">
        <v>1397112.108</v>
      </c>
      <c r="G266" s="1160">
        <v>13.888999999999999</v>
      </c>
      <c r="H266" s="1160">
        <v>15.391</v>
      </c>
      <c r="I266" s="1160">
        <v>0.01</v>
      </c>
      <c r="J266" s="1161">
        <v>1.0999999999999999E-2</v>
      </c>
      <c r="M266" s="177"/>
      <c r="N266" s="264"/>
      <c r="O266" s="177"/>
      <c r="P266" s="177"/>
      <c r="Q266" s="177"/>
    </row>
    <row r="267" spans="2:19" ht="16.8" thickBot="1" x14ac:dyDescent="0.35">
      <c r="B267" s="1172" t="s">
        <v>755</v>
      </c>
      <c r="C267" s="1173">
        <v>0</v>
      </c>
      <c r="D267" s="1173">
        <v>0</v>
      </c>
      <c r="E267" s="1174">
        <v>1.964</v>
      </c>
      <c r="F267" s="1175">
        <v>509290.37800000003</v>
      </c>
      <c r="G267" s="1173">
        <v>0</v>
      </c>
      <c r="H267" s="1173">
        <v>0</v>
      </c>
      <c r="I267" s="1173">
        <v>0</v>
      </c>
      <c r="J267" s="1176">
        <v>0</v>
      </c>
      <c r="M267" s="177"/>
      <c r="N267" s="264"/>
      <c r="O267" s="177"/>
      <c r="P267" s="177"/>
      <c r="Q267" s="177"/>
    </row>
    <row r="268" spans="2:19" x14ac:dyDescent="0.3">
      <c r="B268" s="177"/>
      <c r="C268" s="177"/>
      <c r="D268" s="177"/>
      <c r="E268" s="177"/>
      <c r="F268" s="177"/>
      <c r="G268" s="177"/>
      <c r="H268" s="177"/>
      <c r="I268" s="177"/>
      <c r="J268" s="177"/>
      <c r="K268" s="177"/>
      <c r="L268" s="177"/>
      <c r="M268" s="177"/>
      <c r="N268" s="177"/>
      <c r="O268" s="177"/>
      <c r="P268" s="177"/>
      <c r="Q268" s="177"/>
      <c r="R268" s="177"/>
      <c r="S268" s="177"/>
    </row>
    <row r="269" spans="2:19" x14ac:dyDescent="0.3">
      <c r="B269" s="177"/>
      <c r="C269" s="177"/>
      <c r="D269" s="177"/>
      <c r="E269" s="177"/>
      <c r="F269" s="177"/>
      <c r="G269" s="177"/>
      <c r="H269" s="177"/>
      <c r="I269" s="177"/>
      <c r="J269" s="177"/>
      <c r="K269" s="177"/>
      <c r="L269" s="177"/>
      <c r="M269" s="177"/>
      <c r="N269" s="177"/>
      <c r="O269" s="177"/>
      <c r="P269" s="177"/>
      <c r="Q269" s="177"/>
      <c r="R269" s="177"/>
      <c r="S269" s="177"/>
    </row>
    <row r="270" spans="2:19" x14ac:dyDescent="0.3">
      <c r="B270" s="261"/>
      <c r="C270" s="261"/>
      <c r="D270" s="177"/>
      <c r="E270" s="177"/>
      <c r="F270" s="177"/>
      <c r="G270" s="177"/>
      <c r="H270" s="177"/>
      <c r="I270" s="177"/>
      <c r="J270" s="177"/>
      <c r="K270" s="177"/>
      <c r="L270" s="177"/>
      <c r="M270" s="177"/>
      <c r="N270" s="177"/>
      <c r="O270" s="177"/>
      <c r="P270" s="177"/>
      <c r="Q270" s="177"/>
      <c r="R270" s="177"/>
      <c r="S270" s="177"/>
    </row>
    <row r="271" spans="2:19" x14ac:dyDescent="0.3">
      <c r="B271" s="177"/>
      <c r="C271" s="274"/>
      <c r="D271" s="274"/>
      <c r="E271" s="274"/>
      <c r="F271" s="274"/>
      <c r="G271" s="274"/>
      <c r="H271" s="274"/>
      <c r="I271" s="274"/>
      <c r="J271" s="274"/>
      <c r="K271" s="274"/>
      <c r="L271" s="274"/>
      <c r="M271" s="274"/>
      <c r="N271" s="274"/>
      <c r="O271" s="274"/>
      <c r="P271" s="274"/>
      <c r="Q271" s="274"/>
      <c r="R271" s="274"/>
      <c r="S271" s="177"/>
    </row>
  </sheetData>
  <sheetProtection algorithmName="SHA-512" hashValue="cTT+l2OfeYxjW0YuLLdubzvsD3X/KjXCvisHj9qBIWZDu8XtJCY4JcVWA+jN3+93PYT+W7IyToNvtpcuHaGXSQ==" saltValue="B+cIpRAaUqjmYxgCMgIbAw==" spinCount="100000" sheet="1"/>
  <mergeCells count="79">
    <mergeCell ref="C107:C109"/>
    <mergeCell ref="C110:C112"/>
    <mergeCell ref="C113:C115"/>
    <mergeCell ref="I154:J154"/>
    <mergeCell ref="K154:L154"/>
    <mergeCell ref="D142:G142"/>
    <mergeCell ref="H142:H143"/>
    <mergeCell ref="E149:H149"/>
    <mergeCell ref="B152:C152"/>
    <mergeCell ref="B150:C151"/>
    <mergeCell ref="H150:H151"/>
    <mergeCell ref="G150:G151"/>
    <mergeCell ref="F150:F151"/>
    <mergeCell ref="E150:E151"/>
    <mergeCell ref="B136:B137"/>
    <mergeCell ref="B170:C170"/>
    <mergeCell ref="M151:R151"/>
    <mergeCell ref="G141:H141"/>
    <mergeCell ref="I152:J152"/>
    <mergeCell ref="M152:N152"/>
    <mergeCell ref="O152:P152"/>
    <mergeCell ref="Q152:R152"/>
    <mergeCell ref="C142:C143"/>
    <mergeCell ref="B142:B143"/>
    <mergeCell ref="M154:N154"/>
    <mergeCell ref="Q154:R154"/>
    <mergeCell ref="B165:C165"/>
    <mergeCell ref="B166:C166"/>
    <mergeCell ref="B167:C167"/>
    <mergeCell ref="B168:C168"/>
    <mergeCell ref="B169:C169"/>
    <mergeCell ref="B160:C160"/>
    <mergeCell ref="B229:B230"/>
    <mergeCell ref="C116:C118"/>
    <mergeCell ref="B161:C161"/>
    <mergeCell ref="B162:C162"/>
    <mergeCell ref="B130:B131"/>
    <mergeCell ref="B132:B133"/>
    <mergeCell ref="B134:B135"/>
    <mergeCell ref="B153:C153"/>
    <mergeCell ref="B154:C154"/>
    <mergeCell ref="B155:C155"/>
    <mergeCell ref="B156:C156"/>
    <mergeCell ref="B157:C157"/>
    <mergeCell ref="B158:C158"/>
    <mergeCell ref="B163:C163"/>
    <mergeCell ref="B164:C164"/>
    <mergeCell ref="C53:C56"/>
    <mergeCell ref="C57:C60"/>
    <mergeCell ref="C61:C64"/>
    <mergeCell ref="C65:C68"/>
    <mergeCell ref="B159:C159"/>
    <mergeCell ref="C69:C72"/>
    <mergeCell ref="C73:C76"/>
    <mergeCell ref="C77:C80"/>
    <mergeCell ref="C81:C84"/>
    <mergeCell ref="C85:C88"/>
    <mergeCell ref="C89:C92"/>
    <mergeCell ref="C93:C96"/>
    <mergeCell ref="C97:C100"/>
    <mergeCell ref="B101:B118"/>
    <mergeCell ref="C101:C103"/>
    <mergeCell ref="C104:C106"/>
    <mergeCell ref="A3:J3"/>
    <mergeCell ref="B9:B32"/>
    <mergeCell ref="B33:B100"/>
    <mergeCell ref="B149:D149"/>
    <mergeCell ref="D150:D151"/>
    <mergeCell ref="C9:C12"/>
    <mergeCell ref="C13:C16"/>
    <mergeCell ref="C17:C20"/>
    <mergeCell ref="C21:C24"/>
    <mergeCell ref="C25:C28"/>
    <mergeCell ref="C29:C32"/>
    <mergeCell ref="C33:C36"/>
    <mergeCell ref="C37:C40"/>
    <mergeCell ref="C41:C44"/>
    <mergeCell ref="C45:C48"/>
    <mergeCell ref="C49:C52"/>
  </mergeCell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C3AA6-AD1A-4F8C-9844-6F988C886FB5}">
  <sheetPr codeName="Sheet2">
    <tabColor theme="4"/>
  </sheetPr>
  <dimension ref="A1:I37"/>
  <sheetViews>
    <sheetView zoomScale="90" zoomScaleNormal="90" workbookViewId="0"/>
  </sheetViews>
  <sheetFormatPr defaultColWidth="9" defaultRowHeight="14.4" x14ac:dyDescent="0.3"/>
  <cols>
    <col min="1" max="1" width="9" style="70"/>
    <col min="2" max="2" width="13" style="373" customWidth="1"/>
    <col min="3" max="3" width="36" style="281" customWidth="1"/>
    <col min="4" max="4" width="52.5546875" style="364" customWidth="1"/>
    <col min="5" max="5" width="32.77734375" style="364" customWidth="1"/>
    <col min="6" max="6" width="26.5546875" style="317" customWidth="1"/>
    <col min="7" max="7" width="43.77734375" style="173" customWidth="1"/>
    <col min="8" max="8" width="10.21875" style="372" customWidth="1"/>
    <col min="9" max="9" width="8.77734375" style="372" customWidth="1"/>
    <col min="10" max="16384" width="9" style="70"/>
  </cols>
  <sheetData>
    <row r="1" spans="1:9" ht="21" x14ac:dyDescent="0.4">
      <c r="A1" s="259" t="s">
        <v>756</v>
      </c>
    </row>
    <row r="3" spans="1:9" ht="15" thickBot="1" x14ac:dyDescent="0.35"/>
    <row r="4" spans="1:9" ht="27.6" x14ac:dyDescent="0.3">
      <c r="B4" s="374" t="s">
        <v>90</v>
      </c>
      <c r="C4" s="1177" t="s">
        <v>639</v>
      </c>
      <c r="D4" s="535" t="s">
        <v>432</v>
      </c>
      <c r="E4" s="535" t="s">
        <v>757</v>
      </c>
      <c r="F4" s="535" t="s">
        <v>758</v>
      </c>
      <c r="G4" s="535" t="s">
        <v>759</v>
      </c>
      <c r="H4" s="535" t="s">
        <v>102</v>
      </c>
      <c r="I4" s="536" t="s">
        <v>760</v>
      </c>
    </row>
    <row r="5" spans="1:9" ht="79.95" customHeight="1" x14ac:dyDescent="0.3">
      <c r="B5" s="1522" t="s">
        <v>92</v>
      </c>
      <c r="C5" s="1178" t="s">
        <v>30</v>
      </c>
      <c r="D5" s="1179" t="s">
        <v>761</v>
      </c>
      <c r="E5" s="1179" t="s">
        <v>762</v>
      </c>
      <c r="F5" s="1180" t="s">
        <v>763</v>
      </c>
      <c r="G5" s="1181"/>
      <c r="H5" s="1182">
        <v>2023</v>
      </c>
      <c r="I5" s="1183">
        <v>1.1000000000000001</v>
      </c>
    </row>
    <row r="6" spans="1:9" ht="74.25" customHeight="1" x14ac:dyDescent="0.3">
      <c r="B6" s="1523"/>
      <c r="C6" s="1178" t="s">
        <v>29</v>
      </c>
      <c r="D6" s="1179" t="s">
        <v>764</v>
      </c>
      <c r="E6" s="1184" t="s">
        <v>765</v>
      </c>
      <c r="F6" s="664" t="s">
        <v>766</v>
      </c>
      <c r="G6" s="1185"/>
      <c r="H6" s="1182">
        <v>2023</v>
      </c>
      <c r="I6" s="1183">
        <v>1.1000000000000001</v>
      </c>
    </row>
    <row r="7" spans="1:9" ht="55.2" x14ac:dyDescent="0.3">
      <c r="B7" s="1523"/>
      <c r="C7" s="1178" t="s">
        <v>32</v>
      </c>
      <c r="D7" s="1179" t="s">
        <v>767</v>
      </c>
      <c r="E7" s="1536" t="s">
        <v>768</v>
      </c>
      <c r="F7" s="1533" t="s">
        <v>769</v>
      </c>
      <c r="G7" s="1514"/>
      <c r="H7" s="1537">
        <v>2023</v>
      </c>
      <c r="I7" s="1183">
        <v>1.3</v>
      </c>
    </row>
    <row r="8" spans="1:9" ht="41.4" x14ac:dyDescent="0.3">
      <c r="B8" s="1538"/>
      <c r="C8" s="1178" t="s">
        <v>770</v>
      </c>
      <c r="D8" s="1179" t="s">
        <v>771</v>
      </c>
      <c r="E8" s="1536"/>
      <c r="F8" s="1535"/>
      <c r="G8" s="1540"/>
      <c r="H8" s="1537"/>
      <c r="I8" s="1183">
        <v>1.3</v>
      </c>
    </row>
    <row r="9" spans="1:9" ht="63.75" customHeight="1" x14ac:dyDescent="0.3">
      <c r="B9" s="1522" t="s">
        <v>772</v>
      </c>
      <c r="C9" s="1178" t="s">
        <v>30</v>
      </c>
      <c r="D9" s="1186" t="s">
        <v>773</v>
      </c>
      <c r="E9" s="1179" t="s">
        <v>774</v>
      </c>
      <c r="F9" s="1180" t="s">
        <v>769</v>
      </c>
      <c r="G9" s="1181"/>
      <c r="H9" s="1182">
        <v>2023</v>
      </c>
      <c r="I9" s="1183">
        <v>1.1000000000000001</v>
      </c>
    </row>
    <row r="10" spans="1:9" ht="97.2" customHeight="1" x14ac:dyDescent="0.3">
      <c r="B10" s="1523"/>
      <c r="C10" s="1178" t="s">
        <v>29</v>
      </c>
      <c r="D10" s="1179" t="s">
        <v>775</v>
      </c>
      <c r="E10" s="1184" t="s">
        <v>776</v>
      </c>
      <c r="F10" s="664" t="s">
        <v>766</v>
      </c>
      <c r="G10" s="1185"/>
      <c r="H10" s="1182">
        <v>2023</v>
      </c>
      <c r="I10" s="1183">
        <v>1.1000000000000001</v>
      </c>
    </row>
    <row r="11" spans="1:9" ht="69" x14ac:dyDescent="0.3">
      <c r="B11" s="1523"/>
      <c r="C11" s="1178" t="s">
        <v>32</v>
      </c>
      <c r="D11" s="1179" t="s">
        <v>777</v>
      </c>
      <c r="E11" s="1539" t="s">
        <v>778</v>
      </c>
      <c r="F11" s="1533" t="s">
        <v>769</v>
      </c>
      <c r="G11" s="1187"/>
      <c r="H11" s="1537">
        <v>2023</v>
      </c>
      <c r="I11" s="1183">
        <v>1.3</v>
      </c>
    </row>
    <row r="12" spans="1:9" ht="82.8" x14ac:dyDescent="0.3">
      <c r="B12" s="1523"/>
      <c r="C12" s="1178" t="s">
        <v>770</v>
      </c>
      <c r="D12" s="1179" t="s">
        <v>779</v>
      </c>
      <c r="E12" s="1539"/>
      <c r="F12" s="1534"/>
      <c r="G12" s="1187"/>
      <c r="H12" s="1537"/>
      <c r="I12" s="1183">
        <v>1.3</v>
      </c>
    </row>
    <row r="13" spans="1:9" ht="104.25" customHeight="1" x14ac:dyDescent="0.3">
      <c r="B13" s="1523"/>
      <c r="C13" s="1178" t="s">
        <v>780</v>
      </c>
      <c r="D13" s="1179" t="s">
        <v>781</v>
      </c>
      <c r="E13" s="1539"/>
      <c r="F13" s="1535"/>
      <c r="G13" s="1187"/>
      <c r="H13" s="1537"/>
      <c r="I13" s="1183">
        <v>1.3</v>
      </c>
    </row>
    <row r="14" spans="1:9" ht="27.6" x14ac:dyDescent="0.3">
      <c r="B14" s="1538"/>
      <c r="C14" s="1188" t="s">
        <v>782</v>
      </c>
      <c r="D14" s="1179" t="s">
        <v>783</v>
      </c>
      <c r="E14" s="1189" t="s">
        <v>784</v>
      </c>
      <c r="F14" s="1190"/>
      <c r="G14" s="1190"/>
      <c r="H14" s="1191">
        <v>2023</v>
      </c>
      <c r="I14" s="1183">
        <v>1.1000000000000001</v>
      </c>
    </row>
    <row r="15" spans="1:9" ht="69" x14ac:dyDescent="0.3">
      <c r="B15" s="375" t="s">
        <v>785</v>
      </c>
      <c r="C15" s="1188" t="s">
        <v>786</v>
      </c>
      <c r="D15" s="1192" t="s">
        <v>787</v>
      </c>
      <c r="E15" s="1189" t="s">
        <v>788</v>
      </c>
      <c r="F15" s="1193" t="s">
        <v>789</v>
      </c>
      <c r="G15" s="1189" t="s">
        <v>790</v>
      </c>
      <c r="H15" s="1191">
        <v>2023</v>
      </c>
      <c r="I15" s="1183">
        <v>1.4</v>
      </c>
    </row>
    <row r="16" spans="1:9" ht="34.200000000000003" customHeight="1" x14ac:dyDescent="0.3">
      <c r="B16" s="1522" t="s">
        <v>94</v>
      </c>
      <c r="C16" s="1194" t="s">
        <v>791</v>
      </c>
      <c r="D16" s="1524" t="s">
        <v>792</v>
      </c>
      <c r="E16" s="1527" t="s">
        <v>793</v>
      </c>
      <c r="F16" s="1517" t="s">
        <v>794</v>
      </c>
      <c r="G16" s="1514"/>
      <c r="H16" s="1530">
        <v>2023</v>
      </c>
      <c r="I16" s="1520">
        <v>2.2999999999999998</v>
      </c>
    </row>
    <row r="17" spans="2:9" ht="34.200000000000003" customHeight="1" x14ac:dyDescent="0.3">
      <c r="B17" s="1523"/>
      <c r="C17" s="1194" t="s">
        <v>795</v>
      </c>
      <c r="D17" s="1525"/>
      <c r="E17" s="1528"/>
      <c r="F17" s="1518"/>
      <c r="G17" s="1515"/>
      <c r="H17" s="1530"/>
      <c r="I17" s="1521"/>
    </row>
    <row r="18" spans="2:9" ht="27.45" customHeight="1" x14ac:dyDescent="0.3">
      <c r="B18" s="1523"/>
      <c r="C18" s="1194" t="s">
        <v>796</v>
      </c>
      <c r="D18" s="1526"/>
      <c r="E18" s="1528"/>
      <c r="F18" s="1518"/>
      <c r="G18" s="1515"/>
      <c r="H18" s="1195">
        <v>2023</v>
      </c>
      <c r="I18" s="1183">
        <v>2.2000000000000002</v>
      </c>
    </row>
    <row r="19" spans="2:9" ht="69" customHeight="1" x14ac:dyDescent="0.3">
      <c r="B19" s="1523"/>
      <c r="C19" s="1194" t="s">
        <v>797</v>
      </c>
      <c r="D19" s="1186" t="s">
        <v>798</v>
      </c>
      <c r="E19" s="1528"/>
      <c r="F19" s="1518"/>
      <c r="G19" s="1515"/>
      <c r="H19" s="1531">
        <v>2023</v>
      </c>
      <c r="I19" s="1183">
        <v>2.4</v>
      </c>
    </row>
    <row r="20" spans="2:9" ht="29.25" customHeight="1" x14ac:dyDescent="0.3">
      <c r="B20" s="1523"/>
      <c r="C20" s="1194" t="s">
        <v>567</v>
      </c>
      <c r="D20" s="1186" t="s">
        <v>799</v>
      </c>
      <c r="E20" s="1528"/>
      <c r="F20" s="1518"/>
      <c r="G20" s="1515"/>
      <c r="H20" s="1532"/>
      <c r="I20" s="1183">
        <v>2.5</v>
      </c>
    </row>
    <row r="21" spans="2:9" ht="26.25" customHeight="1" x14ac:dyDescent="0.3">
      <c r="B21" s="1523"/>
      <c r="C21" s="1194" t="s">
        <v>800</v>
      </c>
      <c r="D21" s="1179" t="s">
        <v>801</v>
      </c>
      <c r="E21" s="1528"/>
      <c r="F21" s="1518"/>
      <c r="G21" s="1515"/>
      <c r="H21" s="1532"/>
      <c r="I21" s="1183" t="s">
        <v>802</v>
      </c>
    </row>
    <row r="22" spans="2:9" ht="66.75" customHeight="1" x14ac:dyDescent="0.3">
      <c r="B22" s="1523"/>
      <c r="C22" s="1196" t="s">
        <v>52</v>
      </c>
      <c r="D22" s="1197" t="s">
        <v>803</v>
      </c>
      <c r="E22" s="1529"/>
      <c r="F22" s="1519"/>
      <c r="G22" s="1516"/>
      <c r="H22" s="1198" t="s">
        <v>804</v>
      </c>
      <c r="I22" s="1183">
        <v>2.1</v>
      </c>
    </row>
    <row r="23" spans="2:9" ht="130.5" customHeight="1" x14ac:dyDescent="0.3">
      <c r="B23" s="1511" t="s">
        <v>144</v>
      </c>
      <c r="C23" s="1196" t="s">
        <v>805</v>
      </c>
      <c r="D23" s="1197" t="s">
        <v>806</v>
      </c>
      <c r="E23" s="1189" t="s">
        <v>788</v>
      </c>
      <c r="F23" s="1193" t="s">
        <v>789</v>
      </c>
      <c r="G23" s="1197" t="s">
        <v>807</v>
      </c>
      <c r="H23" s="1199">
        <v>2023</v>
      </c>
      <c r="I23" s="1183">
        <v>3.1</v>
      </c>
    </row>
    <row r="24" spans="2:9" ht="82.5" customHeight="1" x14ac:dyDescent="0.3">
      <c r="B24" s="1513"/>
      <c r="C24" s="1196" t="s">
        <v>808</v>
      </c>
      <c r="D24" s="1197" t="s">
        <v>809</v>
      </c>
      <c r="E24" s="1189" t="s">
        <v>788</v>
      </c>
      <c r="F24" s="1193" t="s">
        <v>789</v>
      </c>
      <c r="G24" s="1197" t="s">
        <v>810</v>
      </c>
      <c r="H24" s="1200">
        <v>2023</v>
      </c>
      <c r="I24" s="1183">
        <v>3.2</v>
      </c>
    </row>
    <row r="25" spans="2:9" ht="49.95" customHeight="1" x14ac:dyDescent="0.3">
      <c r="B25" s="1513"/>
      <c r="C25" s="1196" t="s">
        <v>811</v>
      </c>
      <c r="D25" s="1197" t="s">
        <v>812</v>
      </c>
      <c r="E25" s="1197" t="s">
        <v>813</v>
      </c>
      <c r="F25" s="1201" t="s">
        <v>814</v>
      </c>
      <c r="G25" s="1197" t="s">
        <v>815</v>
      </c>
      <c r="H25" s="1200">
        <v>2023</v>
      </c>
      <c r="I25" s="1202">
        <v>3.3</v>
      </c>
    </row>
    <row r="26" spans="2:9" ht="108.45" customHeight="1" x14ac:dyDescent="0.3">
      <c r="B26" s="1512"/>
      <c r="C26" s="1196"/>
      <c r="D26" s="1203"/>
      <c r="E26" s="1197" t="s">
        <v>816</v>
      </c>
      <c r="F26" s="1201" t="s">
        <v>817</v>
      </c>
      <c r="G26" s="1197" t="s">
        <v>818</v>
      </c>
      <c r="H26" s="1204"/>
      <c r="I26" s="1205" t="s">
        <v>819</v>
      </c>
    </row>
    <row r="27" spans="2:9" ht="27.6" x14ac:dyDescent="0.3">
      <c r="B27" s="1511" t="s">
        <v>142</v>
      </c>
      <c r="C27" s="1196" t="s">
        <v>58</v>
      </c>
      <c r="D27" s="1197" t="s">
        <v>820</v>
      </c>
      <c r="E27" s="1203"/>
      <c r="F27" s="1206"/>
      <c r="G27" s="1197" t="s">
        <v>821</v>
      </c>
      <c r="H27" s="1204"/>
      <c r="I27" s="474">
        <v>4.0999999999999996</v>
      </c>
    </row>
    <row r="28" spans="2:9" ht="55.2" x14ac:dyDescent="0.3">
      <c r="B28" s="1512"/>
      <c r="C28" s="1196" t="s">
        <v>60</v>
      </c>
      <c r="D28" s="1197" t="s">
        <v>822</v>
      </c>
      <c r="E28" s="1197" t="s">
        <v>823</v>
      </c>
      <c r="F28" s="1180" t="s">
        <v>824</v>
      </c>
      <c r="G28" s="1207" t="s">
        <v>825</v>
      </c>
      <c r="H28" s="1200">
        <v>2023</v>
      </c>
      <c r="I28" s="1183">
        <v>4.2</v>
      </c>
    </row>
    <row r="29" spans="2:9" ht="173.25" customHeight="1" x14ac:dyDescent="0.3">
      <c r="B29" s="1511" t="s">
        <v>143</v>
      </c>
      <c r="C29" s="1196" t="s">
        <v>62</v>
      </c>
      <c r="D29" s="1197" t="s">
        <v>826</v>
      </c>
      <c r="E29" s="1197" t="s">
        <v>827</v>
      </c>
      <c r="F29" s="1180" t="s">
        <v>828</v>
      </c>
      <c r="G29" s="1197" t="s">
        <v>829</v>
      </c>
      <c r="H29" s="1200">
        <v>2022</v>
      </c>
      <c r="I29" s="1183">
        <v>5.0999999999999996</v>
      </c>
    </row>
    <row r="30" spans="2:9" ht="240" customHeight="1" x14ac:dyDescent="0.3">
      <c r="B30" s="1513"/>
      <c r="C30" s="1196" t="s">
        <v>63</v>
      </c>
      <c r="D30" s="1197" t="s">
        <v>830</v>
      </c>
      <c r="E30" s="1197" t="s">
        <v>831</v>
      </c>
      <c r="F30" s="1208" t="s">
        <v>832</v>
      </c>
      <c r="G30" s="1197" t="s">
        <v>833</v>
      </c>
      <c r="H30" s="1200">
        <v>2022</v>
      </c>
      <c r="I30" s="1183">
        <v>5.2</v>
      </c>
    </row>
    <row r="31" spans="2:9" x14ac:dyDescent="0.3">
      <c r="B31" s="1513"/>
      <c r="C31" s="1196" t="s">
        <v>834</v>
      </c>
      <c r="D31" s="1197" t="s">
        <v>835</v>
      </c>
      <c r="E31" s="1209"/>
      <c r="F31" s="1206"/>
      <c r="G31" s="1197" t="s">
        <v>821</v>
      </c>
      <c r="H31" s="1204"/>
      <c r="I31" s="1183">
        <v>5.3</v>
      </c>
    </row>
    <row r="32" spans="2:9" ht="178.5" customHeight="1" x14ac:dyDescent="0.3">
      <c r="B32" s="1512"/>
      <c r="C32" s="1196" t="s">
        <v>836</v>
      </c>
      <c r="D32" s="1197" t="s">
        <v>837</v>
      </c>
      <c r="E32" s="1197" t="s">
        <v>827</v>
      </c>
      <c r="F32" s="1210" t="s">
        <v>828</v>
      </c>
      <c r="G32" s="1197" t="s">
        <v>829</v>
      </c>
      <c r="H32" s="1200">
        <v>2022</v>
      </c>
      <c r="I32" s="1183">
        <v>5.4</v>
      </c>
    </row>
    <row r="33" spans="2:9" ht="69.75" customHeight="1" thickBot="1" x14ac:dyDescent="0.35">
      <c r="B33" s="1211" t="s">
        <v>31</v>
      </c>
      <c r="C33" s="1212" t="s">
        <v>838</v>
      </c>
      <c r="D33" s="1213"/>
      <c r="E33" s="1214" t="s">
        <v>839</v>
      </c>
      <c r="F33" s="1215" t="s">
        <v>840</v>
      </c>
      <c r="G33" s="1214" t="s">
        <v>841</v>
      </c>
      <c r="H33" s="1216">
        <v>2023</v>
      </c>
      <c r="I33" s="1217">
        <v>0.1</v>
      </c>
    </row>
    <row r="35" spans="2:9" ht="34.950000000000003" customHeight="1" x14ac:dyDescent="0.3"/>
    <row r="36" spans="2:9" ht="261.75" customHeight="1" x14ac:dyDescent="0.3"/>
    <row r="37" spans="2:9" ht="52.95" customHeight="1" x14ac:dyDescent="0.3"/>
  </sheetData>
  <sheetProtection algorithmName="SHA-512" hashValue="vdiDxkmTVPByTNG67smkKaLwIUsHQunMBga0jz0EuRV9/lwiajWlRo++6cUGbS3FPQxrwLpMq0fmcC9wNIre2Q==" saltValue="UsOm212C2UY1WAO5y7hJng==" spinCount="100000" sheet="1"/>
  <mergeCells count="20">
    <mergeCell ref="F11:F13"/>
    <mergeCell ref="E7:E8"/>
    <mergeCell ref="H7:H8"/>
    <mergeCell ref="B9:B14"/>
    <mergeCell ref="E11:E13"/>
    <mergeCell ref="H11:H13"/>
    <mergeCell ref="B5:B8"/>
    <mergeCell ref="F7:F8"/>
    <mergeCell ref="G7:G8"/>
    <mergeCell ref="I16:I17"/>
    <mergeCell ref="B16:B22"/>
    <mergeCell ref="D16:D18"/>
    <mergeCell ref="E16:E22"/>
    <mergeCell ref="H16:H17"/>
    <mergeCell ref="H19:H21"/>
    <mergeCell ref="B27:B28"/>
    <mergeCell ref="B29:B32"/>
    <mergeCell ref="G16:G22"/>
    <mergeCell ref="F16:F22"/>
    <mergeCell ref="B23:B26"/>
  </mergeCells>
  <hyperlinks>
    <hyperlink ref="F33" r:id="rId1" xr:uid="{13796D3A-2245-486D-8587-E7A051199A2F}"/>
    <hyperlink ref="F26" r:id="rId2" xr:uid="{63FAD3B4-8FF7-46AA-8ED8-13BDFCB08A49}"/>
    <hyperlink ref="F25" r:id="rId3" xr:uid="{9DD5E35C-CEE5-44DA-9181-9CDB5C1AA05F}"/>
    <hyperlink ref="F7" r:id="rId4" xr:uid="{B779445B-B613-4297-A148-7619C2BA7512}"/>
    <hyperlink ref="F9" r:id="rId5" xr:uid="{1EC9B2D7-55BE-4530-BD8C-DD6A51F973A5}"/>
    <hyperlink ref="F11" r:id="rId6" xr:uid="{EDCD8BCD-6333-41A8-9BD8-C3B52A03B5D8}"/>
    <hyperlink ref="F29" r:id="rId7" xr:uid="{3C3BC062-0325-4772-AC04-10AB80549F40}"/>
    <hyperlink ref="F5" r:id="rId8" xr:uid="{27A15DD9-066A-4EFB-9451-E98B78061B2B}"/>
    <hyperlink ref="F10" r:id="rId9" display="https://www.gov.uk/government/statistics/regional-and-local-authority-gas-consumption-statistics" xr:uid="{A7F88772-C14A-4F34-A3F4-0F4E49E71411}"/>
    <hyperlink ref="F6" r:id="rId10" display="https://www.gov.uk/government/statistics/regional-and-local-authority-gas-consumption-statistics" xr:uid="{52B05F8F-6B35-460C-A504-E0E0D7475E7C}"/>
    <hyperlink ref="F16" r:id="rId11" xr:uid="{B7DF9DE6-3A40-4115-84E9-EEB0018CA1A9}"/>
    <hyperlink ref="F15" r:id="rId12" display="https://www.data.gov.uk/dataset/59ab8448-3905-49c6-9122-ae762f96f66b/2023-waste-data-interrogator" xr:uid="{522185C9-1C68-4D98-A5AB-C4D75FB240EC}"/>
    <hyperlink ref="F23" r:id="rId13" display="https://www.data.gov.uk/dataset/59ab8448-3905-49c6-9122-ae762f96f66b/2023-waste-data-interrogator" xr:uid="{29102CAC-EEF7-4335-89EE-D2A14BC37546}"/>
    <hyperlink ref="F24" r:id="rId14" display="https://www.data.gov.uk/dataset/59ab8448-3905-49c6-9122-ae762f96f66b/2023-waste-data-interrogator" xr:uid="{E0B96445-BD8B-47F5-9075-D298C7F42C49}"/>
    <hyperlink ref="F28" r:id="rId15" display="https://unfccc.int/documents/646508" xr:uid="{D63C086D-D209-4569-AA00-D79D42AAD2E4}"/>
  </hyperlinks>
  <pageMargins left="0.7" right="0.7" top="0.75" bottom="0.75" header="0.3" footer="0.3"/>
  <pageSetup paperSize="9" orientation="portrait" r:id="rId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bc29c1b-c0f5-4a69-9064-42075bd51526">
      <Terms xmlns="http://schemas.microsoft.com/office/infopath/2007/PartnerControls"/>
    </lcf76f155ced4ddcb4097134ff3c332f>
    <TaxCatchAll xmlns="30d58efb-e8bf-4261-b5e6-27ac039971e3"/>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7F689EFB92E304AB38A347F3B2D0507" ma:contentTypeVersion="19" ma:contentTypeDescription="Create a new document." ma:contentTypeScope="" ma:versionID="35958eb44e30aba6075ce392e5d08e2c">
  <xsd:schema xmlns:xsd="http://www.w3.org/2001/XMLSchema" xmlns:xs="http://www.w3.org/2001/XMLSchema" xmlns:p="http://schemas.microsoft.com/office/2006/metadata/properties" xmlns:ns2="bbc29c1b-c0f5-4a69-9064-42075bd51526" xmlns:ns3="30d58efb-e8bf-4261-b5e6-27ac039971e3" targetNamespace="http://schemas.microsoft.com/office/2006/metadata/properties" ma:root="true" ma:fieldsID="f679f7982be8e0a0cce9a8d50c4711c4" ns2:_="" ns3:_="">
    <xsd:import namespace="bbc29c1b-c0f5-4a69-9064-42075bd51526"/>
    <xsd:import namespace="30d58efb-e8bf-4261-b5e6-27ac039971e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c29c1b-c0f5-4a69-9064-42075bd51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651981c-07c9-48be-a366-aa18a08a638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d58efb-e8bf-4261-b5e6-27ac039971e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63b2a6a-a3c6-472c-b2d7-d30c37268afd}" ma:internalName="TaxCatchAll" ma:showField="CatchAllData" ma:web="30d58efb-e8bf-4261-b5e6-27ac039971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0F20E9-2815-4B83-9EDA-9AD4269B43C4}">
  <ds:schemaRefs>
    <ds:schemaRef ds:uri="http://purl.org/dc/terms/"/>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30d58efb-e8bf-4261-b5e6-27ac039971e3"/>
    <ds:schemaRef ds:uri="bbc29c1b-c0f5-4a69-9064-42075bd51526"/>
    <ds:schemaRef ds:uri="http://www.w3.org/XML/1998/namespace"/>
    <ds:schemaRef ds:uri="http://purl.org/dc/dcmitype/"/>
  </ds:schemaRefs>
</ds:datastoreItem>
</file>

<file path=customXml/itemProps2.xml><?xml version="1.0" encoding="utf-8"?>
<ds:datastoreItem xmlns:ds="http://schemas.openxmlformats.org/officeDocument/2006/customXml" ds:itemID="{80E0A8E4-76FC-423E-90F7-29BC3571CE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c29c1b-c0f5-4a69-9064-42075bd51526"/>
    <ds:schemaRef ds:uri="30d58efb-e8bf-4261-b5e6-27ac039971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482BFE-11BF-49F7-B1E2-42C3D03F241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65</vt:i4>
      </vt:variant>
    </vt:vector>
  </HeadingPairs>
  <TitlesOfParts>
    <vt:vector size="77" baseType="lpstr">
      <vt:lpstr>About LEGGI</vt:lpstr>
      <vt:lpstr>Summary</vt:lpstr>
      <vt:lpstr>Borough kWh</vt:lpstr>
      <vt:lpstr>Borough GHG</vt:lpstr>
      <vt:lpstr>Charts</vt:lpstr>
      <vt:lpstr>I. Energy - Stationary</vt:lpstr>
      <vt:lpstr>II. Transport </vt:lpstr>
      <vt:lpstr>III. Waste</vt:lpstr>
      <vt:lpstr>IV. IPPU</vt:lpstr>
      <vt:lpstr>V. AFOLU</vt:lpstr>
      <vt:lpstr>Emission &amp; Conversion Factors</vt:lpstr>
      <vt:lpstr>Data sources and methods</vt:lpstr>
      <vt:lpstr>ConFact_0.001</vt:lpstr>
      <vt:lpstr>ConFact_g_to_tonnes</vt:lpstr>
      <vt:lpstr>EF_CH4_ATF_Transport</vt:lpstr>
      <vt:lpstr>EF_CH4_Coal_DCI</vt:lpstr>
      <vt:lpstr>EF_CH4_DieselAvBio_Trans_kg_l</vt:lpstr>
      <vt:lpstr>EF_CH4_DieselAvBio_Transport</vt:lpstr>
      <vt:lpstr>EF_CH4_ElectGen_DCI</vt:lpstr>
      <vt:lpstr>EF_CH4_ElectTDL_DCI</vt:lpstr>
      <vt:lpstr>EF_CH4_FuelOil_IC</vt:lpstr>
      <vt:lpstr>EF_CH4_GasOil</vt:lpstr>
      <vt:lpstr>EF_CH4_GasOil_RailDiesel</vt:lpstr>
      <vt:lpstr>EF_CH4_LPG_Transport</vt:lpstr>
      <vt:lpstr>EF_CH4_NatGas_DCI</vt:lpstr>
      <vt:lpstr>EF_CH4_PetrolAvBio_Trans_kg_l</vt:lpstr>
      <vt:lpstr>EF_CH4_PetrolAvBio_Transport</vt:lpstr>
      <vt:lpstr>EF_CH4_W_R_IC</vt:lpstr>
      <vt:lpstr>EF_CO2_ATF_Transport</vt:lpstr>
      <vt:lpstr>EF_CO2_Coal_DCI</vt:lpstr>
      <vt:lpstr>EF_CO2_DieselAvBio_Trans_kg_l</vt:lpstr>
      <vt:lpstr>EF_CO2_DieselAvBio_Transport</vt:lpstr>
      <vt:lpstr>EF_CO2_ElectGen_DCI</vt:lpstr>
      <vt:lpstr>EF_CO2_ElectTDL_DCI</vt:lpstr>
      <vt:lpstr>EF_CO2_FuelOil_IC</vt:lpstr>
      <vt:lpstr>EF_CO2_GasOil</vt:lpstr>
      <vt:lpstr>EF_CO2_GasOil_RailDiesel</vt:lpstr>
      <vt:lpstr>EF_CO2_LPG_Transport</vt:lpstr>
      <vt:lpstr>EF_CO2_NatGas_DCI</vt:lpstr>
      <vt:lpstr>EF_CO2_PetrolAvBio_Trans_kg_l</vt:lpstr>
      <vt:lpstr>EF_CO2_PetrolAvBio_Transport</vt:lpstr>
      <vt:lpstr>EF_CO2_W_R_IC</vt:lpstr>
      <vt:lpstr>EF_GHG_AFT</vt:lpstr>
      <vt:lpstr>EF_GHG_Biomass_WoodChips</vt:lpstr>
      <vt:lpstr>EF_GHG_Coal_DCI</vt:lpstr>
      <vt:lpstr>EF_GHG_DieselAvBio_Trans_kg_l</vt:lpstr>
      <vt:lpstr>EF_GHG_DieselAvBio_Transport</vt:lpstr>
      <vt:lpstr>EF_GHG_ElectGen</vt:lpstr>
      <vt:lpstr>EF_GHG_ElectTD</vt:lpstr>
      <vt:lpstr>EF_GHG_GasOil</vt:lpstr>
      <vt:lpstr>EF_GHG_LPG_Transport</vt:lpstr>
      <vt:lpstr>EF_GHG_NatGas_DCI</vt:lpstr>
      <vt:lpstr>EF_GHG_PetrolAvBio_Trans_kg_l</vt:lpstr>
      <vt:lpstr>EF_GHG_PetrolAvBio_Transport</vt:lpstr>
      <vt:lpstr>EF_GHG_W_R_IC</vt:lpstr>
      <vt:lpstr>EF_N2O_ATF_Transport</vt:lpstr>
      <vt:lpstr>EF_N2O_Coal_DCI</vt:lpstr>
      <vt:lpstr>EF_N2O_DieselAvBio_Trans_kg_l</vt:lpstr>
      <vt:lpstr>EF_N2O_DieselAvBio_Transport</vt:lpstr>
      <vt:lpstr>EF_N2O_ElectGen_DCI</vt:lpstr>
      <vt:lpstr>EF_N2O_ElectTDL_DCI</vt:lpstr>
      <vt:lpstr>EF_N2O_FuelOil_IC</vt:lpstr>
      <vt:lpstr>EF_N2O_GasOil</vt:lpstr>
      <vt:lpstr>EF_N2O_GasOil_RailDiesel</vt:lpstr>
      <vt:lpstr>EF_N2O_LPG_Transport</vt:lpstr>
      <vt:lpstr>EF_N2O_NatGas_DCI</vt:lpstr>
      <vt:lpstr>EF_N2O_PetrolAvBio_Trans_kg_l</vt:lpstr>
      <vt:lpstr>EF_N2O_PetrolAvBio_Transport</vt:lpstr>
      <vt:lpstr>EF_N2O_W_R_IC</vt:lpstr>
      <vt:lpstr>GWP_CH4</vt:lpstr>
      <vt:lpstr>GWP_CO2</vt:lpstr>
      <vt:lpstr>GWP_N2O</vt:lpstr>
      <vt:lpstr>kWh_per_mtoe</vt:lpstr>
      <vt:lpstr>'Borough GHG'!Print_Area</vt:lpstr>
      <vt:lpstr>'Borough kWh'!Print_Area</vt:lpstr>
      <vt:lpstr>Charts!Print_Area</vt:lpstr>
      <vt:lpstr>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Greater London Authority</dc:creator>
  <cp:keywords/>
  <dc:description/>
  <cp:lastModifiedBy>Md. Turab Hossain</cp:lastModifiedBy>
  <cp:revision/>
  <dcterms:created xsi:type="dcterms:W3CDTF">2020-05-22T09:11:54Z</dcterms:created>
  <dcterms:modified xsi:type="dcterms:W3CDTF">2026-04-10T11:58:34Z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0x01010067F689EFB92E304AB38A347F3B2D0507</vt:lpwstr>
  </property>
  <property fmtid="{D5CDD505-2E9C-101B-9397-08002B2CF9AE}" pid="3" name="MediaServiceImageTags">
    <vt:lpwstr/>
  </property>
</Properties>
</file>