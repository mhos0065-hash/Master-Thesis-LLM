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2\"/>
    </mc:Choice>
  </mc:AlternateContent>
  <xr:revisionPtr revIDLastSave="0" documentId="13_ncr:1_{AD67661F-0998-43B1-8A2C-E15FCBEC21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orough KWH" sheetId="2" r:id="rId2"/>
    <sheet name="Borough GHG" sheetId="6" r:id="rId3"/>
    <sheet name="Borough Transport" sheetId="7" r:id="rId4"/>
  </sheets>
  <externalReferences>
    <externalReference r:id="rId5"/>
    <externalReference r:id="rId6"/>
  </externalReferences>
  <definedNames>
    <definedName name="Borough_KWH">'[1]Emission &amp; Conversion Factors'!$E$123</definedName>
    <definedName name="EF_CH4_DieselAvBio_Trans_kg_l">'[2]Emission &amp; Conversion Factors'!$G$46</definedName>
    <definedName name="EF_CH4_ElectGen_DCI">'[2]Emission &amp; Conversion Factors'!$G$123</definedName>
    <definedName name="EF_CH4_ElectTDL_DCI">'[2]Emission &amp; Conversion Factors'!$G$124</definedName>
    <definedName name="EF_CH4_PetrolAvBio_Trans_kg_l">'[2]Emission &amp; Conversion Factors'!$G$70</definedName>
    <definedName name="EF_CO2_ElectGen_DCI">'[2]Emission &amp; Conversion Factors'!$F$123</definedName>
    <definedName name="EF_CO2_ElectTDL_DCI">'[2]Emission &amp; Conversion Factors'!$F$124</definedName>
    <definedName name="EF_GHG_Coal_DCI">'[2]Emission &amp; Conversion Factors'!$E$109</definedName>
    <definedName name="EF_GHG_ElectGen">'[2]Emission &amp; Conversion Factors'!$E$123</definedName>
    <definedName name="EF_GHG_ElectTD">'[2]Emission &amp; Conversion Factors'!$E$124</definedName>
    <definedName name="EF_GHG_GasOil">'[2]Emission &amp; Conversion Factors'!$E$60</definedName>
    <definedName name="EF_GHG_NatGas_DCI">'[2]Emission &amp; Conversion Factors'!$E$24</definedName>
    <definedName name="EF_GHG_W_R_IC">'[2]Emission &amp; Conversion Factors'!$G$144</definedName>
    <definedName name="EF_N2O_DieselAvBio_Trans_kg_l">'[2]Emission &amp; Conversion Factors'!$H$46</definedName>
    <definedName name="EF_N2O_ElectGen_DCI">'[2]Emission &amp; Conversion Factors'!$H$123</definedName>
    <definedName name="EF_N2O_ElectTDL_DCI">'[2]Emission &amp; Conversion Factors'!$H$124</definedName>
    <definedName name="EF_N2O_PetrolAvBio_Trans_kg_l">'[2]Emission &amp; Conversion Factors'!$H$70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2" i="2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2" i="6"/>
</calcChain>
</file>

<file path=xl/sharedStrings.xml><?xml version="1.0" encoding="utf-8"?>
<sst xmlns="http://schemas.openxmlformats.org/spreadsheetml/2006/main" count="198" uniqueCount="96">
  <si>
    <t>Electricity</t>
  </si>
  <si>
    <t>Gas</t>
  </si>
  <si>
    <t>Coal</t>
  </si>
  <si>
    <t>Oil</t>
  </si>
  <si>
    <t>Bioenergy and waste*</t>
  </si>
  <si>
    <t>Total</t>
  </si>
  <si>
    <t>Electricity w/o transport</t>
  </si>
  <si>
    <t>Aviation</t>
  </si>
  <si>
    <t>Shipping</t>
  </si>
  <si>
    <t>Railways_Diesel</t>
  </si>
  <si>
    <t>Railways_Electric</t>
  </si>
  <si>
    <t>Road Transport - fossil fuels</t>
  </si>
  <si>
    <t>Road Transport - electric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</si>
  <si>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</si>
  <si>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</si>
  <si>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</si>
  <si>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</si>
  <si>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</si>
  <si>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</si>
  <si>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</si>
  <si>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</si>
  <si>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</si>
  <si>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</si>
  <si>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</si>
  <si>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</si>
  <si>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</si>
  <si>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</si>
  <si>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</si>
  <si>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</si>
  <si>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</si>
  <si>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</si>
  <si>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</si>
  <si>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</si>
  <si>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</si>
  <si>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</si>
  <si>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</si>
  <si>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</si>
  <si>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</si>
  <si>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</si>
  <si>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</si>
  <si>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</si>
  <si>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</si>
  <si>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</si>
  <si>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</si>
  <si>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Electricity w/o rail &amp; RT</t>
  </si>
  <si>
    <t>Railways diesel</t>
  </si>
  <si>
    <t>Railways electric</t>
  </si>
  <si>
    <t>Road transport - fossil fuels</t>
  </si>
  <si>
    <t>Road transport - electric</t>
  </si>
  <si>
    <t xml:space="preserve">Manufacturing industries </t>
  </si>
  <si>
    <t xml:space="preserve"> Construction</t>
  </si>
  <si>
    <t>Ground activities - aviation</t>
  </si>
  <si>
    <t>Diesel</t>
  </si>
  <si>
    <t>Electric</t>
  </si>
  <si>
    <t xml:space="preserve">Manufacturing Industries </t>
  </si>
  <si>
    <t>Construction</t>
  </si>
  <si>
    <t>UKI2101</t>
  </si>
  <si>
    <t>UKI2301</t>
  </si>
  <si>
    <t>UKI2102</t>
  </si>
  <si>
    <t>UKI2302</t>
  </si>
  <si>
    <t>UKI2201</t>
  </si>
  <si>
    <t>UKI1102</t>
  </si>
  <si>
    <t>UKI1101</t>
  </si>
  <si>
    <t>UKI2202</t>
  </si>
  <si>
    <t>UKI2303</t>
  </si>
  <si>
    <t>UKI2103</t>
  </si>
  <si>
    <t>UKI2104</t>
  </si>
  <si>
    <t>UKI1201</t>
  </si>
  <si>
    <t>UKI1103</t>
  </si>
  <si>
    <t>UKI1202</t>
  </si>
  <si>
    <t>UKI2304</t>
  </si>
  <si>
    <t>UKI2105</t>
  </si>
  <si>
    <t>UKI2305</t>
  </si>
  <si>
    <t>UKI2306</t>
  </si>
  <si>
    <t>UKI1203</t>
  </si>
  <si>
    <t>UKI1104</t>
  </si>
  <si>
    <t>Kingston upon Thames</t>
  </si>
  <si>
    <t>UKI2203</t>
  </si>
  <si>
    <t>UKI1204</t>
  </si>
  <si>
    <t>UKI1205</t>
  </si>
  <si>
    <t>UKI2204</t>
  </si>
  <si>
    <t>UKI1206</t>
  </si>
  <si>
    <t>UKI2106</t>
  </si>
  <si>
    <t>UKI2307</t>
  </si>
  <si>
    <t>UKI1207</t>
  </si>
  <si>
    <t>UKI2205</t>
  </si>
  <si>
    <t>UKI1208</t>
  </si>
  <si>
    <t>UKI2107</t>
  </si>
  <si>
    <t>UKI1105</t>
  </si>
  <si>
    <t>UKI1106</t>
  </si>
  <si>
    <t>Population 
2021 Census</t>
  </si>
  <si>
    <t>Energy consumption
 Per capita (KWh)</t>
  </si>
  <si>
    <t>Borough</t>
  </si>
  <si>
    <t>Richmond upon Thames</t>
  </si>
  <si>
    <t>GHG emission Per capita (tCO2)</t>
  </si>
  <si>
    <t>Transport consumption Per capita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</si>
</sst>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#,##0.0_ ;\-#,##0.0\ "/>
    <numFmt numFmtId="166" formatCode="0.0000"/>
    <numFmt numFmtId="167" formatCode="#,##0_ ;\-#,##0\ "/>
    <numFmt numFmtId="168" formatCode="0.0"/>
    <numFmt numFmtId="169" formatCode="#,##0.00_ ;\-#,##0.00\ "/>
    <numFmt numFmtId="170" formatCode="_(* #,##0_);_(* \(#,##0\);_(* &quot;-&quot;??_);_(@_)"/>
    <numFmt numFmtId="171" formatCode="_-* #,##0_-;\-* #,##0_-;_-* &quot;-&quot;??_-;_-@_-"/>
    <numFmt numFmtId="172" formatCode="0.0%"/>
    <numFmt numFmtId="173" formatCode="#,##0.0"/>
    <numFmt numFmtId="174" formatCode="0.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9"/>
      <name val="Calibri"/>
      <family val="2"/>
    </font>
    <font>
      <sz val="12"/>
      <name val="Arial"/>
      <family val="2"/>
    </font>
    <font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5" fillId="0" borderId="0"/>
    <xf numFmtId="164" fontId="4" fillId="0" borderId="0" applyFont="0" applyFill="0" applyBorder="0" applyAlignment="0" applyProtection="0"/>
  </cellStyleXfs>
  <cellXfs count="95">
    <xf numFmtId="0" fontId="0" fillId="0" borderId="0" xfId="0"/>
    <xf numFmtId="0" fontId="4" fillId="2" borderId="0" xfId="3" applyFill="1"/>
    <xf numFmtId="0" fontId="4" fillId="2" borderId="0" xfId="3" applyFill="1" applyAlignment="1">
      <alignment horizontal="left" vertical="center"/>
    </xf>
    <xf numFmtId="3" fontId="9" fillId="2" borderId="0" xfId="3" applyNumberFormat="1" applyFont="1" applyFill="1" applyAlignment="1">
      <alignment horizontal="center"/>
    </xf>
    <xf numFmtId="3" fontId="8" fillId="2" borderId="0" xfId="3" applyNumberFormat="1" applyFont="1" applyFill="1" applyAlignment="1">
      <alignment horizontal="center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11" fillId="2" borderId="0" xfId="0" applyFont="1" applyFill="1"/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13" fillId="2" borderId="0" xfId="0" applyFont="1" applyFill="1" applyAlignment="1" applyProtection="1">
      <alignment wrapText="1"/>
      <protection locked="0"/>
    </xf>
    <xf numFmtId="0" fontId="3" fillId="2" borderId="0" xfId="0" applyFont="1" applyFill="1" applyProtection="1">
      <protection locked="0"/>
    </xf>
    <xf numFmtId="0" fontId="12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left" vertical="top"/>
      <protection locked="0"/>
    </xf>
    <xf numFmtId="0" fontId="0" fillId="2" borderId="0" xfId="0" applyFill="1"/>
    <xf numFmtId="3" fontId="9" fillId="2" borderId="2" xfId="3" applyNumberFormat="1" applyFont="1" applyFill="1" applyBorder="1" applyAlignment="1">
      <alignment horizontal="center"/>
    </xf>
    <xf numFmtId="1" fontId="9" fillId="2" borderId="0" xfId="3" applyNumberFormat="1" applyFont="1" applyFill="1" applyAlignment="1">
      <alignment horizontal="center"/>
    </xf>
    <xf numFmtId="165" fontId="9" fillId="2" borderId="0" xfId="1" applyNumberFormat="1" applyFont="1" applyFill="1" applyBorder="1" applyAlignment="1">
      <alignment horizontal="center"/>
    </xf>
    <xf numFmtId="0" fontId="3" fillId="2" borderId="0" xfId="0" applyFont="1" applyFill="1"/>
    <xf numFmtId="168" fontId="16" fillId="2" borderId="0" xfId="5" applyNumberFormat="1" applyFont="1" applyFill="1"/>
    <xf numFmtId="168" fontId="10" fillId="2" borderId="0" xfId="5" applyNumberFormat="1" applyFont="1" applyFill="1"/>
    <xf numFmtId="0" fontId="17" fillId="3" borderId="7" xfId="0" applyFont="1" applyFill="1" applyBorder="1" applyAlignment="1">
      <alignment vertical="top" wrapText="1"/>
    </xf>
    <xf numFmtId="168" fontId="17" fillId="3" borderId="6" xfId="5" applyNumberFormat="1" applyFont="1" applyFill="1" applyBorder="1" applyAlignment="1">
      <alignment horizontal="center"/>
    </xf>
    <xf numFmtId="168" fontId="17" fillId="3" borderId="7" xfId="5" applyNumberFormat="1" applyFont="1" applyFill="1" applyBorder="1" applyAlignment="1">
      <alignment horizontal="center"/>
    </xf>
    <xf numFmtId="168" fontId="17" fillId="3" borderId="9" xfId="5" applyNumberFormat="1" applyFont="1" applyFill="1" applyBorder="1" applyAlignment="1">
      <alignment horizontal="center"/>
    </xf>
    <xf numFmtId="168" fontId="17" fillId="3" borderId="10" xfId="5" applyNumberFormat="1" applyFont="1" applyFill="1" applyBorder="1" applyAlignment="1">
      <alignment horizontal="center"/>
    </xf>
    <xf numFmtId="2" fontId="10" fillId="2" borderId="0" xfId="5" applyNumberFormat="1" applyFont="1" applyFill="1" applyAlignment="1">
      <alignment horizontal="center"/>
    </xf>
    <xf numFmtId="0" fontId="10" fillId="4" borderId="11" xfId="6" applyFont="1" applyFill="1" applyBorder="1"/>
    <xf numFmtId="167" fontId="10" fillId="2" borderId="11" xfId="1" applyNumberFormat="1" applyFont="1" applyFill="1" applyBorder="1" applyAlignment="1">
      <alignment horizontal="center"/>
    </xf>
    <xf numFmtId="167" fontId="10" fillId="2" borderId="12" xfId="1" applyNumberFormat="1" applyFont="1" applyFill="1" applyBorder="1" applyAlignment="1">
      <alignment horizontal="center"/>
    </xf>
    <xf numFmtId="167" fontId="10" fillId="2" borderId="4" xfId="1" applyNumberFormat="1" applyFont="1" applyFill="1" applyBorder="1" applyAlignment="1">
      <alignment horizontal="center"/>
    </xf>
    <xf numFmtId="167" fontId="10" fillId="2" borderId="0" xfId="1" applyNumberFormat="1" applyFont="1" applyFill="1" applyBorder="1" applyAlignment="1">
      <alignment horizontal="center"/>
    </xf>
    <xf numFmtId="167" fontId="10" fillId="2" borderId="3" xfId="1" applyNumberFormat="1" applyFont="1" applyFill="1" applyBorder="1" applyAlignment="1">
      <alignment horizontal="center"/>
    </xf>
    <xf numFmtId="169" fontId="10" fillId="2" borderId="4" xfId="1" applyNumberFormat="1" applyFont="1" applyFill="1" applyBorder="1" applyAlignment="1">
      <alignment horizontal="center"/>
    </xf>
    <xf numFmtId="168" fontId="10" fillId="2" borderId="0" xfId="5" applyNumberFormat="1" applyFont="1" applyFill="1" applyAlignment="1">
      <alignment horizontal="center"/>
    </xf>
    <xf numFmtId="167" fontId="10" fillId="2" borderId="5" xfId="1" applyNumberFormat="1" applyFont="1" applyFill="1" applyBorder="1" applyAlignment="1">
      <alignment horizontal="center"/>
    </xf>
    <xf numFmtId="170" fontId="10" fillId="2" borderId="0" xfId="1" applyNumberFormat="1" applyFont="1" applyFill="1"/>
    <xf numFmtId="9" fontId="10" fillId="2" borderId="0" xfId="2" applyFont="1" applyFill="1"/>
    <xf numFmtId="168" fontId="10" fillId="2" borderId="0" xfId="5" applyNumberFormat="1" applyFont="1" applyFill="1" applyAlignment="1">
      <alignment horizontal="right"/>
    </xf>
    <xf numFmtId="9" fontId="16" fillId="2" borderId="0" xfId="2" applyFont="1" applyFill="1"/>
    <xf numFmtId="172" fontId="16" fillId="2" borderId="0" xfId="2" applyNumberFormat="1" applyFont="1" applyFill="1"/>
    <xf numFmtId="0" fontId="10" fillId="2" borderId="0" xfId="6" applyFont="1" applyFill="1"/>
    <xf numFmtId="173" fontId="10" fillId="2" borderId="0" xfId="5" applyNumberFormat="1" applyFont="1" applyFill="1" applyAlignment="1">
      <alignment horizontal="center"/>
    </xf>
    <xf numFmtId="168" fontId="10" fillId="2" borderId="0" xfId="5" applyNumberFormat="1" applyFont="1" applyFill="1" applyAlignment="1">
      <alignment vertical="top" wrapText="1"/>
    </xf>
    <xf numFmtId="10" fontId="10" fillId="2" borderId="0" xfId="2" applyNumberFormat="1" applyFont="1" applyFill="1"/>
    <xf numFmtId="174" fontId="10" fillId="2" borderId="0" xfId="2" applyNumberFormat="1" applyFont="1" applyFill="1" applyAlignment="1">
      <alignment horizontal="right"/>
    </xf>
    <xf numFmtId="43" fontId="10" fillId="2" borderId="0" xfId="1" applyFont="1" applyFill="1" applyBorder="1" applyAlignment="1">
      <alignment vertical="top" wrapText="1"/>
    </xf>
    <xf numFmtId="168" fontId="10" fillId="2" borderId="0" xfId="5" applyNumberFormat="1" applyFont="1" applyFill="1" applyAlignment="1">
      <alignment horizontal="left"/>
    </xf>
    <xf numFmtId="172" fontId="10" fillId="2" borderId="0" xfId="2" applyNumberFormat="1" applyFont="1" applyFill="1"/>
    <xf numFmtId="170" fontId="16" fillId="2" borderId="0" xfId="1" applyNumberFormat="1" applyFont="1" applyFill="1"/>
    <xf numFmtId="166" fontId="10" fillId="2" borderId="0" xfId="5" applyNumberFormat="1" applyFont="1" applyFill="1"/>
    <xf numFmtId="0" fontId="13" fillId="2" borderId="0" xfId="0" applyFont="1" applyFill="1"/>
    <xf numFmtId="167" fontId="0" fillId="0" borderId="0" xfId="0" applyNumberFormat="1"/>
    <xf numFmtId="0" fontId="5" fillId="3" borderId="16" xfId="3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center" vertical="center" wrapText="1"/>
    </xf>
    <xf numFmtId="0" fontId="6" fillId="3" borderId="17" xfId="3" applyFont="1" applyFill="1" applyBorder="1" applyAlignment="1">
      <alignment horizontal="center" vertical="center" wrapText="1"/>
    </xf>
    <xf numFmtId="0" fontId="7" fillId="4" borderId="15" xfId="3" applyFont="1" applyFill="1" applyBorder="1"/>
    <xf numFmtId="3" fontId="8" fillId="2" borderId="2" xfId="3" applyNumberFormat="1" applyFont="1" applyFill="1" applyBorder="1" applyAlignment="1">
      <alignment horizontal="center"/>
    </xf>
    <xf numFmtId="3" fontId="9" fillId="5" borderId="18" xfId="3" applyNumberFormat="1" applyFont="1" applyFill="1" applyBorder="1" applyAlignment="1">
      <alignment horizontal="center"/>
    </xf>
    <xf numFmtId="3" fontId="9" fillId="4" borderId="18" xfId="3" applyNumberFormat="1" applyFont="1" applyFill="1" applyBorder="1" applyAlignment="1">
      <alignment horizontal="center"/>
    </xf>
    <xf numFmtId="0" fontId="14" fillId="3" borderId="16" xfId="3" applyFont="1" applyFill="1" applyBorder="1" applyAlignment="1">
      <alignment horizontal="center" vertical="center" wrapText="1"/>
    </xf>
    <xf numFmtId="3" fontId="9" fillId="4" borderId="19" xfId="3" applyNumberFormat="1" applyFont="1" applyFill="1" applyBorder="1" applyAlignment="1">
      <alignment horizontal="center"/>
    </xf>
    <xf numFmtId="1" fontId="9" fillId="5" borderId="19" xfId="3" applyNumberFormat="1" applyFont="1" applyFill="1" applyBorder="1" applyAlignment="1">
      <alignment horizontal="center"/>
    </xf>
    <xf numFmtId="1" fontId="9" fillId="5" borderId="20" xfId="3" applyNumberFormat="1" applyFont="1" applyFill="1" applyBorder="1" applyAlignment="1">
      <alignment horizontal="center"/>
    </xf>
    <xf numFmtId="43" fontId="4" fillId="5" borderId="19" xfId="1" applyFont="1" applyFill="1" applyBorder="1"/>
    <xf numFmtId="43" fontId="4" fillId="5" borderId="20" xfId="1" applyFont="1" applyFill="1" applyBorder="1"/>
    <xf numFmtId="3" fontId="7" fillId="4" borderId="19" xfId="3" applyNumberFormat="1" applyFont="1" applyFill="1" applyBorder="1" applyAlignment="1">
      <alignment horizontal="center"/>
    </xf>
    <xf numFmtId="0" fontId="10" fillId="4" borderId="19" xfId="6" applyFont="1" applyFill="1" applyBorder="1" applyAlignment="1">
      <alignment horizontal="center"/>
    </xf>
    <xf numFmtId="167" fontId="10" fillId="2" borderId="19" xfId="1" applyNumberFormat="1" applyFont="1" applyFill="1" applyBorder="1" applyAlignment="1">
      <alignment horizontal="center"/>
    </xf>
    <xf numFmtId="167" fontId="10" fillId="2" borderId="15" xfId="1" applyNumberFormat="1" applyFont="1" applyFill="1" applyBorder="1" applyAlignment="1">
      <alignment horizontal="center"/>
    </xf>
    <xf numFmtId="169" fontId="10" fillId="2" borderId="19" xfId="1" applyNumberFormat="1" applyFont="1" applyFill="1" applyBorder="1" applyAlignment="1">
      <alignment horizontal="center"/>
    </xf>
    <xf numFmtId="168" fontId="10" fillId="0" borderId="0" xfId="5" applyNumberFormat="1" applyFont="1" applyAlignment="1">
      <alignment horizontal="center"/>
    </xf>
    <xf numFmtId="0" fontId="13" fillId="2" borderId="0" xfId="0" applyFont="1" applyFill="1" applyAlignment="1">
      <alignment vertical="top"/>
    </xf>
    <xf numFmtId="43" fontId="13" fillId="2" borderId="0" xfId="1" applyFont="1" applyFill="1" applyBorder="1" applyAlignment="1">
      <alignment vertical="top"/>
    </xf>
    <xf numFmtId="43" fontId="10" fillId="2" borderId="0" xfId="1" applyFont="1" applyFill="1" applyBorder="1" applyAlignment="1">
      <alignment horizontal="center"/>
    </xf>
    <xf numFmtId="0" fontId="18" fillId="6" borderId="0" xfId="0" applyFont="1" applyFill="1"/>
    <xf numFmtId="171" fontId="0" fillId="2" borderId="0" xfId="0" applyNumberFormat="1" applyFill="1"/>
    <xf numFmtId="0" fontId="0" fillId="2" borderId="0" xfId="0" applyFill="1" applyAlignment="1">
      <alignment horizontal="left" indent="2"/>
    </xf>
    <xf numFmtId="0" fontId="0" fillId="0" borderId="0" xfId="0" applyAlignment="1">
      <alignment horizontal="center"/>
    </xf>
    <xf numFmtId="167" fontId="10" fillId="2" borderId="13" xfId="1" applyNumberFormat="1" applyFont="1" applyFill="1" applyBorder="1" applyAlignment="1">
      <alignment horizontal="center"/>
    </xf>
    <xf numFmtId="1" fontId="10" fillId="2" borderId="1" xfId="5" applyNumberFormat="1" applyFont="1" applyFill="1" applyBorder="1" applyAlignment="1">
      <alignment horizontal="center"/>
    </xf>
    <xf numFmtId="168" fontId="10" fillId="2" borderId="1" xfId="5" applyNumberFormat="1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wrapText="1"/>
    </xf>
    <xf numFmtId="168" fontId="17" fillId="3" borderId="8" xfId="5" applyNumberFormat="1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 vertical="top" wrapText="1"/>
    </xf>
    <xf numFmtId="0" fontId="5" fillId="3" borderId="14" xfId="3" applyFont="1" applyFill="1" applyBorder="1" applyAlignment="1">
      <alignment horizontal="center" vertical="center" wrapText="1"/>
    </xf>
    <xf numFmtId="0" fontId="5" fillId="3" borderId="21" xfId="3" applyFont="1" applyFill="1" applyBorder="1" applyAlignment="1">
      <alignment horizont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5" fillId="3" borderId="24" xfId="3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8">
    <cellStyle name="Comma" xfId="1" builtinId="3"/>
    <cellStyle name="Comma 5" xfId="7" xr:uid="{7D4E77AC-5CD2-4FDA-83C0-75CCAF1E319E}"/>
    <cellStyle name="Normal" xfId="0" builtinId="0"/>
    <cellStyle name="Normal 2" xfId="4" xr:uid="{C8869F24-C974-4D42-81ED-A0A9E173FA97}"/>
    <cellStyle name="Normal 3" xfId="6" xr:uid="{40DBB2D3-7AB9-48DF-B280-86A3D698A65F}"/>
    <cellStyle name="Normal 5" xfId="3" xr:uid="{C36F81C2-A956-4BE0-95D1-2C0C8B1266A0}"/>
    <cellStyle name="Normal 6" xfId="5" xr:uid="{EB75A5D4-1CEB-43C0-B540-727D57CFE04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stralia\Monash\Semester_3\FIT%205147%20Data%20Exploration%20and%20Data%20Visualisation\London\2022\LEGGI%202022_v3.xlsx" TargetMode="External"/><Relationship Id="rId1" Type="http://schemas.openxmlformats.org/officeDocument/2006/relationships/externalLinkPath" Target="LEGGI%202022_v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/LEGGI%202023.xlsx" TargetMode="External"/><Relationship Id="rId2" Type="http://schemas.openxmlformats.org/officeDocument/2006/relationships/externalLinkPath" Target="file:///D:\Australia\Monash\Semester_3\FIT%205147%20Data%20Exploration%20and%20Data%20Visualisation\London\2023\LEGGI%202023.xlsx" TargetMode="External"/><Relationship Id="rId1" Type="http://schemas.openxmlformats.org/officeDocument/2006/relationships/externalLinkPath" Target="/Australia/Monash/Semester_3/FIT%205147%20Data%20Exploration%20and%20Data%20Visualisation/London/2023/LEGG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V.Other"/>
      <sheetName val="Lookups"/>
      <sheetName val="Emission &amp; Conversion Factors"/>
      <sheetName val="Data sources and methods"/>
    </sheetNames>
    <sheetDataSet>
      <sheetData sheetId="0"/>
      <sheetData sheetId="1"/>
      <sheetData sheetId="2">
        <row r="10">
          <cell r="C10">
            <v>234504494.46899879</v>
          </cell>
        </row>
      </sheetData>
      <sheetData sheetId="3"/>
      <sheetData sheetId="4"/>
      <sheetData sheetId="5">
        <row r="9">
          <cell r="F9">
            <v>234504494.46899879</v>
          </cell>
        </row>
      </sheetData>
      <sheetData sheetId="6">
        <row r="9">
          <cell r="E9">
            <v>2637.9716502360866</v>
          </cell>
        </row>
      </sheetData>
      <sheetData sheetId="7">
        <row r="10">
          <cell r="L10">
            <v>43172</v>
          </cell>
        </row>
      </sheetData>
      <sheetData sheetId="8">
        <row r="65">
          <cell r="R65">
            <v>1561118.3843075738</v>
          </cell>
        </row>
      </sheetData>
      <sheetData sheetId="9">
        <row r="8">
          <cell r="H8">
            <v>2592.7493801043752</v>
          </cell>
        </row>
      </sheetData>
      <sheetData sheetId="10"/>
      <sheetData sheetId="11"/>
      <sheetData sheetId="12">
        <row r="123">
          <cell r="E123">
            <v>0.20705000000000001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Emission &amp; Conversion Factors"/>
      <sheetName val="Data sources and methods"/>
    </sheetNames>
    <sheetDataSet>
      <sheetData sheetId="0"/>
      <sheetData sheetId="1"/>
      <sheetData sheetId="2">
        <row r="10">
          <cell r="C10">
            <v>243158673.0610007</v>
          </cell>
        </row>
      </sheetData>
      <sheetData sheetId="3"/>
      <sheetData sheetId="4"/>
      <sheetData sheetId="5">
        <row r="9">
          <cell r="F9">
            <v>243158673.0610007</v>
          </cell>
        </row>
      </sheetData>
      <sheetData sheetId="6">
        <row r="9">
          <cell r="E9">
            <v>2637.166702259924</v>
          </cell>
        </row>
      </sheetData>
      <sheetData sheetId="7">
        <row r="10">
          <cell r="L10">
            <v>41713</v>
          </cell>
        </row>
      </sheetData>
      <sheetData sheetId="8">
        <row r="65">
          <cell r="R65">
            <v>1010103.6196923096</v>
          </cell>
        </row>
      </sheetData>
      <sheetData sheetId="9">
        <row r="9">
          <cell r="H9">
            <v>2592.7493801043752</v>
          </cell>
        </row>
      </sheetData>
      <sheetData sheetId="10">
        <row r="24">
          <cell r="E24">
            <v>0.18296000000000001</v>
          </cell>
        </row>
        <row r="46">
          <cell r="G46">
            <v>2.9E-4</v>
          </cell>
          <cell r="H46">
            <v>3.2899999999999999E-2</v>
          </cell>
        </row>
        <row r="60">
          <cell r="E60">
            <v>0.25650000000000001</v>
          </cell>
        </row>
        <row r="70">
          <cell r="G70">
            <v>8.0599999999999995E-3</v>
          </cell>
          <cell r="H70">
            <v>5.8700000000000002E-3</v>
          </cell>
        </row>
        <row r="109">
          <cell r="E109">
            <v>0.34721000000000002</v>
          </cell>
        </row>
        <row r="123">
          <cell r="E123">
            <v>0.17701</v>
          </cell>
          <cell r="F123">
            <v>0.17488999999999999</v>
          </cell>
          <cell r="G123">
            <v>8.9999999999999998E-4</v>
          </cell>
          <cell r="H123">
            <v>1.2199999999999999E-3</v>
          </cell>
        </row>
        <row r="124">
          <cell r="E124">
            <v>1.8530000000000001E-2</v>
          </cell>
          <cell r="F124">
            <v>1.8339999999999999E-2</v>
          </cell>
          <cell r="G124">
            <v>8.0000000000000007E-5</v>
          </cell>
          <cell r="H124">
            <v>1.1E-4</v>
          </cell>
        </row>
        <row r="144">
          <cell r="G144">
            <v>0.13871156900024537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K15" sqref="K15"/>
    </sheetView>
  </sheetViews>
  <sheetFormatPr defaultRowHeight="14.4" x14ac:dyDescent="0.3"/>
  <sheetData>
    <row r="1" spans="1:3" ht="18" x14ac:dyDescent="0.35">
      <c r="A1" s="6"/>
      <c r="B1" s="7"/>
      <c r="C1" s="7"/>
    </row>
    <row r="2" spans="1:3" x14ac:dyDescent="0.3">
      <c r="A2" s="8"/>
      <c r="B2" s="7"/>
      <c r="C2" s="7"/>
    </row>
    <row r="3" spans="1:3" x14ac:dyDescent="0.3">
      <c r="A3" s="9"/>
      <c r="B3" s="9"/>
      <c r="C3" s="10"/>
    </row>
    <row r="4" spans="1:3" x14ac:dyDescent="0.3">
      <c r="A4" s="7"/>
      <c r="B4" s="11"/>
      <c r="C4" s="5"/>
    </row>
    <row r="5" spans="1:3" x14ac:dyDescent="0.3">
      <c r="A5" s="7"/>
      <c r="B5" s="11"/>
      <c r="C5" s="5"/>
    </row>
    <row r="6" spans="1:3" x14ac:dyDescent="0.3">
      <c r="A6" s="9"/>
      <c r="B6" s="7"/>
      <c r="C6" s="5"/>
    </row>
    <row r="7" spans="1:3" x14ac:dyDescent="0.3">
      <c r="A7" s="7"/>
      <c r="B7" s="10"/>
      <c r="C7" s="5"/>
    </row>
    <row r="8" spans="1:3" x14ac:dyDescent="0.3">
      <c r="A8" s="7"/>
      <c r="B8" s="10"/>
      <c r="C8" s="5"/>
    </row>
    <row r="9" spans="1:3" x14ac:dyDescent="0.3">
      <c r="A9" s="9"/>
      <c r="B9" s="7"/>
      <c r="C9" s="5"/>
    </row>
    <row r="10" spans="1:3" x14ac:dyDescent="0.3">
      <c r="A10" s="7"/>
      <c r="B10" s="11"/>
      <c r="C10" s="5"/>
    </row>
    <row r="11" spans="1:3" x14ac:dyDescent="0.3">
      <c r="A11" s="9"/>
      <c r="B11" s="7"/>
      <c r="C11" s="7"/>
    </row>
    <row r="12" spans="1:3" x14ac:dyDescent="0.3">
      <c r="A12" s="7"/>
      <c r="B12" s="11"/>
      <c r="C12" s="7"/>
    </row>
    <row r="13" spans="1:3" x14ac:dyDescent="0.3">
      <c r="A13" s="9"/>
      <c r="B13" s="7"/>
      <c r="C13" s="7"/>
    </row>
    <row r="14" spans="1:3" x14ac:dyDescent="0.3">
      <c r="A14" s="7"/>
      <c r="B14" s="12"/>
      <c r="C14" s="7"/>
    </row>
    <row r="15" spans="1:3" x14ac:dyDescent="0.3">
      <c r="A15" s="7"/>
      <c r="B15" s="12"/>
      <c r="C15" s="7"/>
    </row>
    <row r="16" spans="1:3" x14ac:dyDescent="0.3">
      <c r="A16" s="13"/>
      <c r="B16" s="14"/>
      <c r="C16" s="7"/>
    </row>
    <row r="17" spans="1:3" x14ac:dyDescent="0.3">
      <c r="A17" s="7"/>
      <c r="B17" s="12"/>
      <c r="C17" s="14"/>
    </row>
    <row r="18" spans="1:3" x14ac:dyDescent="0.3">
      <c r="A18" s="7"/>
      <c r="B18" s="15"/>
      <c r="C18" s="15"/>
    </row>
    <row r="19" spans="1:3" x14ac:dyDescent="0.3">
      <c r="A19" s="13"/>
      <c r="B19" s="16"/>
      <c r="C19" s="15"/>
    </row>
    <row r="20" spans="1:3" x14ac:dyDescent="0.3">
      <c r="A20" s="17"/>
      <c r="B20" s="10"/>
      <c r="C20" s="15"/>
    </row>
    <row r="21" spans="1:3" x14ac:dyDescent="0.3">
      <c r="A21" s="7"/>
      <c r="B21" s="12"/>
      <c r="C2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A8B6-5EA7-4441-A812-BDDD90D77FBF}">
  <dimension ref="A1:Y34"/>
  <sheetViews>
    <sheetView tabSelected="1" topLeftCell="L1" workbookViewId="0">
      <selection activeCell="Y11" sqref="Y11"/>
    </sheetView>
  </sheetViews>
  <sheetFormatPr defaultRowHeight="14.4" x14ac:dyDescent="0.3"/>
  <cols>
    <col min="2" max="2" width="26.21875" customWidth="1"/>
    <col min="3" max="3" width="14.33203125" customWidth="1"/>
    <col min="4" max="4" width="13.21875" customWidth="1"/>
    <col min="5" max="6" width="10.77734375" customWidth="1"/>
    <col min="7" max="7" width="11" customWidth="1"/>
    <col min="8" max="8" width="14.77734375" customWidth="1"/>
    <col min="9" max="9" width="13.109375" customWidth="1"/>
    <col min="10" max="10" width="14.21875" customWidth="1"/>
    <col min="11" max="11" width="13.109375" customWidth="1"/>
    <col min="12" max="12" width="10.6640625" customWidth="1"/>
    <col min="13" max="13" width="12.44140625" customWidth="1"/>
    <col min="14" max="14" width="11.21875" customWidth="1"/>
    <col min="15" max="15" width="15.33203125" customWidth="1"/>
    <col min="16" max="16" width="12.33203125" customWidth="1"/>
    <col min="17" max="17" width="10.33203125" customWidth="1"/>
    <col min="18" max="18" width="10.88671875" customWidth="1"/>
    <col min="19" max="19" width="15.21875" customWidth="1"/>
    <col min="20" max="20" width="17" customWidth="1"/>
    <col min="21" max="21" width="14.6640625" customWidth="1"/>
    <col min="22" max="22" width="15.44140625" customWidth="1"/>
    <col min="23" max="23" width="14.77734375" customWidth="1"/>
    <col min="24" max="24" width="23" customWidth="1"/>
    <col min="25" max="25" width="21.21875" customWidth="1"/>
  </cols>
  <sheetData>
    <row r="1" spans="1:25" ht="28.8" x14ac:dyDescent="0.3">
      <c r="A1" s="2"/>
      <c r="B1" s="93" t="s">
        <v>92</v>
      </c>
      <c r="C1" s="57" t="s">
        <v>0</v>
      </c>
      <c r="D1" s="58" t="s">
        <v>1</v>
      </c>
      <c r="E1" s="58" t="s">
        <v>2</v>
      </c>
      <c r="F1" s="58" t="s">
        <v>3</v>
      </c>
      <c r="G1" s="58" t="s">
        <v>4</v>
      </c>
      <c r="H1" s="57" t="s">
        <v>5</v>
      </c>
      <c r="I1" s="57" t="s">
        <v>0</v>
      </c>
      <c r="J1" s="57" t="s">
        <v>6</v>
      </c>
      <c r="K1" s="57" t="s">
        <v>1</v>
      </c>
      <c r="L1" s="58" t="s">
        <v>2</v>
      </c>
      <c r="M1" s="58" t="s">
        <v>3</v>
      </c>
      <c r="N1" s="59" t="s">
        <v>4</v>
      </c>
      <c r="O1" s="57" t="s">
        <v>5</v>
      </c>
      <c r="P1" s="57" t="s">
        <v>7</v>
      </c>
      <c r="Q1" s="57" t="s">
        <v>8</v>
      </c>
      <c r="R1" s="57" t="s">
        <v>9</v>
      </c>
      <c r="S1" s="57" t="s">
        <v>10</v>
      </c>
      <c r="T1" s="57" t="s">
        <v>11</v>
      </c>
      <c r="U1" s="57" t="s">
        <v>12</v>
      </c>
      <c r="V1" s="57" t="s">
        <v>5</v>
      </c>
      <c r="W1" s="89"/>
      <c r="X1" s="94" t="s">
        <v>90</v>
      </c>
      <c r="Y1" s="94" t="s">
        <v>91</v>
      </c>
    </row>
    <row r="2" spans="1:25" x14ac:dyDescent="0.3">
      <c r="A2" s="1"/>
      <c r="B2" s="60" t="s">
        <v>13</v>
      </c>
      <c r="C2" s="61">
        <v>234504494.46899879</v>
      </c>
      <c r="D2" s="3">
        <v>663570714.0210849</v>
      </c>
      <c r="E2" s="3">
        <v>2016778.6035874439</v>
      </c>
      <c r="F2" s="3">
        <v>2578319.1961555094</v>
      </c>
      <c r="G2" s="3">
        <v>4087289.4757354376</v>
      </c>
      <c r="H2" s="62">
        <v>906757595.76556206</v>
      </c>
      <c r="I2" s="4">
        <v>317182160.79299992</v>
      </c>
      <c r="J2" s="3">
        <v>267886379.69047567</v>
      </c>
      <c r="K2" s="3">
        <v>225220660.4990471</v>
      </c>
      <c r="L2" s="3">
        <v>2710411.2847108003</v>
      </c>
      <c r="M2" s="3">
        <v>160422258.85442105</v>
      </c>
      <c r="N2" s="3">
        <v>14900957.938845772</v>
      </c>
      <c r="O2" s="62">
        <v>671140668.2675004</v>
      </c>
      <c r="P2" s="3">
        <v>0</v>
      </c>
      <c r="Q2" s="3">
        <v>3915136.1650165562</v>
      </c>
      <c r="R2" s="3">
        <v>10272875.307590198</v>
      </c>
      <c r="S2" s="3">
        <v>46941900.111756086</v>
      </c>
      <c r="T2" s="3">
        <v>510592568.21905529</v>
      </c>
      <c r="U2" s="3">
        <v>2353880.9907681686</v>
      </c>
      <c r="V2" s="62">
        <v>574076360.79418635</v>
      </c>
      <c r="W2" s="63">
        <v>2151974624.8272486</v>
      </c>
      <c r="X2" s="84">
        <v>218900</v>
      </c>
      <c r="Y2">
        <f>W2/X2</f>
        <v>9830.85712575262</v>
      </c>
    </row>
    <row r="3" spans="1:25" x14ac:dyDescent="0.3">
      <c r="A3" s="1"/>
      <c r="B3" s="60" t="s">
        <v>14</v>
      </c>
      <c r="C3" s="61">
        <v>579949855.51999521</v>
      </c>
      <c r="D3" s="3">
        <v>1887362208.0329351</v>
      </c>
      <c r="E3" s="3">
        <v>3343930.2871528091</v>
      </c>
      <c r="F3" s="3">
        <v>8614562.5005576797</v>
      </c>
      <c r="G3" s="3">
        <v>4939303.6005613841</v>
      </c>
      <c r="H3" s="62">
        <v>2484209859.9412026</v>
      </c>
      <c r="I3" s="4">
        <v>455140596.25319576</v>
      </c>
      <c r="J3" s="3">
        <v>348822060.48396957</v>
      </c>
      <c r="K3" s="3">
        <v>500391751.02953237</v>
      </c>
      <c r="L3" s="3">
        <v>5789109.08182998</v>
      </c>
      <c r="M3" s="3">
        <v>142849951.67103148</v>
      </c>
      <c r="N3" s="3">
        <v>22752706.69157248</v>
      </c>
      <c r="O3" s="62">
        <v>1020605578.9579358</v>
      </c>
      <c r="P3" s="3">
        <v>473086.03001758811</v>
      </c>
      <c r="Q3" s="3">
        <v>0</v>
      </c>
      <c r="R3" s="3">
        <v>38268691.12695466</v>
      </c>
      <c r="S3" s="3">
        <v>99074742.037877321</v>
      </c>
      <c r="T3" s="3">
        <v>1426384688.8284292</v>
      </c>
      <c r="U3" s="3">
        <v>7243793.731348875</v>
      </c>
      <c r="V3" s="62">
        <v>1571445001.7546277</v>
      </c>
      <c r="W3" s="63">
        <v>5076260440.6537666</v>
      </c>
      <c r="X3" s="84">
        <v>389300</v>
      </c>
      <c r="Y3">
        <f t="shared" ref="Y3:Y34" si="0">W3/X3</f>
        <v>13039.456564741246</v>
      </c>
    </row>
    <row r="4" spans="1:25" x14ac:dyDescent="0.3">
      <c r="A4" s="1"/>
      <c r="B4" s="60" t="s">
        <v>15</v>
      </c>
      <c r="C4" s="61">
        <v>326670192.16399926</v>
      </c>
      <c r="D4" s="3">
        <v>1027855719.893963</v>
      </c>
      <c r="E4" s="3">
        <v>2138767.416607833</v>
      </c>
      <c r="F4" s="3">
        <v>6023050.9954476813</v>
      </c>
      <c r="G4" s="3">
        <v>5015779.2007197235</v>
      </c>
      <c r="H4" s="62">
        <v>1367703509.6707375</v>
      </c>
      <c r="I4" s="4">
        <v>395034590.21700001</v>
      </c>
      <c r="J4" s="3">
        <v>355417240.73669279</v>
      </c>
      <c r="K4" s="3">
        <v>683659751.81079602</v>
      </c>
      <c r="L4" s="3">
        <v>4832355.4080685033</v>
      </c>
      <c r="M4" s="3">
        <v>113685255.42750305</v>
      </c>
      <c r="N4" s="3">
        <v>45964078.152503639</v>
      </c>
      <c r="O4" s="62">
        <v>1203558681.5355642</v>
      </c>
      <c r="P4" s="3">
        <v>20846280.048301812</v>
      </c>
      <c r="Q4" s="3">
        <v>1912897.4597659395</v>
      </c>
      <c r="R4" s="3">
        <v>4703977.0550723877</v>
      </c>
      <c r="S4" s="3">
        <v>36060456.121031411</v>
      </c>
      <c r="T4" s="3">
        <v>788397548.25677657</v>
      </c>
      <c r="U4" s="3">
        <v>3556893.35927583</v>
      </c>
      <c r="V4" s="62">
        <v>855478052.30022395</v>
      </c>
      <c r="W4" s="63">
        <v>3426740243.5065255</v>
      </c>
      <c r="X4" s="84">
        <v>246500</v>
      </c>
      <c r="Y4">
        <f t="shared" si="0"/>
        <v>13901.583137957507</v>
      </c>
    </row>
    <row r="5" spans="1:25" x14ac:dyDescent="0.3">
      <c r="A5" s="1"/>
      <c r="B5" s="60" t="s">
        <v>16</v>
      </c>
      <c r="C5" s="61">
        <v>398528481.56110173</v>
      </c>
      <c r="D5" s="3">
        <v>1340074499.735034</v>
      </c>
      <c r="E5" s="3">
        <v>1452148.228598994</v>
      </c>
      <c r="F5" s="3">
        <v>5135667.1051456882</v>
      </c>
      <c r="G5" s="3">
        <v>3405540.0233499128</v>
      </c>
      <c r="H5" s="62">
        <v>1748596336.6532304</v>
      </c>
      <c r="I5" s="4">
        <v>737475511.5690006</v>
      </c>
      <c r="J5" s="3">
        <v>624505456.75362098</v>
      </c>
      <c r="K5" s="3">
        <v>552278113.24672842</v>
      </c>
      <c r="L5" s="3">
        <v>6280894.8972429717</v>
      </c>
      <c r="M5" s="3">
        <v>202476515.51537225</v>
      </c>
      <c r="N5" s="3">
        <v>42581939.251152277</v>
      </c>
      <c r="O5" s="62">
        <v>1428122919.6641171</v>
      </c>
      <c r="P5" s="3">
        <v>795739.37369420077</v>
      </c>
      <c r="Q5" s="3">
        <v>0</v>
      </c>
      <c r="R5" s="3">
        <v>46318865.194410048</v>
      </c>
      <c r="S5" s="3">
        <v>108437210.16207099</v>
      </c>
      <c r="T5" s="3">
        <v>731344726.13385284</v>
      </c>
      <c r="U5" s="3">
        <v>4532844.6533086663</v>
      </c>
      <c r="V5" s="62">
        <v>891429385.51733673</v>
      </c>
      <c r="W5" s="63">
        <v>4068148641.8346844</v>
      </c>
      <c r="X5" s="84">
        <v>339800</v>
      </c>
      <c r="Y5">
        <f t="shared" si="0"/>
        <v>11972.18552629395</v>
      </c>
    </row>
    <row r="6" spans="1:25" x14ac:dyDescent="0.3">
      <c r="A6" s="1"/>
      <c r="B6" s="60" t="s">
        <v>17</v>
      </c>
      <c r="C6" s="61">
        <v>483931618.77999526</v>
      </c>
      <c r="D6" s="3">
        <v>1712315411.5028341</v>
      </c>
      <c r="E6" s="3">
        <v>7242415.0258503221</v>
      </c>
      <c r="F6" s="3">
        <v>13761394.933375681</v>
      </c>
      <c r="G6" s="3">
        <v>6995337.5084048333</v>
      </c>
      <c r="H6" s="62">
        <v>2224246177.7504601</v>
      </c>
      <c r="I6" s="4">
        <v>342913912.59600002</v>
      </c>
      <c r="J6" s="3">
        <v>263907935.00113854</v>
      </c>
      <c r="K6" s="3">
        <v>324157433.191441</v>
      </c>
      <c r="L6" s="3">
        <v>3352747.0465582027</v>
      </c>
      <c r="M6" s="3">
        <v>138096422.14091524</v>
      </c>
      <c r="N6" s="3">
        <v>14036767.595102811</v>
      </c>
      <c r="O6" s="62">
        <v>743551304.97515583</v>
      </c>
      <c r="P6" s="3">
        <v>22968811.30303362</v>
      </c>
      <c r="Q6" s="3">
        <v>0</v>
      </c>
      <c r="R6" s="3">
        <v>5728549.5106221214</v>
      </c>
      <c r="S6" s="3">
        <v>73990730.734018728</v>
      </c>
      <c r="T6" s="3">
        <v>973063491.64889228</v>
      </c>
      <c r="U6" s="3">
        <v>5015246.8608427225</v>
      </c>
      <c r="V6" s="62">
        <v>1080766830.0574095</v>
      </c>
      <c r="W6" s="63">
        <v>4048564312.7830257</v>
      </c>
      <c r="X6" s="84">
        <v>330000</v>
      </c>
      <c r="Y6">
        <f t="shared" si="0"/>
        <v>12268.376705403109</v>
      </c>
    </row>
    <row r="7" spans="1:25" x14ac:dyDescent="0.3">
      <c r="A7" s="1"/>
      <c r="B7" s="60" t="s">
        <v>18</v>
      </c>
      <c r="C7" s="61">
        <v>313051237.77500331</v>
      </c>
      <c r="D7" s="3">
        <v>829799135.53095734</v>
      </c>
      <c r="E7" s="3">
        <v>406096.59316742473</v>
      </c>
      <c r="F7" s="3">
        <v>9559096.5652279835</v>
      </c>
      <c r="G7" s="3">
        <v>952377.35466034722</v>
      </c>
      <c r="H7" s="62">
        <v>1153767943.8190165</v>
      </c>
      <c r="I7" s="4">
        <v>1168908406.1630011</v>
      </c>
      <c r="J7" s="3">
        <v>1044675302.7960793</v>
      </c>
      <c r="K7" s="3">
        <v>1361569288.559586</v>
      </c>
      <c r="L7" s="3">
        <v>6573579.2965209316</v>
      </c>
      <c r="M7" s="3">
        <v>306446949.97235334</v>
      </c>
      <c r="N7" s="3">
        <v>17770001.581277173</v>
      </c>
      <c r="O7" s="62">
        <v>2737035122.2058167</v>
      </c>
      <c r="P7" s="3">
        <v>0</v>
      </c>
      <c r="Q7" s="3">
        <v>0</v>
      </c>
      <c r="R7" s="3">
        <v>45991115.19532375</v>
      </c>
      <c r="S7" s="3">
        <v>118499785.63151875</v>
      </c>
      <c r="T7" s="3">
        <v>481384859.54893458</v>
      </c>
      <c r="U7" s="3">
        <v>5733317.7354030423</v>
      </c>
      <c r="V7" s="62">
        <v>651609078.11118007</v>
      </c>
      <c r="W7" s="63">
        <v>4542412144.136013</v>
      </c>
      <c r="X7" s="84">
        <v>210100</v>
      </c>
      <c r="Y7">
        <f t="shared" si="0"/>
        <v>21620.238667948659</v>
      </c>
    </row>
    <row r="8" spans="1:25" x14ac:dyDescent="0.3">
      <c r="A8" s="1"/>
      <c r="B8" s="60" t="s">
        <v>19</v>
      </c>
      <c r="C8" s="61">
        <v>25630129.925999999</v>
      </c>
      <c r="D8" s="3">
        <v>25825338.678624149</v>
      </c>
      <c r="E8" s="3">
        <v>5888.7956599566151</v>
      </c>
      <c r="F8" s="3">
        <v>346576.64869356627</v>
      </c>
      <c r="G8" s="3">
        <v>13810.494550078472</v>
      </c>
      <c r="H8" s="62">
        <v>51821744.54352776</v>
      </c>
      <c r="I8" s="4">
        <v>1621608629.4450011</v>
      </c>
      <c r="J8" s="3">
        <v>1580689253.5039823</v>
      </c>
      <c r="K8" s="3">
        <v>683507530.33759546</v>
      </c>
      <c r="L8" s="3">
        <v>3893311.851706346</v>
      </c>
      <c r="M8" s="3">
        <v>149958907.46456033</v>
      </c>
      <c r="N8" s="3">
        <v>10408919.237215258</v>
      </c>
      <c r="O8" s="62">
        <v>2428457922.3950596</v>
      </c>
      <c r="P8" s="3">
        <v>733989.35372931743</v>
      </c>
      <c r="Q8" s="3">
        <v>8372526.9881660491</v>
      </c>
      <c r="R8" s="3">
        <v>32780.412958151195</v>
      </c>
      <c r="S8" s="3">
        <v>38747962.852857105</v>
      </c>
      <c r="T8" s="3">
        <v>126858562.73865815</v>
      </c>
      <c r="U8" s="3">
        <v>2171413.0881617931</v>
      </c>
      <c r="V8" s="62">
        <v>176917235.43453056</v>
      </c>
      <c r="W8" s="63">
        <v>2657196902.3731179</v>
      </c>
      <c r="X8" s="84">
        <v>8600</v>
      </c>
      <c r="Y8">
        <f t="shared" si="0"/>
        <v>308976.38399687415</v>
      </c>
    </row>
    <row r="9" spans="1:25" x14ac:dyDescent="0.3">
      <c r="A9" s="1"/>
      <c r="B9" s="60" t="s">
        <v>20</v>
      </c>
      <c r="C9" s="61">
        <v>530559509.6680057</v>
      </c>
      <c r="D9" s="3">
        <v>1771474867.8425632</v>
      </c>
      <c r="E9" s="3">
        <v>13436961.635721046</v>
      </c>
      <c r="F9" s="3">
        <v>8826165.4064494707</v>
      </c>
      <c r="G9" s="3">
        <v>7341446.890123371</v>
      </c>
      <c r="H9" s="62">
        <v>2331638951.4428625</v>
      </c>
      <c r="I9" s="4">
        <v>582342771.76399982</v>
      </c>
      <c r="J9" s="3">
        <v>474235583.34548402</v>
      </c>
      <c r="K9" s="3">
        <v>500028414.01930481</v>
      </c>
      <c r="L9" s="3">
        <v>3204218.5299012964</v>
      </c>
      <c r="M9" s="3">
        <v>101769135.34586309</v>
      </c>
      <c r="N9" s="3">
        <v>17271110.494316868</v>
      </c>
      <c r="O9" s="62">
        <v>1096508461.73487</v>
      </c>
      <c r="P9" s="3">
        <v>1065531.9737249385</v>
      </c>
      <c r="Q9" s="3">
        <v>0</v>
      </c>
      <c r="R9" s="3">
        <v>14740351.937145682</v>
      </c>
      <c r="S9" s="3">
        <v>103427873.85458273</v>
      </c>
      <c r="T9" s="3">
        <v>883141401.32612991</v>
      </c>
      <c r="U9" s="3">
        <v>4679314.5639330493</v>
      </c>
      <c r="V9" s="62">
        <v>1007054473.6555163</v>
      </c>
      <c r="W9" s="63">
        <v>4435201886.8332491</v>
      </c>
      <c r="X9" s="84">
        <v>390800</v>
      </c>
      <c r="Y9">
        <f t="shared" si="0"/>
        <v>11349.032463749358</v>
      </c>
    </row>
    <row r="10" spans="1:25" x14ac:dyDescent="0.3">
      <c r="A10" s="1"/>
      <c r="B10" s="60" t="s">
        <v>21</v>
      </c>
      <c r="C10" s="61">
        <v>443528822.41319209</v>
      </c>
      <c r="D10" s="3">
        <v>1444668144.742559</v>
      </c>
      <c r="E10" s="3">
        <v>2001783.8100939181</v>
      </c>
      <c r="F10" s="3">
        <v>6474163.6514155921</v>
      </c>
      <c r="G10" s="3">
        <v>4694544.5631449958</v>
      </c>
      <c r="H10" s="62">
        <v>1901367459.1804054</v>
      </c>
      <c r="I10" s="4">
        <v>898426244.99100029</v>
      </c>
      <c r="J10" s="3">
        <v>790598931.52860796</v>
      </c>
      <c r="K10" s="3">
        <v>670476105.41777086</v>
      </c>
      <c r="L10" s="3">
        <v>7171166.0355601357</v>
      </c>
      <c r="M10" s="3">
        <v>177712678.90313631</v>
      </c>
      <c r="N10" s="3">
        <v>34768701.676425651</v>
      </c>
      <c r="O10" s="62">
        <v>1680727583.5615008</v>
      </c>
      <c r="P10" s="3">
        <v>0</v>
      </c>
      <c r="Q10" s="3">
        <v>0</v>
      </c>
      <c r="R10" s="3">
        <v>17035262.970028456</v>
      </c>
      <c r="S10" s="3">
        <v>102238179.28757584</v>
      </c>
      <c r="T10" s="3">
        <v>1018194406.8804007</v>
      </c>
      <c r="U10" s="3">
        <v>5589134.174816451</v>
      </c>
      <c r="V10" s="62">
        <v>1143056983.3128214</v>
      </c>
      <c r="W10" s="63">
        <v>4725152026.0547276</v>
      </c>
      <c r="X10" s="84">
        <v>367100</v>
      </c>
      <c r="Y10">
        <f t="shared" si="0"/>
        <v>12871.56640167455</v>
      </c>
    </row>
    <row r="11" spans="1:25" x14ac:dyDescent="0.3">
      <c r="A11" s="1"/>
      <c r="B11" s="60" t="s">
        <v>22</v>
      </c>
      <c r="C11" s="61">
        <v>433897753.21300274</v>
      </c>
      <c r="D11" s="3">
        <v>1358339493.6465471</v>
      </c>
      <c r="E11" s="3">
        <v>3517259.3932130011</v>
      </c>
      <c r="F11" s="3">
        <v>6275136.9390509967</v>
      </c>
      <c r="G11" s="3">
        <v>6442047.4188178116</v>
      </c>
      <c r="H11" s="62">
        <v>1808471690.6106315</v>
      </c>
      <c r="I11" s="4">
        <v>501089365.45800006</v>
      </c>
      <c r="J11" s="3">
        <v>464442547.4767288</v>
      </c>
      <c r="K11" s="3">
        <v>518921820.08341342</v>
      </c>
      <c r="L11" s="3">
        <v>12737375.379487775</v>
      </c>
      <c r="M11" s="3">
        <v>147782217.63590938</v>
      </c>
      <c r="N11" s="3">
        <v>22147372.61451802</v>
      </c>
      <c r="O11" s="62">
        <v>1166031333.1900573</v>
      </c>
      <c r="P11" s="3">
        <v>743182.11628881213</v>
      </c>
      <c r="Q11" s="3">
        <v>0</v>
      </c>
      <c r="R11" s="3">
        <v>4775559.4011489144</v>
      </c>
      <c r="S11" s="3">
        <v>29518087.997197203</v>
      </c>
      <c r="T11" s="3">
        <v>1504474406.166337</v>
      </c>
      <c r="U11" s="3">
        <v>7128729.9840740561</v>
      </c>
      <c r="V11" s="62">
        <v>1546639965.665046</v>
      </c>
      <c r="W11" s="63">
        <v>4521142989.4657345</v>
      </c>
      <c r="X11" s="84">
        <v>330000</v>
      </c>
      <c r="Y11">
        <f t="shared" si="0"/>
        <v>13700.433301411316</v>
      </c>
    </row>
    <row r="12" spans="1:25" x14ac:dyDescent="0.3">
      <c r="A12" s="1"/>
      <c r="B12" s="60" t="s">
        <v>23</v>
      </c>
      <c r="C12" s="61">
        <v>344627319.86500174</v>
      </c>
      <c r="D12" s="3">
        <v>971836061.90870595</v>
      </c>
      <c r="E12" s="3">
        <v>1567335.0448782337</v>
      </c>
      <c r="F12" s="3">
        <v>4709032.7617573552</v>
      </c>
      <c r="G12" s="3">
        <v>3634765.2172521511</v>
      </c>
      <c r="H12" s="62">
        <v>1326374514.7975955</v>
      </c>
      <c r="I12" s="4">
        <v>431779659.25799984</v>
      </c>
      <c r="J12" s="3">
        <v>375361058.1610862</v>
      </c>
      <c r="K12" s="3">
        <v>480592135.68695807</v>
      </c>
      <c r="L12" s="3">
        <v>4106238.8283579582</v>
      </c>
      <c r="M12" s="3">
        <v>106524890.82299142</v>
      </c>
      <c r="N12" s="3">
        <v>24562552.110686343</v>
      </c>
      <c r="O12" s="62">
        <v>991146875.61007988</v>
      </c>
      <c r="P12" s="3">
        <v>11070537.406119337</v>
      </c>
      <c r="Q12" s="3">
        <v>4418107.2975681052</v>
      </c>
      <c r="R12" s="3">
        <v>3040519.8419255335</v>
      </c>
      <c r="S12" s="3">
        <v>50207738.76955153</v>
      </c>
      <c r="T12" s="3">
        <v>829765951.53416812</v>
      </c>
      <c r="U12" s="3">
        <v>6210862.3273621332</v>
      </c>
      <c r="V12" s="62">
        <v>904713717.17669475</v>
      </c>
      <c r="W12" s="63">
        <v>3222235107.5843701</v>
      </c>
      <c r="X12" s="84">
        <v>289100</v>
      </c>
      <c r="Y12">
        <f t="shared" si="0"/>
        <v>11145.745788946282</v>
      </c>
    </row>
    <row r="13" spans="1:25" x14ac:dyDescent="0.3">
      <c r="A13" s="1"/>
      <c r="B13" s="60" t="s">
        <v>24</v>
      </c>
      <c r="C13" s="61">
        <v>316896538.65800303</v>
      </c>
      <c r="D13" s="3">
        <v>842855932.472018</v>
      </c>
      <c r="E13" s="3">
        <v>899770.65579459467</v>
      </c>
      <c r="F13" s="3">
        <v>3071976.6239938051</v>
      </c>
      <c r="G13" s="3">
        <v>1833995.5681483764</v>
      </c>
      <c r="H13" s="62">
        <v>1165558213.977958</v>
      </c>
      <c r="I13" s="4">
        <v>516106225.22900033</v>
      </c>
      <c r="J13" s="3">
        <v>479479516.76401812</v>
      </c>
      <c r="K13" s="3">
        <v>356749526.28490794</v>
      </c>
      <c r="L13" s="3">
        <v>3311746.5864571356</v>
      </c>
      <c r="M13" s="3">
        <v>93828605.170715705</v>
      </c>
      <c r="N13" s="3">
        <v>10903931.312752165</v>
      </c>
      <c r="O13" s="62">
        <v>944273326.11885107</v>
      </c>
      <c r="P13" s="3">
        <v>0</v>
      </c>
      <c r="Q13" s="3">
        <v>0</v>
      </c>
      <c r="R13" s="3">
        <v>6560166.8257572977</v>
      </c>
      <c r="S13" s="3">
        <v>32413484.92935174</v>
      </c>
      <c r="T13" s="3">
        <v>408312895.74703443</v>
      </c>
      <c r="U13" s="3">
        <v>4213223.5356304813</v>
      </c>
      <c r="V13" s="62">
        <v>451499771.03777391</v>
      </c>
      <c r="W13" s="63">
        <v>2561331311.134583</v>
      </c>
      <c r="X13" s="84">
        <v>259200</v>
      </c>
      <c r="Y13">
        <f t="shared" si="0"/>
        <v>9881.6794411056435</v>
      </c>
    </row>
    <row r="14" spans="1:25" x14ac:dyDescent="0.3">
      <c r="A14" s="1"/>
      <c r="B14" s="60" t="s">
        <v>25</v>
      </c>
      <c r="C14" s="61">
        <v>263104849.36700219</v>
      </c>
      <c r="D14" s="3">
        <v>758945774.10840881</v>
      </c>
      <c r="E14" s="3">
        <v>631830.86473793793</v>
      </c>
      <c r="F14" s="3">
        <v>3715042.323501335</v>
      </c>
      <c r="G14" s="3">
        <v>1481774.9845699579</v>
      </c>
      <c r="H14" s="62">
        <v>1027879271.6482202</v>
      </c>
      <c r="I14" s="4">
        <v>613483565.01399982</v>
      </c>
      <c r="J14" s="3">
        <v>560434780.761217</v>
      </c>
      <c r="K14" s="3">
        <v>547839273.41760087</v>
      </c>
      <c r="L14" s="3">
        <v>2370611.4948838232</v>
      </c>
      <c r="M14" s="3">
        <v>118554206.44491594</v>
      </c>
      <c r="N14" s="3">
        <v>8316006.3945622183</v>
      </c>
      <c r="O14" s="62">
        <v>1237514878.5131798</v>
      </c>
      <c r="P14" s="3">
        <v>26523045.299394246</v>
      </c>
      <c r="Q14" s="3">
        <v>6932.7495505169936</v>
      </c>
      <c r="R14" s="3">
        <v>6525086.4102880051</v>
      </c>
      <c r="S14" s="3">
        <v>48881169.858817808</v>
      </c>
      <c r="T14" s="3">
        <v>394107911.07926118</v>
      </c>
      <c r="U14" s="3">
        <v>4167614.393964998</v>
      </c>
      <c r="V14" s="62">
        <v>480211759.79127675</v>
      </c>
      <c r="W14" s="63">
        <v>2745605909.9526768</v>
      </c>
      <c r="X14" s="84">
        <v>183200</v>
      </c>
      <c r="Y14">
        <f t="shared" si="0"/>
        <v>14986.93182288579</v>
      </c>
    </row>
    <row r="15" spans="1:25" x14ac:dyDescent="0.3">
      <c r="A15" s="1"/>
      <c r="B15" s="60" t="s">
        <v>26</v>
      </c>
      <c r="C15" s="61">
        <v>328381424.82200229</v>
      </c>
      <c r="D15" s="3">
        <v>1084431983.184164</v>
      </c>
      <c r="E15" s="3">
        <v>1170069.8570110223</v>
      </c>
      <c r="F15" s="3">
        <v>3125991.6162713771</v>
      </c>
      <c r="G15" s="3">
        <v>2744042.8045621952</v>
      </c>
      <c r="H15" s="62">
        <v>1419853512.2840111</v>
      </c>
      <c r="I15" s="4">
        <v>407400938.5229997</v>
      </c>
      <c r="J15" s="3">
        <v>338042011.99426633</v>
      </c>
      <c r="K15" s="3">
        <v>377175865.31021851</v>
      </c>
      <c r="L15" s="3">
        <v>3323083.7888021176</v>
      </c>
      <c r="M15" s="3">
        <v>82711974.979353577</v>
      </c>
      <c r="N15" s="3">
        <v>15253382.873638334</v>
      </c>
      <c r="O15" s="62">
        <v>816506318.94627893</v>
      </c>
      <c r="P15" s="3">
        <v>0</v>
      </c>
      <c r="Q15" s="3">
        <v>0</v>
      </c>
      <c r="R15" s="3">
        <v>7759904.3426470868</v>
      </c>
      <c r="S15" s="3">
        <v>64805787.733564004</v>
      </c>
      <c r="T15" s="3">
        <v>454280185.30957854</v>
      </c>
      <c r="U15" s="3">
        <v>4553138.7951693451</v>
      </c>
      <c r="V15" s="62">
        <v>531399016.18095899</v>
      </c>
      <c r="W15" s="63">
        <v>2767758847.4112492</v>
      </c>
      <c r="X15" s="84">
        <v>264200</v>
      </c>
      <c r="Y15">
        <f t="shared" si="0"/>
        <v>10475.998665447574</v>
      </c>
    </row>
    <row r="16" spans="1:25" x14ac:dyDescent="0.3">
      <c r="A16" s="1"/>
      <c r="B16" s="60" t="s">
        <v>27</v>
      </c>
      <c r="C16" s="61">
        <v>319158983.0680002</v>
      </c>
      <c r="D16" s="3">
        <v>1243437706.0384419</v>
      </c>
      <c r="E16" s="3">
        <v>1887976.9409795112</v>
      </c>
      <c r="F16" s="3">
        <v>5417236.2287168726</v>
      </c>
      <c r="G16" s="3">
        <v>3358502.9183859797</v>
      </c>
      <c r="H16" s="62">
        <v>1573260405.1945243</v>
      </c>
      <c r="I16" s="4">
        <v>193588041.83999997</v>
      </c>
      <c r="J16" s="3">
        <v>139173536.20561433</v>
      </c>
      <c r="K16" s="3">
        <v>221838478.5742119</v>
      </c>
      <c r="L16" s="3">
        <v>2356873.5759169529</v>
      </c>
      <c r="M16" s="3">
        <v>70172126.506337881</v>
      </c>
      <c r="N16" s="3">
        <v>7201462.3548035119</v>
      </c>
      <c r="O16" s="62">
        <v>440742477.21688455</v>
      </c>
      <c r="P16" s="3">
        <v>784297.46203339007</v>
      </c>
      <c r="Q16" s="3">
        <v>0</v>
      </c>
      <c r="R16" s="3">
        <v>16473790.009107623</v>
      </c>
      <c r="S16" s="3">
        <v>51731291.425582342</v>
      </c>
      <c r="T16" s="3">
        <v>524194846.05652094</v>
      </c>
      <c r="U16" s="3">
        <v>2683214.2088033049</v>
      </c>
      <c r="V16" s="62">
        <v>595867439.16204762</v>
      </c>
      <c r="W16" s="63">
        <v>2609870321.5734568</v>
      </c>
      <c r="X16" s="84">
        <v>261300</v>
      </c>
      <c r="Y16">
        <f t="shared" si="0"/>
        <v>9988.0226619726618</v>
      </c>
    </row>
    <row r="17" spans="1:25" x14ac:dyDescent="0.3">
      <c r="A17" s="1"/>
      <c r="B17" s="60" t="s">
        <v>28</v>
      </c>
      <c r="C17" s="61">
        <v>350926161.51100379</v>
      </c>
      <c r="D17" s="3">
        <v>1138771711.239177</v>
      </c>
      <c r="E17" s="3">
        <v>2684286.8450216409</v>
      </c>
      <c r="F17" s="3">
        <v>7613637.0707545448</v>
      </c>
      <c r="G17" s="3">
        <v>5351887.9009884149</v>
      </c>
      <c r="H17" s="62">
        <v>1505347684.5669453</v>
      </c>
      <c r="I17" s="4">
        <v>357576664.53299993</v>
      </c>
      <c r="J17" s="3">
        <v>286020547.70646447</v>
      </c>
      <c r="K17" s="3">
        <v>205675840.7547662</v>
      </c>
      <c r="L17" s="3">
        <v>6742855.1480005179</v>
      </c>
      <c r="M17" s="3">
        <v>116958184.30987082</v>
      </c>
      <c r="N17" s="3">
        <v>30547947.079920538</v>
      </c>
      <c r="O17" s="62">
        <v>645945374.99902248</v>
      </c>
      <c r="P17" s="3">
        <v>2866902.2305533388</v>
      </c>
      <c r="Q17" s="3">
        <v>903826.08785697678</v>
      </c>
      <c r="R17" s="3">
        <v>7895753.9995820019</v>
      </c>
      <c r="S17" s="3">
        <v>64641939.633226566</v>
      </c>
      <c r="T17" s="3">
        <v>1514004400.6021354</v>
      </c>
      <c r="U17" s="3">
        <v>6914177.1933088899</v>
      </c>
      <c r="V17" s="62">
        <v>1597226999.7466631</v>
      </c>
      <c r="W17" s="63">
        <v>3748520059.3126307</v>
      </c>
      <c r="X17" s="84">
        <v>262000</v>
      </c>
      <c r="Y17">
        <f t="shared" si="0"/>
        <v>14307.328470658895</v>
      </c>
    </row>
    <row r="18" spans="1:25" x14ac:dyDescent="0.3">
      <c r="A18" s="1"/>
      <c r="B18" s="60" t="s">
        <v>29</v>
      </c>
      <c r="C18" s="61">
        <v>391889449.6511938</v>
      </c>
      <c r="D18" s="3">
        <v>1256690180.232717</v>
      </c>
      <c r="E18" s="3">
        <v>9294737.9837805927</v>
      </c>
      <c r="F18" s="3">
        <v>9187786.8327710032</v>
      </c>
      <c r="G18" s="3">
        <v>12331813.2321191</v>
      </c>
      <c r="H18" s="62">
        <v>1679393967.9325817</v>
      </c>
      <c r="I18" s="4">
        <v>1181211929.3579998</v>
      </c>
      <c r="J18" s="3">
        <v>1076658296.8408983</v>
      </c>
      <c r="K18" s="3">
        <v>631240873.07797873</v>
      </c>
      <c r="L18" s="3">
        <v>12350703.890781788</v>
      </c>
      <c r="M18" s="3">
        <v>487846249.87639189</v>
      </c>
      <c r="N18" s="3">
        <v>76473915.8164915</v>
      </c>
      <c r="O18" s="62">
        <v>2284570039.5025425</v>
      </c>
      <c r="P18" s="3">
        <v>2166892405.9690413</v>
      </c>
      <c r="Q18" s="3">
        <v>0</v>
      </c>
      <c r="R18" s="3">
        <v>22893602.447761938</v>
      </c>
      <c r="S18" s="3">
        <v>97127183.6290631</v>
      </c>
      <c r="T18" s="3">
        <v>1502087505.7744536</v>
      </c>
      <c r="U18" s="3">
        <v>7426448.8880384136</v>
      </c>
      <c r="V18" s="62">
        <v>3796427146.7083588</v>
      </c>
      <c r="W18" s="63">
        <v>7760391154.1434832</v>
      </c>
      <c r="X18" s="84">
        <v>305900</v>
      </c>
      <c r="Y18">
        <f t="shared" si="0"/>
        <v>25369.04594358772</v>
      </c>
    </row>
    <row r="19" spans="1:25" x14ac:dyDescent="0.3">
      <c r="A19" s="1"/>
      <c r="B19" s="60" t="s">
        <v>30</v>
      </c>
      <c r="C19" s="61">
        <v>356626295.27099818</v>
      </c>
      <c r="D19" s="3">
        <v>1024291614.226824</v>
      </c>
      <c r="E19" s="3">
        <v>1488550.4299560797</v>
      </c>
      <c r="F19" s="3">
        <v>7097439.1439869264</v>
      </c>
      <c r="G19" s="3">
        <v>3490890.6975498809</v>
      </c>
      <c r="H19" s="62">
        <v>1392994789.7693152</v>
      </c>
      <c r="I19" s="4">
        <v>807881335.07099986</v>
      </c>
      <c r="J19" s="3">
        <v>766525256.70750046</v>
      </c>
      <c r="K19" s="3">
        <v>513495026.02826464</v>
      </c>
      <c r="L19" s="3">
        <v>6687252.3100232892</v>
      </c>
      <c r="M19" s="3">
        <v>112934303.15944009</v>
      </c>
      <c r="N19" s="3">
        <v>9368858.4786019139</v>
      </c>
      <c r="O19" s="62">
        <v>1409010696.6838303</v>
      </c>
      <c r="P19" s="3">
        <v>345216360.46929568</v>
      </c>
      <c r="Q19" s="3">
        <v>0</v>
      </c>
      <c r="R19" s="3">
        <v>2165845.7764283069</v>
      </c>
      <c r="S19" s="3">
        <v>35257168.789380327</v>
      </c>
      <c r="T19" s="3">
        <v>1090123055.5415921</v>
      </c>
      <c r="U19" s="3">
        <v>6098909.5741190407</v>
      </c>
      <c r="V19" s="62">
        <v>1478861340.1508155</v>
      </c>
      <c r="W19" s="63">
        <v>4280866826.603961</v>
      </c>
      <c r="X19" s="84">
        <v>288200</v>
      </c>
      <c r="Y19">
        <f t="shared" si="0"/>
        <v>14853.805782803473</v>
      </c>
    </row>
    <row r="20" spans="1:25" x14ac:dyDescent="0.3">
      <c r="A20" s="1"/>
      <c r="B20" s="60" t="s">
        <v>31</v>
      </c>
      <c r="C20" s="61">
        <v>282269420.43400156</v>
      </c>
      <c r="D20" s="3">
        <v>768330224.15083039</v>
      </c>
      <c r="E20" s="3">
        <v>412387.46487220097</v>
      </c>
      <c r="F20" s="3">
        <v>3216929.9128943868</v>
      </c>
      <c r="G20" s="3">
        <v>967135.09218562092</v>
      </c>
      <c r="H20" s="62">
        <v>1055196097.0547842</v>
      </c>
      <c r="I20" s="4">
        <v>682788534.08500004</v>
      </c>
      <c r="J20" s="3">
        <v>606473210.46543241</v>
      </c>
      <c r="K20" s="3">
        <v>630218790.49473941</v>
      </c>
      <c r="L20" s="3">
        <v>3619682.4160686648</v>
      </c>
      <c r="M20" s="3">
        <v>112648113.90922083</v>
      </c>
      <c r="N20" s="3">
        <v>10886122.75430778</v>
      </c>
      <c r="O20" s="62">
        <v>1363845920.0397689</v>
      </c>
      <c r="P20" s="3">
        <v>0</v>
      </c>
      <c r="Q20" s="3">
        <v>0</v>
      </c>
      <c r="R20" s="3">
        <v>9005557.3591490798</v>
      </c>
      <c r="S20" s="3">
        <v>72332251.84847945</v>
      </c>
      <c r="T20" s="3">
        <v>320630429.387568</v>
      </c>
      <c r="U20" s="3">
        <v>3983071.7710880963</v>
      </c>
      <c r="V20" s="62">
        <v>405951310.36628467</v>
      </c>
      <c r="W20" s="63">
        <v>2824993327.4608378</v>
      </c>
      <c r="X20" s="84">
        <v>216600</v>
      </c>
      <c r="Y20">
        <f t="shared" si="0"/>
        <v>13042.443801758254</v>
      </c>
    </row>
    <row r="21" spans="1:25" x14ac:dyDescent="0.3">
      <c r="A21" s="1"/>
      <c r="B21" s="60" t="s">
        <v>32</v>
      </c>
      <c r="C21" s="61">
        <v>322155431.91700071</v>
      </c>
      <c r="D21" s="3">
        <v>777767717.62292325</v>
      </c>
      <c r="E21" s="3">
        <v>373891.23330712615</v>
      </c>
      <c r="F21" s="3">
        <v>8187974.0689572264</v>
      </c>
      <c r="G21" s="3">
        <v>876855.38475165376</v>
      </c>
      <c r="H21" s="62">
        <v>1109361870.2269399</v>
      </c>
      <c r="I21" s="4">
        <v>884360286.32895136</v>
      </c>
      <c r="J21" s="3">
        <v>836653729.12482512</v>
      </c>
      <c r="K21" s="3">
        <v>835904259.79109538</v>
      </c>
      <c r="L21" s="3">
        <v>1231215.5235491095</v>
      </c>
      <c r="M21" s="3">
        <v>69266814.1484548</v>
      </c>
      <c r="N21" s="3">
        <v>2543031.4142889385</v>
      </c>
      <c r="O21" s="62">
        <v>1745599050.0022135</v>
      </c>
      <c r="P21" s="3">
        <v>0</v>
      </c>
      <c r="Q21" s="3">
        <v>16733.43467172774</v>
      </c>
      <c r="R21" s="3">
        <v>1142661.3342759807</v>
      </c>
      <c r="S21" s="3">
        <v>42747245.14564871</v>
      </c>
      <c r="T21" s="3">
        <v>407848535.55199045</v>
      </c>
      <c r="U21" s="3">
        <v>4959312.0584775014</v>
      </c>
      <c r="V21" s="62">
        <v>456714487.52506441</v>
      </c>
      <c r="W21" s="63">
        <v>3311675407.7542181</v>
      </c>
      <c r="X21" s="84">
        <v>143400</v>
      </c>
      <c r="Y21">
        <f t="shared" si="0"/>
        <v>23093.970765371116</v>
      </c>
    </row>
    <row r="22" spans="1:25" x14ac:dyDescent="0.3">
      <c r="A22" s="1"/>
      <c r="B22" s="60" t="s">
        <v>76</v>
      </c>
      <c r="C22" s="61">
        <v>236081580.90500149</v>
      </c>
      <c r="D22" s="3">
        <v>756758452.06544328</v>
      </c>
      <c r="E22" s="3">
        <v>1195984.4674302537</v>
      </c>
      <c r="F22" s="3">
        <v>3381456.3510386716</v>
      </c>
      <c r="G22" s="3">
        <v>2496915.5997857228</v>
      </c>
      <c r="H22" s="62">
        <v>999914389.38869941</v>
      </c>
      <c r="I22" s="4">
        <v>286606108.57180488</v>
      </c>
      <c r="J22" s="3">
        <v>262581209.64813817</v>
      </c>
      <c r="K22" s="3">
        <v>222378103.12737739</v>
      </c>
      <c r="L22" s="3">
        <v>1318770.8791970692</v>
      </c>
      <c r="M22" s="3">
        <v>69542893.307593316</v>
      </c>
      <c r="N22" s="3">
        <v>4521013.2550968686</v>
      </c>
      <c r="O22" s="62">
        <v>560341990.21740282</v>
      </c>
      <c r="P22" s="3">
        <v>0</v>
      </c>
      <c r="Q22" s="3">
        <v>0</v>
      </c>
      <c r="R22" s="3">
        <v>2078306.0273742354</v>
      </c>
      <c r="S22" s="3">
        <v>21455253.928593408</v>
      </c>
      <c r="T22" s="3">
        <v>524901281.7983833</v>
      </c>
      <c r="U22" s="3">
        <v>2569644.9950733278</v>
      </c>
      <c r="V22" s="62">
        <v>551004486.74942422</v>
      </c>
      <c r="W22" s="63">
        <v>2111260866.3555264</v>
      </c>
      <c r="X22" s="84">
        <v>168000</v>
      </c>
      <c r="Y22">
        <f t="shared" si="0"/>
        <v>12567.028966401944</v>
      </c>
    </row>
    <row r="23" spans="1:25" x14ac:dyDescent="0.3">
      <c r="A23" s="1"/>
      <c r="B23" s="60" t="s">
        <v>33</v>
      </c>
      <c r="C23" s="61">
        <v>396324384.65700144</v>
      </c>
      <c r="D23" s="3">
        <v>1171179945.1917551</v>
      </c>
      <c r="E23" s="3">
        <v>1138397.6954412262</v>
      </c>
      <c r="F23" s="3">
        <v>6135935.6208704878</v>
      </c>
      <c r="G23" s="3">
        <v>2669757.1649830039</v>
      </c>
      <c r="H23" s="62">
        <v>1577448420.3300514</v>
      </c>
      <c r="I23" s="4">
        <v>563662809.49009705</v>
      </c>
      <c r="J23" s="3">
        <v>458297095.258169</v>
      </c>
      <c r="K23" s="3">
        <v>786693500.59469986</v>
      </c>
      <c r="L23" s="3">
        <v>3276289.5445425427</v>
      </c>
      <c r="M23" s="3">
        <v>122979553.29373965</v>
      </c>
      <c r="N23" s="3">
        <v>11375793.758452624</v>
      </c>
      <c r="O23" s="62">
        <v>1382622232.4496036</v>
      </c>
      <c r="P23" s="3">
        <v>0</v>
      </c>
      <c r="Q23" s="3">
        <v>28364.559460938341</v>
      </c>
      <c r="R23" s="3">
        <v>4907119.2789208069</v>
      </c>
      <c r="S23" s="3">
        <v>99756986.208915919</v>
      </c>
      <c r="T23" s="3">
        <v>553368810.75342441</v>
      </c>
      <c r="U23" s="3">
        <v>5608728.0230120802</v>
      </c>
      <c r="V23" s="62">
        <v>663670008.82373416</v>
      </c>
      <c r="W23" s="63">
        <v>3623740661.6033893</v>
      </c>
      <c r="X23" s="84">
        <v>317600</v>
      </c>
      <c r="Y23">
        <f t="shared" si="0"/>
        <v>11409.76278842377</v>
      </c>
    </row>
    <row r="24" spans="1:25" x14ac:dyDescent="0.3">
      <c r="A24" s="1"/>
      <c r="B24" s="60" t="s">
        <v>34</v>
      </c>
      <c r="C24" s="61">
        <v>372631421.92299891</v>
      </c>
      <c r="D24" s="3">
        <v>1131412800.3075571</v>
      </c>
      <c r="E24" s="3">
        <v>1562081.8015664483</v>
      </c>
      <c r="F24" s="3">
        <v>4115974.2787042633</v>
      </c>
      <c r="G24" s="3">
        <v>3663361.7892338498</v>
      </c>
      <c r="H24" s="62">
        <v>1513385640.1000605</v>
      </c>
      <c r="I24" s="4">
        <v>265690393.55200022</v>
      </c>
      <c r="J24" s="3">
        <v>165755017.52546307</v>
      </c>
      <c r="K24" s="3">
        <v>359415991.2391783</v>
      </c>
      <c r="L24" s="3">
        <v>2163152.9994739406</v>
      </c>
      <c r="M24" s="3">
        <v>53957595.73544962</v>
      </c>
      <c r="N24" s="3">
        <v>7602165.1976362029</v>
      </c>
      <c r="O24" s="62">
        <v>588893922.69720125</v>
      </c>
      <c r="P24" s="3">
        <v>0</v>
      </c>
      <c r="Q24" s="3">
        <v>943498.79309407005</v>
      </c>
      <c r="R24" s="3">
        <v>8357559.8039584467</v>
      </c>
      <c r="S24" s="3">
        <v>95851881.017659336</v>
      </c>
      <c r="T24" s="3">
        <v>507433722.2421124</v>
      </c>
      <c r="U24" s="3">
        <v>4083495.008877818</v>
      </c>
      <c r="V24" s="62">
        <v>616670156.86570215</v>
      </c>
      <c r="W24" s="63">
        <v>2718949719.6629639</v>
      </c>
      <c r="X24" s="84">
        <v>300600</v>
      </c>
      <c r="Y24">
        <f t="shared" si="0"/>
        <v>9045.075581047784</v>
      </c>
    </row>
    <row r="25" spans="1:25" x14ac:dyDescent="0.3">
      <c r="A25" s="1"/>
      <c r="B25" s="60" t="s">
        <v>35</v>
      </c>
      <c r="C25" s="61">
        <v>283808207.02800161</v>
      </c>
      <c r="D25" s="3">
        <v>922865284.13085508</v>
      </c>
      <c r="E25" s="3">
        <v>1633419.4660719975</v>
      </c>
      <c r="F25" s="3">
        <v>4428105.3766236613</v>
      </c>
      <c r="G25" s="3">
        <v>3830663.1412514267</v>
      </c>
      <c r="H25" s="62">
        <v>1216565679.1428037</v>
      </c>
      <c r="I25" s="4">
        <v>424577289.17900002</v>
      </c>
      <c r="J25" s="3">
        <v>373013556.3329618</v>
      </c>
      <c r="K25" s="3">
        <v>280858079.07738173</v>
      </c>
      <c r="L25" s="3">
        <v>1521145.4592871673</v>
      </c>
      <c r="M25" s="3">
        <v>82746654.365829691</v>
      </c>
      <c r="N25" s="3">
        <v>11285547.254525483</v>
      </c>
      <c r="O25" s="62">
        <v>749424982.48998594</v>
      </c>
      <c r="P25" s="3">
        <v>0</v>
      </c>
      <c r="Q25" s="3">
        <v>0</v>
      </c>
      <c r="R25" s="3">
        <v>2757663.8902818994</v>
      </c>
      <c r="S25" s="3">
        <v>49089495.356202602</v>
      </c>
      <c r="T25" s="3">
        <v>509443792.00653708</v>
      </c>
      <c r="U25" s="3">
        <v>2474237.4898356162</v>
      </c>
      <c r="V25" s="62">
        <v>563765188.74285722</v>
      </c>
      <c r="W25" s="63">
        <v>2529755850.3756466</v>
      </c>
      <c r="X25" s="84">
        <v>215200</v>
      </c>
      <c r="Y25">
        <f t="shared" si="0"/>
        <v>11755.371051931443</v>
      </c>
    </row>
    <row r="26" spans="1:25" x14ac:dyDescent="0.3">
      <c r="A26" s="1"/>
      <c r="B26" s="60" t="s">
        <v>36</v>
      </c>
      <c r="C26" s="61">
        <v>362105769.76006061</v>
      </c>
      <c r="D26" s="3">
        <v>951188840.79747605</v>
      </c>
      <c r="E26" s="3">
        <v>1772823.7343723085</v>
      </c>
      <c r="F26" s="3">
        <v>1890293.0649945517</v>
      </c>
      <c r="G26" s="3">
        <v>4131973.9306661813</v>
      </c>
      <c r="H26" s="62">
        <v>1321089701.2875698</v>
      </c>
      <c r="I26" s="4">
        <v>944871714.62599981</v>
      </c>
      <c r="J26" s="3">
        <v>819750090.12673557</v>
      </c>
      <c r="K26" s="3">
        <v>1085456198.4752491</v>
      </c>
      <c r="L26" s="3">
        <v>5180246.8653582996</v>
      </c>
      <c r="M26" s="3">
        <v>150777400.16180378</v>
      </c>
      <c r="N26" s="3">
        <v>173321343.86128014</v>
      </c>
      <c r="O26" s="62">
        <v>2234485279.4904265</v>
      </c>
      <c r="P26" s="3">
        <v>53580345.962054975</v>
      </c>
      <c r="Q26" s="3">
        <v>4625842.1860514702</v>
      </c>
      <c r="R26" s="3">
        <v>8407384.6708986051</v>
      </c>
      <c r="S26" s="3">
        <v>119277206.4540768</v>
      </c>
      <c r="T26" s="3">
        <v>660540066.0127635</v>
      </c>
      <c r="U26" s="3">
        <v>5844418.0451874835</v>
      </c>
      <c r="V26" s="62">
        <v>852275263.33103275</v>
      </c>
      <c r="W26" s="63">
        <v>4407850244.1090288</v>
      </c>
      <c r="X26" s="84">
        <v>351100</v>
      </c>
      <c r="Y26">
        <f t="shared" si="0"/>
        <v>12554.40115097986</v>
      </c>
    </row>
    <row r="27" spans="1:25" x14ac:dyDescent="0.3">
      <c r="A27" s="1"/>
      <c r="B27" s="60" t="s">
        <v>37</v>
      </c>
      <c r="C27" s="61">
        <v>358643183.37578195</v>
      </c>
      <c r="D27" s="3">
        <v>1255490886.8871031</v>
      </c>
      <c r="E27" s="3">
        <v>1840632.7504040683</v>
      </c>
      <c r="F27" s="3">
        <v>4780409.4480928695</v>
      </c>
      <c r="G27" s="3">
        <v>4029748.631447616</v>
      </c>
      <c r="H27" s="62">
        <v>1624784861.0928297</v>
      </c>
      <c r="I27" s="4">
        <v>230642322.729</v>
      </c>
      <c r="J27" s="3">
        <v>176968322.15934753</v>
      </c>
      <c r="K27" s="3">
        <v>230994104.6201179</v>
      </c>
      <c r="L27" s="3">
        <v>4922538.5593012543</v>
      </c>
      <c r="M27" s="3">
        <v>94619314.248644993</v>
      </c>
      <c r="N27" s="3">
        <v>24847763.945916437</v>
      </c>
      <c r="O27" s="62">
        <v>532352043.53332812</v>
      </c>
      <c r="P27" s="3">
        <v>1240583.7861116957</v>
      </c>
      <c r="Q27" s="3">
        <v>0</v>
      </c>
      <c r="R27" s="3">
        <v>2587613.5980585488</v>
      </c>
      <c r="S27" s="3">
        <v>48944976.920460075</v>
      </c>
      <c r="T27" s="3">
        <v>901100977.61587214</v>
      </c>
      <c r="U27" s="3">
        <v>4729023.6491923863</v>
      </c>
      <c r="V27" s="62">
        <v>958603175.56969476</v>
      </c>
      <c r="W27" s="63">
        <v>3115740080.1958523</v>
      </c>
      <c r="X27" s="84">
        <v>310300</v>
      </c>
      <c r="Y27">
        <f t="shared" si="0"/>
        <v>10041.05730001886</v>
      </c>
    </row>
    <row r="28" spans="1:25" x14ac:dyDescent="0.3">
      <c r="A28" s="1"/>
      <c r="B28" s="60" t="s">
        <v>93</v>
      </c>
      <c r="C28" s="61">
        <v>298603075.05800289</v>
      </c>
      <c r="D28" s="3">
        <v>1012645277.095088</v>
      </c>
      <c r="E28" s="3">
        <v>1154237.545966452</v>
      </c>
      <c r="F28" s="3">
        <v>6466433.2029158175</v>
      </c>
      <c r="G28" s="3">
        <v>2706856.9314414645</v>
      </c>
      <c r="H28" s="62">
        <v>1321575879.8334148</v>
      </c>
      <c r="I28" s="4">
        <v>282282251.02199978</v>
      </c>
      <c r="J28" s="3">
        <v>256034715.61132729</v>
      </c>
      <c r="K28" s="3">
        <v>265955124.01632032</v>
      </c>
      <c r="L28" s="3">
        <v>3881772.2330687661</v>
      </c>
      <c r="M28" s="3">
        <v>64935184.444507152</v>
      </c>
      <c r="N28" s="3">
        <v>20149020.63543395</v>
      </c>
      <c r="O28" s="62">
        <v>610955816.9406575</v>
      </c>
      <c r="P28" s="3">
        <v>123400729.1377911</v>
      </c>
      <c r="Q28" s="3">
        <v>0</v>
      </c>
      <c r="R28" s="3">
        <v>1483974.2902345737</v>
      </c>
      <c r="S28" s="3">
        <v>23312673.496960182</v>
      </c>
      <c r="T28" s="3">
        <v>515624845.7306267</v>
      </c>
      <c r="U28" s="3">
        <v>2934861.9137122794</v>
      </c>
      <c r="V28" s="62">
        <v>666757084.56932485</v>
      </c>
      <c r="W28" s="63">
        <v>2599288781.3433971</v>
      </c>
      <c r="X28" s="84">
        <v>195200</v>
      </c>
      <c r="Y28">
        <f t="shared" si="0"/>
        <v>13316.02859294773</v>
      </c>
    </row>
    <row r="29" spans="1:25" x14ac:dyDescent="0.3">
      <c r="A29" s="1"/>
      <c r="B29" s="60" t="s">
        <v>38</v>
      </c>
      <c r="C29" s="61">
        <v>408623707.56390417</v>
      </c>
      <c r="D29" s="3">
        <v>892745476.48897123</v>
      </c>
      <c r="E29" s="3">
        <v>814120.14086781302</v>
      </c>
      <c r="F29" s="3">
        <v>8434333.7258950211</v>
      </c>
      <c r="G29" s="3">
        <v>1909260.3803984404</v>
      </c>
      <c r="H29" s="62">
        <v>1312526898.3000367</v>
      </c>
      <c r="I29" s="4">
        <v>845295060.92900002</v>
      </c>
      <c r="J29" s="3">
        <v>740290238.13148797</v>
      </c>
      <c r="K29" s="3">
        <v>914677393.89673853</v>
      </c>
      <c r="L29" s="3">
        <v>4373760.1985482061</v>
      </c>
      <c r="M29" s="3">
        <v>135223430.47054762</v>
      </c>
      <c r="N29" s="3">
        <v>16769826.54196633</v>
      </c>
      <c r="O29" s="62">
        <v>1811334649.2392888</v>
      </c>
      <c r="P29" s="3">
        <v>4485436.0165007561</v>
      </c>
      <c r="Q29" s="3">
        <v>6934314.9873309182</v>
      </c>
      <c r="R29" s="3">
        <v>3860897.1094513535</v>
      </c>
      <c r="S29" s="3">
        <v>99079833.474631235</v>
      </c>
      <c r="T29" s="3">
        <v>514025653.69311762</v>
      </c>
      <c r="U29" s="3">
        <v>5924989.3228808343</v>
      </c>
      <c r="V29" s="62">
        <v>634311124.60391271</v>
      </c>
      <c r="W29" s="63">
        <v>3758172672.1432385</v>
      </c>
      <c r="X29" s="84">
        <v>307700</v>
      </c>
      <c r="Y29">
        <f t="shared" si="0"/>
        <v>12213.755840569511</v>
      </c>
    </row>
    <row r="30" spans="1:25" x14ac:dyDescent="0.3">
      <c r="A30" s="1"/>
      <c r="B30" s="60" t="s">
        <v>39</v>
      </c>
      <c r="C30" s="61">
        <v>287107895.20599872</v>
      </c>
      <c r="D30" s="3">
        <v>879567884.72981</v>
      </c>
      <c r="E30" s="3">
        <v>1261804.6502500898</v>
      </c>
      <c r="F30" s="3">
        <v>5134838.2971727299</v>
      </c>
      <c r="G30" s="3">
        <v>2959123.7303873478</v>
      </c>
      <c r="H30" s="62">
        <v>1176031546.6136191</v>
      </c>
      <c r="I30" s="4">
        <v>334698242.03300023</v>
      </c>
      <c r="J30" s="3">
        <v>316603821.77891397</v>
      </c>
      <c r="K30" s="3">
        <v>268150668.64483494</v>
      </c>
      <c r="L30" s="3">
        <v>7589359.482920818</v>
      </c>
      <c r="M30" s="3">
        <v>67565966.756804377</v>
      </c>
      <c r="N30" s="3">
        <v>39657542.87580508</v>
      </c>
      <c r="O30" s="62">
        <v>699567359.53927922</v>
      </c>
      <c r="P30" s="3">
        <v>248302.83362998589</v>
      </c>
      <c r="Q30" s="3">
        <v>0</v>
      </c>
      <c r="R30" s="3">
        <v>519800.62165899691</v>
      </c>
      <c r="S30" s="3">
        <v>15963976.078525418</v>
      </c>
      <c r="T30" s="3">
        <v>403861049.72470737</v>
      </c>
      <c r="U30" s="3">
        <v>2130444.1755608441</v>
      </c>
      <c r="V30" s="62">
        <v>422723573.43408263</v>
      </c>
      <c r="W30" s="63">
        <v>2298322479.5869808</v>
      </c>
      <c r="X30" s="84">
        <v>209600</v>
      </c>
      <c r="Y30">
        <f t="shared" si="0"/>
        <v>10965.279005663077</v>
      </c>
    </row>
    <row r="31" spans="1:25" x14ac:dyDescent="0.3">
      <c r="A31" s="1"/>
      <c r="B31" s="60" t="s">
        <v>40</v>
      </c>
      <c r="C31" s="61">
        <v>411085680.91599929</v>
      </c>
      <c r="D31" s="3">
        <v>611275899.53408742</v>
      </c>
      <c r="E31" s="3">
        <v>377227.11105715012</v>
      </c>
      <c r="F31" s="3">
        <v>4600398.4960985361</v>
      </c>
      <c r="G31" s="3">
        <v>884671.06186236767</v>
      </c>
      <c r="H31" s="62">
        <v>1028223877.1191047</v>
      </c>
      <c r="I31" s="4">
        <v>2005794695.043</v>
      </c>
      <c r="J31" s="3">
        <v>1895084656.9678471</v>
      </c>
      <c r="K31" s="3">
        <v>816884574.86662769</v>
      </c>
      <c r="L31" s="3">
        <v>3670918.3973495825</v>
      </c>
      <c r="M31" s="3">
        <v>122451904.57552056</v>
      </c>
      <c r="N31" s="3">
        <v>11943788.018102543</v>
      </c>
      <c r="O31" s="62">
        <v>2850035842.8254471</v>
      </c>
      <c r="P31" s="3">
        <v>32577804.649812769</v>
      </c>
      <c r="Q31" s="3">
        <v>14517826.561479026</v>
      </c>
      <c r="R31" s="3">
        <v>271520.64029677643</v>
      </c>
      <c r="S31" s="3">
        <v>104653613.27708173</v>
      </c>
      <c r="T31" s="3">
        <v>574279807.8241303</v>
      </c>
      <c r="U31" s="3">
        <v>6056424.7980710445</v>
      </c>
      <c r="V31" s="62">
        <v>732356997.75087166</v>
      </c>
      <c r="W31" s="63">
        <v>4610616717.6954231</v>
      </c>
      <c r="X31" s="84">
        <v>310300</v>
      </c>
      <c r="Y31">
        <f t="shared" si="0"/>
        <v>14858.577884935299</v>
      </c>
    </row>
    <row r="32" spans="1:25" x14ac:dyDescent="0.3">
      <c r="A32" s="1"/>
      <c r="B32" s="60" t="s">
        <v>41</v>
      </c>
      <c r="C32" s="61">
        <v>310906976.18199968</v>
      </c>
      <c r="D32" s="3">
        <v>1015197636.7237201</v>
      </c>
      <c r="E32" s="3">
        <v>1890358.8613566048</v>
      </c>
      <c r="F32" s="3">
        <v>2973169.2999587832</v>
      </c>
      <c r="G32" s="3">
        <v>3955212.3612669311</v>
      </c>
      <c r="H32" s="62">
        <v>1334923353.4283018</v>
      </c>
      <c r="I32" s="4">
        <v>298583118.24100018</v>
      </c>
      <c r="J32" s="3">
        <v>268866243.06631172</v>
      </c>
      <c r="K32" s="3">
        <v>293480068.78223741</v>
      </c>
      <c r="L32" s="3">
        <v>3551881.7731967331</v>
      </c>
      <c r="M32" s="3">
        <v>82112570.211898267</v>
      </c>
      <c r="N32" s="3">
        <v>15789162.759510718</v>
      </c>
      <c r="O32" s="62">
        <v>663799926.59315491</v>
      </c>
      <c r="P32" s="3">
        <v>984890.7040774551</v>
      </c>
      <c r="Q32" s="3">
        <v>0</v>
      </c>
      <c r="R32" s="3">
        <v>4675356.350112658</v>
      </c>
      <c r="S32" s="3">
        <v>25120975.459822986</v>
      </c>
      <c r="T32" s="3">
        <v>593508166.53132403</v>
      </c>
      <c r="U32" s="3">
        <v>4595899.7148654331</v>
      </c>
      <c r="V32" s="62">
        <v>628885288.76020253</v>
      </c>
      <c r="W32" s="63">
        <v>2627608568.7816591</v>
      </c>
      <c r="X32" s="84">
        <v>278400</v>
      </c>
      <c r="Y32">
        <f t="shared" si="0"/>
        <v>9438.2491694743512</v>
      </c>
    </row>
    <row r="33" spans="1:25" x14ac:dyDescent="0.3">
      <c r="A33" s="1"/>
      <c r="B33" s="60" t="s">
        <v>42</v>
      </c>
      <c r="C33" s="61">
        <v>460720825.7390002</v>
      </c>
      <c r="D33" s="3">
        <v>1298706538.429059</v>
      </c>
      <c r="E33" s="3">
        <v>1252875.3468141495</v>
      </c>
      <c r="F33" s="3">
        <v>5678414.5488376301</v>
      </c>
      <c r="G33" s="3">
        <v>2938231.9908063193</v>
      </c>
      <c r="H33" s="62">
        <v>1769296886.0545175</v>
      </c>
      <c r="I33" s="4">
        <v>468300296.46100008</v>
      </c>
      <c r="J33" s="3">
        <v>359695828.11226255</v>
      </c>
      <c r="K33" s="3">
        <v>631127250.51125729</v>
      </c>
      <c r="L33" s="3">
        <v>2496239.1791697782</v>
      </c>
      <c r="M33" s="3">
        <v>86938921.65086183</v>
      </c>
      <c r="N33" s="3">
        <v>10184822.003407383</v>
      </c>
      <c r="O33" s="62">
        <v>1090443061.456959</v>
      </c>
      <c r="P33" s="3">
        <v>15413380.281329827</v>
      </c>
      <c r="Q33" s="3">
        <v>6108.1666355438383</v>
      </c>
      <c r="R33" s="3">
        <v>8329528.6262428705</v>
      </c>
      <c r="S33" s="3">
        <v>104529961.03530674</v>
      </c>
      <c r="T33" s="3">
        <v>585263249.07213688</v>
      </c>
      <c r="U33" s="3">
        <v>4074507.3134308122</v>
      </c>
      <c r="V33" s="62">
        <v>717616734.49508262</v>
      </c>
      <c r="W33" s="63">
        <v>3577356682.0065594</v>
      </c>
      <c r="X33" s="84">
        <v>327500</v>
      </c>
      <c r="Y33">
        <f t="shared" si="0"/>
        <v>10923.226509943694</v>
      </c>
    </row>
    <row r="34" spans="1:25" x14ac:dyDescent="0.3">
      <c r="A34" s="1"/>
      <c r="B34" s="60" t="s">
        <v>43</v>
      </c>
      <c r="C34" s="61">
        <v>451029229.16500479</v>
      </c>
      <c r="D34" s="3">
        <v>853525697.69129741</v>
      </c>
      <c r="E34" s="3">
        <v>284487.31384138111</v>
      </c>
      <c r="F34" s="3">
        <v>11957175.684177822</v>
      </c>
      <c r="G34" s="3">
        <v>667180.63221232209</v>
      </c>
      <c r="H34" s="62">
        <v>1317463770.4865339</v>
      </c>
      <c r="I34" s="4">
        <v>2723638170.565197</v>
      </c>
      <c r="J34" s="3">
        <v>2570127460.5768781</v>
      </c>
      <c r="K34" s="3">
        <v>2322711949.1362066</v>
      </c>
      <c r="L34" s="3">
        <v>9148807.282944629</v>
      </c>
      <c r="M34" s="3">
        <v>460780977.23461926</v>
      </c>
      <c r="N34" s="3">
        <v>12747730.570262136</v>
      </c>
      <c r="O34" s="62">
        <v>5375516924.8009109</v>
      </c>
      <c r="P34" s="3">
        <v>0</v>
      </c>
      <c r="Q34" s="3">
        <v>5865882.0776586831</v>
      </c>
      <c r="R34" s="3">
        <v>5265830.9282336216</v>
      </c>
      <c r="S34" s="3">
        <v>140602389.73328122</v>
      </c>
      <c r="T34" s="3">
        <v>730558041.15370393</v>
      </c>
      <c r="U34" s="3">
        <v>12908320.255037919</v>
      </c>
      <c r="V34" s="62">
        <v>895200464.14791536</v>
      </c>
      <c r="W34" s="63">
        <v>7588181159.43536</v>
      </c>
      <c r="X34" s="84">
        <v>204300</v>
      </c>
      <c r="Y34">
        <f t="shared" si="0"/>
        <v>37142.345371685558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2EC4-FB90-4AD6-8239-D5DC7E1BFDA2}">
  <dimension ref="A1:AG34"/>
  <sheetViews>
    <sheetView topLeftCell="M1" workbookViewId="0">
      <selection activeCell="AG2" sqref="AG2"/>
    </sheetView>
  </sheetViews>
  <sheetFormatPr defaultRowHeight="14.4" x14ac:dyDescent="0.3"/>
  <cols>
    <col min="2" max="2" width="30.109375" customWidth="1"/>
    <col min="3" max="3" width="8.88671875" customWidth="1"/>
    <col min="31" max="31" width="10.77734375" customWidth="1"/>
    <col min="32" max="32" width="15.33203125" customWidth="1"/>
    <col min="33" max="33" width="16.33203125" customWidth="1"/>
  </cols>
  <sheetData>
    <row r="1" spans="1:33" ht="55.2" x14ac:dyDescent="0.3">
      <c r="A1" s="2"/>
      <c r="B1" s="90" t="s">
        <v>92</v>
      </c>
      <c r="C1" s="58" t="s">
        <v>0</v>
      </c>
      <c r="D1" s="58" t="s">
        <v>1</v>
      </c>
      <c r="E1" s="58" t="s">
        <v>2</v>
      </c>
      <c r="F1" s="58" t="s">
        <v>3</v>
      </c>
      <c r="G1" s="58" t="s">
        <v>4</v>
      </c>
      <c r="H1" s="58" t="s">
        <v>5</v>
      </c>
      <c r="I1" s="57" t="s">
        <v>0</v>
      </c>
      <c r="J1" s="57" t="s">
        <v>44</v>
      </c>
      <c r="K1" s="57" t="s">
        <v>1</v>
      </c>
      <c r="L1" s="57" t="s">
        <v>2</v>
      </c>
      <c r="M1" s="57" t="s">
        <v>3</v>
      </c>
      <c r="N1" s="59" t="s">
        <v>4</v>
      </c>
      <c r="O1" s="57" t="s">
        <v>5</v>
      </c>
      <c r="P1" s="57" t="s">
        <v>7</v>
      </c>
      <c r="Q1" s="57" t="s">
        <v>8</v>
      </c>
      <c r="R1" s="57" t="s">
        <v>45</v>
      </c>
      <c r="S1" s="57" t="s">
        <v>46</v>
      </c>
      <c r="T1" s="57" t="s">
        <v>47</v>
      </c>
      <c r="U1" s="57" t="s">
        <v>48</v>
      </c>
      <c r="V1" s="57" t="s">
        <v>5</v>
      </c>
      <c r="W1" s="64" t="s">
        <v>49</v>
      </c>
      <c r="X1" s="57" t="s">
        <v>50</v>
      </c>
      <c r="Y1" s="57" t="s">
        <v>51</v>
      </c>
      <c r="Z1" s="57" t="s">
        <v>5</v>
      </c>
      <c r="AA1" s="92"/>
      <c r="AB1" s="92"/>
      <c r="AC1" s="92"/>
      <c r="AD1" s="92"/>
      <c r="AE1" s="91"/>
      <c r="AF1" s="94" t="s">
        <v>90</v>
      </c>
      <c r="AG1" s="94" t="s">
        <v>94</v>
      </c>
    </row>
    <row r="2" spans="1:33" x14ac:dyDescent="0.3">
      <c r="A2" s="18"/>
      <c r="B2" s="60" t="s">
        <v>13</v>
      </c>
      <c r="C2" s="19">
        <v>52.845587828588883</v>
      </c>
      <c r="D2" s="3">
        <v>121.36708359445643</v>
      </c>
      <c r="E2" s="3">
        <v>0.70024569895159638</v>
      </c>
      <c r="F2" s="3">
        <v>0.66131309062192656</v>
      </c>
      <c r="G2" s="3">
        <v>0.56695433613745283</v>
      </c>
      <c r="H2" s="65">
        <v>176.14118454875629</v>
      </c>
      <c r="I2" s="3">
        <v>71.476999934702548</v>
      </c>
      <c r="J2" s="3">
        <v>59.874296851002477</v>
      </c>
      <c r="K2" s="3">
        <v>41.192858805275719</v>
      </c>
      <c r="L2" s="3">
        <v>0.94108190216443699</v>
      </c>
      <c r="M2" s="20">
        <v>41.146705173570453</v>
      </c>
      <c r="N2" s="20">
        <v>2.0669352553039593</v>
      </c>
      <c r="O2" s="65">
        <v>145.22187798731704</v>
      </c>
      <c r="P2" s="20">
        <v>0</v>
      </c>
      <c r="Q2" s="20">
        <v>2.4758203970684582</v>
      </c>
      <c r="R2" s="20">
        <v>2.6379716502360866</v>
      </c>
      <c r="S2" s="20">
        <v>11.070308303355436</v>
      </c>
      <c r="T2" s="20">
        <v>124.97861340190398</v>
      </c>
      <c r="U2" s="21">
        <v>0.53239478034463961</v>
      </c>
      <c r="V2" s="66">
        <v>141.69510853290862</v>
      </c>
      <c r="W2" s="20">
        <v>0.30139094166120006</v>
      </c>
      <c r="X2" s="20">
        <v>2.9838555049660007</v>
      </c>
      <c r="Y2" s="20">
        <v>0</v>
      </c>
      <c r="Z2" s="67">
        <v>3.2852464466272009</v>
      </c>
      <c r="AA2" s="68"/>
      <c r="AB2" s="69"/>
      <c r="AC2" s="69"/>
      <c r="AD2" s="69"/>
      <c r="AE2" s="70">
        <v>466.34341751560919</v>
      </c>
      <c r="AF2" s="84">
        <v>218900</v>
      </c>
      <c r="AG2">
        <f>(AE2*1000)/AF2</f>
        <v>2.1303947807930981</v>
      </c>
    </row>
    <row r="3" spans="1:33" x14ac:dyDescent="0.3">
      <c r="A3" s="18"/>
      <c r="B3" s="60" t="s">
        <v>14</v>
      </c>
      <c r="C3" s="19">
        <v>130.69169994143095</v>
      </c>
      <c r="D3" s="3">
        <v>345.19854784922387</v>
      </c>
      <c r="E3" s="3">
        <v>1.1610460350023268</v>
      </c>
      <c r="F3" s="3">
        <v>2.209549135768039</v>
      </c>
      <c r="G3" s="3">
        <v>0.68513855220243081</v>
      </c>
      <c r="H3" s="65">
        <v>479.9459815136276</v>
      </c>
      <c r="I3" s="3">
        <v>102.56593336565767</v>
      </c>
      <c r="J3" s="3">
        <v>77.561488546553605</v>
      </c>
      <c r="K3" s="3">
        <v>91.521651263301479</v>
      </c>
      <c r="L3" s="3">
        <v>2.0100365643021876</v>
      </c>
      <c r="M3" s="20">
        <v>36.639584104102866</v>
      </c>
      <c r="N3" s="20">
        <v>3.1560636441904002</v>
      </c>
      <c r="O3" s="65">
        <v>210.88882412245056</v>
      </c>
      <c r="P3" s="20">
        <v>0.11619416904860767</v>
      </c>
      <c r="Q3" s="20">
        <v>0</v>
      </c>
      <c r="R3" s="20">
        <v>9.8270171944906846</v>
      </c>
      <c r="S3" s="20">
        <v>23.364796414792604</v>
      </c>
      <c r="T3" s="20">
        <v>346.61154121552738</v>
      </c>
      <c r="U3" s="21">
        <v>1.6396484043114647</v>
      </c>
      <c r="V3" s="66">
        <v>381.55919739817074</v>
      </c>
      <c r="W3" s="20">
        <v>0.54765714267800003</v>
      </c>
      <c r="X3" s="20">
        <v>15.746857973709997</v>
      </c>
      <c r="Y3" s="20">
        <v>0</v>
      </c>
      <c r="Z3" s="66">
        <v>16.294515116387995</v>
      </c>
      <c r="AA3" s="68"/>
      <c r="AB3" s="68"/>
      <c r="AC3" s="68"/>
      <c r="AD3" s="68"/>
      <c r="AE3" s="70">
        <v>1088.688518150637</v>
      </c>
      <c r="AF3" s="84">
        <v>389300</v>
      </c>
      <c r="AG3">
        <f t="shared" ref="AG3:AG34" si="0">(AE3*1000)/AF3</f>
        <v>2.7965284309032543</v>
      </c>
    </row>
    <row r="4" spans="1:33" x14ac:dyDescent="0.3">
      <c r="A4" s="18"/>
      <c r="B4" s="60" t="s">
        <v>15</v>
      </c>
      <c r="C4" s="19">
        <v>73.61512780415724</v>
      </c>
      <c r="D4" s="3">
        <v>187.99481116860582</v>
      </c>
      <c r="E4" s="3">
        <v>0.74260143472040574</v>
      </c>
      <c r="F4" s="3">
        <v>1.5448523498223756</v>
      </c>
      <c r="G4" s="3">
        <v>0.69574660269062938</v>
      </c>
      <c r="H4" s="65">
        <v>264.59313935999648</v>
      </c>
      <c r="I4" s="3">
        <v>89.021044905400956</v>
      </c>
      <c r="J4" s="3">
        <v>79.711967108952066</v>
      </c>
      <c r="K4" s="3">
        <v>125.0413686061946</v>
      </c>
      <c r="L4" s="3">
        <v>1.6778421212354651</v>
      </c>
      <c r="M4" s="20">
        <v>29.159131164600257</v>
      </c>
      <c r="N4" s="20">
        <v>6.3757493981836788</v>
      </c>
      <c r="O4" s="65">
        <v>241.96605839916606</v>
      </c>
      <c r="P4" s="20">
        <v>5.1159157985902297</v>
      </c>
      <c r="Q4" s="20">
        <v>1.2099437663430148</v>
      </c>
      <c r="R4" s="20">
        <v>1.2079342679720382</v>
      </c>
      <c r="S4" s="20">
        <v>8.5041373670228388</v>
      </c>
      <c r="T4" s="20">
        <v>195.14132135422673</v>
      </c>
      <c r="U4" s="21">
        <v>0.80494042942604993</v>
      </c>
      <c r="V4" s="66">
        <v>211.9841929835809</v>
      </c>
      <c r="W4" s="20">
        <v>0.451031388418</v>
      </c>
      <c r="X4" s="20">
        <v>6.9003001799310013</v>
      </c>
      <c r="Y4" s="20">
        <v>0</v>
      </c>
      <c r="Z4" s="66">
        <v>7.3513315683490017</v>
      </c>
      <c r="AA4" s="68"/>
      <c r="AB4" s="68"/>
      <c r="AC4" s="68"/>
      <c r="AD4" s="68"/>
      <c r="AE4" s="70">
        <v>725.89472231109244</v>
      </c>
      <c r="AF4" s="84">
        <v>246500</v>
      </c>
      <c r="AG4">
        <f t="shared" si="0"/>
        <v>2.9448061757042288</v>
      </c>
    </row>
    <row r="5" spans="1:33" x14ac:dyDescent="0.3">
      <c r="A5" s="18"/>
      <c r="B5" s="60" t="s">
        <v>16</v>
      </c>
      <c r="C5" s="19">
        <v>89.808393319794277</v>
      </c>
      <c r="D5" s="3">
        <v>245.09962600153773</v>
      </c>
      <c r="E5" s="3">
        <v>0.50420038645185672</v>
      </c>
      <c r="F5" s="3">
        <v>1.3172472557988175</v>
      </c>
      <c r="G5" s="3">
        <v>0.47238779993199864</v>
      </c>
      <c r="H5" s="65">
        <v>337.20185476351469</v>
      </c>
      <c r="I5" s="3">
        <v>166.19010653207431</v>
      </c>
      <c r="J5" s="3">
        <v>139.59128444110755</v>
      </c>
      <c r="K5" s="3">
        <v>101.01166691282663</v>
      </c>
      <c r="L5" s="3">
        <v>2.1807895172717324</v>
      </c>
      <c r="M5" s="20">
        <v>51.933201464537831</v>
      </c>
      <c r="N5" s="20">
        <v>5.9066076046004659</v>
      </c>
      <c r="O5" s="65">
        <v>300.62354994034422</v>
      </c>
      <c r="P5" s="20">
        <v>0.19534923452218608</v>
      </c>
      <c r="Q5" s="20">
        <v>0</v>
      </c>
      <c r="R5" s="20">
        <v>11.894221393272554</v>
      </c>
      <c r="S5" s="20">
        <v>25.572747272521205</v>
      </c>
      <c r="T5" s="20">
        <v>176.236271098777</v>
      </c>
      <c r="U5" s="21">
        <v>1.0260748184455601</v>
      </c>
      <c r="V5" s="66">
        <v>214.92466381753849</v>
      </c>
      <c r="W5" s="20">
        <v>0.91883538422700006</v>
      </c>
      <c r="X5" s="20">
        <v>13.530437723187999</v>
      </c>
      <c r="Y5" s="20">
        <v>0</v>
      </c>
      <c r="Z5" s="66">
        <v>14.449273107414999</v>
      </c>
      <c r="AA5" s="68"/>
      <c r="AB5" s="68"/>
      <c r="AC5" s="68"/>
      <c r="AD5" s="68"/>
      <c r="AE5" s="70">
        <v>867.19934162881248</v>
      </c>
      <c r="AF5" s="84">
        <v>339800</v>
      </c>
      <c r="AG5">
        <f t="shared" si="0"/>
        <v>2.5520875268652516</v>
      </c>
    </row>
    <row r="6" spans="1:33" x14ac:dyDescent="0.3">
      <c r="A6" s="18"/>
      <c r="B6" s="60" t="s">
        <v>17</v>
      </c>
      <c r="C6" s="19">
        <v>109.05399029207194</v>
      </c>
      <c r="D6" s="3">
        <v>313.18248876386838</v>
      </c>
      <c r="E6" s="3">
        <v>2.5146389211254907</v>
      </c>
      <c r="F6" s="3">
        <v>3.5296601864615282</v>
      </c>
      <c r="G6" s="3">
        <v>0.97033424147710157</v>
      </c>
      <c r="H6" s="65">
        <v>429.25111240500439</v>
      </c>
      <c r="I6" s="3">
        <v>77.275650203508619</v>
      </c>
      <c r="J6" s="3">
        <v>58.692100816893543</v>
      </c>
      <c r="K6" s="3">
        <v>59.288394530714562</v>
      </c>
      <c r="L6" s="3">
        <v>1.1641073020354735</v>
      </c>
      <c r="M6" s="20">
        <v>35.420351314923352</v>
      </c>
      <c r="N6" s="20">
        <v>1.9470620568085117</v>
      </c>
      <c r="O6" s="65">
        <v>156.51201602137544</v>
      </c>
      <c r="P6" s="20">
        <v>5.6540628824635926</v>
      </c>
      <c r="Q6" s="20">
        <v>0</v>
      </c>
      <c r="R6" s="20">
        <v>1.4710342288326541</v>
      </c>
      <c r="S6" s="20">
        <v>17.449234029003634</v>
      </c>
      <c r="T6" s="20">
        <v>238.79274920540155</v>
      </c>
      <c r="U6" s="21">
        <v>1.1343153576114406</v>
      </c>
      <c r="V6" s="66">
        <v>264.50139570331288</v>
      </c>
      <c r="W6" s="20">
        <v>0.38487658532414004</v>
      </c>
      <c r="X6" s="20">
        <v>8.6549093097363965</v>
      </c>
      <c r="Y6" s="20">
        <v>0</v>
      </c>
      <c r="Z6" s="66">
        <v>9.0397858950605361</v>
      </c>
      <c r="AA6" s="68"/>
      <c r="AB6" s="68"/>
      <c r="AC6" s="68"/>
      <c r="AD6" s="68"/>
      <c r="AE6" s="70">
        <v>859.30431002475325</v>
      </c>
      <c r="AF6" s="84">
        <v>330000</v>
      </c>
      <c r="AG6">
        <f t="shared" si="0"/>
        <v>2.6039524546204644</v>
      </c>
    </row>
    <row r="7" spans="1:33" x14ac:dyDescent="0.3">
      <c r="A7" s="18"/>
      <c r="B7" s="60" t="s">
        <v>18</v>
      </c>
      <c r="C7" s="19">
        <v>70.546096432596997</v>
      </c>
      <c r="D7" s="3">
        <v>151.77026188861208</v>
      </c>
      <c r="E7" s="3">
        <v>0.14100079811366156</v>
      </c>
      <c r="F7" s="3">
        <v>2.4518126780153255</v>
      </c>
      <c r="G7" s="3">
        <v>0.13210575714523992</v>
      </c>
      <c r="H7" s="65">
        <v>225.04127755448329</v>
      </c>
      <c r="I7" s="3">
        <v>263.41350932883233</v>
      </c>
      <c r="J7" s="3">
        <v>234.16979128636962</v>
      </c>
      <c r="K7" s="3">
        <v>249.03102287754831</v>
      </c>
      <c r="L7" s="3">
        <v>2.2824124675450328</v>
      </c>
      <c r="M7" s="20">
        <v>78.600578198408897</v>
      </c>
      <c r="N7" s="20">
        <v>2.4649048004757974</v>
      </c>
      <c r="O7" s="65">
        <v>566.54870963034762</v>
      </c>
      <c r="P7" s="20">
        <v>0</v>
      </c>
      <c r="Q7" s="20">
        <v>0</v>
      </c>
      <c r="R7" s="20">
        <v>11.810058471007181</v>
      </c>
      <c r="S7" s="20">
        <v>27.945804445481066</v>
      </c>
      <c r="T7" s="20">
        <v>111.35545873499059</v>
      </c>
      <c r="U7" s="21">
        <v>1.2979135969816507</v>
      </c>
      <c r="V7" s="66">
        <v>152.4092352484605</v>
      </c>
      <c r="W7" s="20">
        <v>0.89733008073599985</v>
      </c>
      <c r="X7" s="20">
        <v>34.492970468911011</v>
      </c>
      <c r="Y7" s="20">
        <v>0</v>
      </c>
      <c r="Z7" s="66">
        <v>35.390300549647009</v>
      </c>
      <c r="AA7" s="68"/>
      <c r="AB7" s="68"/>
      <c r="AC7" s="68"/>
      <c r="AD7" s="68"/>
      <c r="AE7" s="70">
        <v>979.38952298293839</v>
      </c>
      <c r="AF7" s="84">
        <v>210100</v>
      </c>
      <c r="AG7">
        <f t="shared" si="0"/>
        <v>4.661539852370006</v>
      </c>
    </row>
    <row r="8" spans="1:33" x14ac:dyDescent="0.3">
      <c r="A8" s="18"/>
      <c r="B8" s="60" t="s">
        <v>19</v>
      </c>
      <c r="C8" s="19">
        <v>5.7757497788241006</v>
      </c>
      <c r="D8" s="3">
        <v>4.7234544443203577</v>
      </c>
      <c r="E8" s="3">
        <v>2.0446487410935364E-3</v>
      </c>
      <c r="F8" s="3">
        <v>8.889344462341281E-2</v>
      </c>
      <c r="G8" s="3">
        <v>1.9156753677107227E-3</v>
      </c>
      <c r="H8" s="65">
        <v>10.592057991876676</v>
      </c>
      <c r="I8" s="3">
        <v>365.42950464543105</v>
      </c>
      <c r="J8" s="3">
        <v>355.79979437798835</v>
      </c>
      <c r="K8" s="3">
        <v>125.01352729874621</v>
      </c>
      <c r="L8" s="3">
        <v>1.3517968080309604</v>
      </c>
      <c r="M8" s="20">
        <v>38.462960175585074</v>
      </c>
      <c r="N8" s="20">
        <v>1.4438375189909656</v>
      </c>
      <c r="O8" s="65">
        <v>522.07191617934166</v>
      </c>
      <c r="P8" s="20">
        <v>0.18018074143553264</v>
      </c>
      <c r="Q8" s="20">
        <v>5.2939180630105893</v>
      </c>
      <c r="R8" s="20">
        <v>8.4176822435236449E-3</v>
      </c>
      <c r="S8" s="20">
        <v>9.1379320795892927</v>
      </c>
      <c r="T8" s="20">
        <v>28.851449643449225</v>
      </c>
      <c r="U8" s="21">
        <v>0.49177818785340138</v>
      </c>
      <c r="V8" s="66">
        <v>43.963676397581565</v>
      </c>
      <c r="W8" s="20">
        <v>0.41675647185599995</v>
      </c>
      <c r="X8" s="20">
        <v>5.7212067772459996</v>
      </c>
      <c r="Y8" s="20">
        <v>0</v>
      </c>
      <c r="Z8" s="66">
        <v>6.1379632491019995</v>
      </c>
      <c r="AA8" s="68"/>
      <c r="AB8" s="68"/>
      <c r="AC8" s="68"/>
      <c r="AD8" s="68"/>
      <c r="AE8" s="70">
        <v>582.76561381790191</v>
      </c>
      <c r="AF8" s="84">
        <v>8600</v>
      </c>
      <c r="AG8">
        <f t="shared" si="0"/>
        <v>67.763443467197902</v>
      </c>
    </row>
    <row r="9" spans="1:33" x14ac:dyDescent="0.3">
      <c r="A9" s="18"/>
      <c r="B9" s="60" t="s">
        <v>20</v>
      </c>
      <c r="C9" s="19">
        <v>119.56158550368511</v>
      </c>
      <c r="D9" s="3">
        <v>324.00275332840476</v>
      </c>
      <c r="E9" s="3">
        <v>4.6654474495387053</v>
      </c>
      <c r="F9" s="3">
        <v>2.263823165100225</v>
      </c>
      <c r="G9" s="3">
        <v>1.0183436168609847</v>
      </c>
      <c r="H9" s="65">
        <v>451.51195306358983</v>
      </c>
      <c r="I9" s="3">
        <v>131.23094361701737</v>
      </c>
      <c r="J9" s="3">
        <v>105.78149762406072</v>
      </c>
      <c r="K9" s="3">
        <v>91.45519692413086</v>
      </c>
      <c r="L9" s="3">
        <v>1.1125367157670292</v>
      </c>
      <c r="M9" s="20">
        <v>26.102765524860423</v>
      </c>
      <c r="N9" s="20">
        <v>2.3957028350432963</v>
      </c>
      <c r="O9" s="65">
        <v>226.8476996238623</v>
      </c>
      <c r="P9" s="20">
        <v>0.26147969645835395</v>
      </c>
      <c r="Q9" s="20">
        <v>0</v>
      </c>
      <c r="R9" s="20">
        <v>3.7851749739396392</v>
      </c>
      <c r="S9" s="20">
        <v>24.39139549112625</v>
      </c>
      <c r="T9" s="20">
        <v>216.35935825832922</v>
      </c>
      <c r="U9" s="21">
        <v>1.0580505018304138</v>
      </c>
      <c r="V9" s="66">
        <v>245.85545892168389</v>
      </c>
      <c r="W9" s="20">
        <v>0.23383853988799999</v>
      </c>
      <c r="X9" s="20">
        <v>22.226410989615008</v>
      </c>
      <c r="Y9" s="20">
        <v>0</v>
      </c>
      <c r="Z9" s="66">
        <v>22.46024952950301</v>
      </c>
      <c r="AA9" s="68"/>
      <c r="AB9" s="68"/>
      <c r="AC9" s="68"/>
      <c r="AD9" s="68"/>
      <c r="AE9" s="70">
        <v>946.675361138639</v>
      </c>
      <c r="AF9" s="84">
        <v>390800</v>
      </c>
      <c r="AG9">
        <f t="shared" si="0"/>
        <v>2.4224036876628432</v>
      </c>
    </row>
    <row r="10" spans="1:33" x14ac:dyDescent="0.3">
      <c r="A10" s="18"/>
      <c r="B10" s="60" t="s">
        <v>21</v>
      </c>
      <c r="C10" s="19">
        <v>99.949220130812847</v>
      </c>
      <c r="D10" s="3">
        <v>264.22980367341404</v>
      </c>
      <c r="E10" s="3">
        <v>0.69503935670270933</v>
      </c>
      <c r="F10" s="3">
        <v>1.6605582349515851</v>
      </c>
      <c r="G10" s="3">
        <v>0.65118764209541391</v>
      </c>
      <c r="H10" s="65">
        <v>367.18580903797653</v>
      </c>
      <c r="I10" s="3">
        <v>202.46035430872192</v>
      </c>
      <c r="J10" s="3">
        <v>177.08399558227518</v>
      </c>
      <c r="K10" s="3">
        <v>122.63007968091028</v>
      </c>
      <c r="L10" s="3">
        <v>2.4899005592068351</v>
      </c>
      <c r="M10" s="20">
        <v>45.58152501186543</v>
      </c>
      <c r="N10" s="20">
        <v>4.8228211616384637</v>
      </c>
      <c r="O10" s="65">
        <v>352.60832199589618</v>
      </c>
      <c r="P10" s="20">
        <v>0</v>
      </c>
      <c r="Q10" s="20">
        <v>0</v>
      </c>
      <c r="R10" s="20">
        <v>4.3744851780736065</v>
      </c>
      <c r="S10" s="20">
        <v>24.110829821389004</v>
      </c>
      <c r="T10" s="20">
        <v>246.50076362369421</v>
      </c>
      <c r="U10" s="21">
        <v>1.265528905057741</v>
      </c>
      <c r="V10" s="66">
        <v>276.25160752821455</v>
      </c>
      <c r="W10" s="20">
        <v>1.0140735236480001</v>
      </c>
      <c r="X10" s="20">
        <v>21.05928328278301</v>
      </c>
      <c r="Y10" s="20">
        <v>0</v>
      </c>
      <c r="Z10" s="66">
        <v>22.073356806431011</v>
      </c>
      <c r="AA10" s="68"/>
      <c r="AB10" s="68"/>
      <c r="AC10" s="68"/>
      <c r="AD10" s="68"/>
      <c r="AE10" s="70">
        <v>1018.1190953685182</v>
      </c>
      <c r="AF10" s="84">
        <v>367100</v>
      </c>
      <c r="AG10">
        <f t="shared" si="0"/>
        <v>2.7734107746350261</v>
      </c>
    </row>
    <row r="11" spans="1:33" x14ac:dyDescent="0.3">
      <c r="A11" s="18"/>
      <c r="B11" s="60" t="s">
        <v>22</v>
      </c>
      <c r="C11" s="19">
        <v>97.778858686550166</v>
      </c>
      <c r="D11" s="3">
        <v>248.44029338795346</v>
      </c>
      <c r="E11" s="3">
        <v>1.2212276339174861</v>
      </c>
      <c r="F11" s="3">
        <v>1.6095098734971902</v>
      </c>
      <c r="G11" s="3">
        <v>0.89358650503819947</v>
      </c>
      <c r="H11" s="65">
        <v>349.94347608695648</v>
      </c>
      <c r="I11" s="3">
        <v>112.92048850596034</v>
      </c>
      <c r="J11" s="3">
        <v>104.34853952376685</v>
      </c>
      <c r="K11" s="3">
        <v>94.910800893256322</v>
      </c>
      <c r="L11" s="3">
        <v>4.4225441055119505</v>
      </c>
      <c r="M11" s="20">
        <v>37.904661001434391</v>
      </c>
      <c r="N11" s="20">
        <v>3.0720968045928609</v>
      </c>
      <c r="O11" s="65">
        <v>244.65864232856237</v>
      </c>
      <c r="P11" s="20">
        <v>0.1830167469374375</v>
      </c>
      <c r="Q11" s="20">
        <v>0</v>
      </c>
      <c r="R11" s="20">
        <v>1.2263158986210296</v>
      </c>
      <c r="S11" s="20">
        <v>6.9612506923790223</v>
      </c>
      <c r="T11" s="20">
        <v>384.40697270559031</v>
      </c>
      <c r="U11" s="21">
        <v>1.6106982898144599</v>
      </c>
      <c r="V11" s="66">
        <v>394.38825433334227</v>
      </c>
      <c r="W11" s="20">
        <v>0.81880077795499995</v>
      </c>
      <c r="X11" s="20">
        <v>3.823358876136</v>
      </c>
      <c r="Y11" s="20">
        <v>0</v>
      </c>
      <c r="Z11" s="66">
        <v>4.6421596540909995</v>
      </c>
      <c r="AA11" s="68"/>
      <c r="AB11" s="68"/>
      <c r="AC11" s="68"/>
      <c r="AD11" s="68"/>
      <c r="AE11" s="70">
        <v>993.63253240295205</v>
      </c>
      <c r="AF11" s="84">
        <v>330000</v>
      </c>
      <c r="AG11">
        <f t="shared" si="0"/>
        <v>3.0110076739483396</v>
      </c>
    </row>
    <row r="12" spans="1:33" x14ac:dyDescent="0.3">
      <c r="A12" s="18"/>
      <c r="B12" s="60" t="s">
        <v>23</v>
      </c>
      <c r="C12" s="19">
        <v>77.661766531578152</v>
      </c>
      <c r="D12" s="3">
        <v>177.74881572310233</v>
      </c>
      <c r="E12" s="3">
        <v>0.54419440093217153</v>
      </c>
      <c r="F12" s="3">
        <v>1.2078198130631439</v>
      </c>
      <c r="G12" s="3">
        <v>0.50418398623256366</v>
      </c>
      <c r="H12" s="65">
        <v>257.66678045490841</v>
      </c>
      <c r="I12" s="3">
        <v>97.301546213790274</v>
      </c>
      <c r="J12" s="3">
        <v>84.054012291870862</v>
      </c>
      <c r="K12" s="3">
        <v>87.900301617144635</v>
      </c>
      <c r="L12" s="3">
        <v>1.4257271835941667</v>
      </c>
      <c r="M12" s="20">
        <v>27.322569247189069</v>
      </c>
      <c r="N12" s="20">
        <v>3.407110141923591</v>
      </c>
      <c r="O12" s="65">
        <v>204.10972048172235</v>
      </c>
      <c r="P12" s="20">
        <v>2.7171681733449704</v>
      </c>
      <c r="Q12" s="20">
        <v>2.7935617034373075</v>
      </c>
      <c r="R12" s="20">
        <v>0.78077509020805758</v>
      </c>
      <c r="S12" s="20">
        <v>11.84049103402335</v>
      </c>
      <c r="T12" s="20">
        <v>210.22858057074367</v>
      </c>
      <c r="U12" s="21">
        <v>1.4070428878960677</v>
      </c>
      <c r="V12" s="66">
        <v>229.76761945965342</v>
      </c>
      <c r="W12" s="20">
        <v>0.54861386806599999</v>
      </c>
      <c r="X12" s="20">
        <v>7.9129895673880002</v>
      </c>
      <c r="Y12" s="20">
        <v>0</v>
      </c>
      <c r="Z12" s="66">
        <v>8.4616034354540002</v>
      </c>
      <c r="AA12" s="68"/>
      <c r="AB12" s="68"/>
      <c r="AC12" s="68"/>
      <c r="AD12" s="68"/>
      <c r="AE12" s="70">
        <v>700.00572383173812</v>
      </c>
      <c r="AF12" s="84">
        <v>289100</v>
      </c>
      <c r="AG12">
        <f t="shared" si="0"/>
        <v>2.421327304848627</v>
      </c>
    </row>
    <row r="13" spans="1:33" x14ac:dyDescent="0.3">
      <c r="A13" s="18"/>
      <c r="B13" s="60" t="s">
        <v>24</v>
      </c>
      <c r="C13" s="19">
        <v>71.412634986580997</v>
      </c>
      <c r="D13" s="3">
        <v>154.15835004913211</v>
      </c>
      <c r="E13" s="3">
        <v>0.31240936939844122</v>
      </c>
      <c r="F13" s="3">
        <v>0.78793128428817105</v>
      </c>
      <c r="G13" s="3">
        <v>0.25439640279735776</v>
      </c>
      <c r="H13" s="65">
        <v>226.92572209219708</v>
      </c>
      <c r="I13" s="3">
        <v>116.30453785535524</v>
      </c>
      <c r="J13" s="3">
        <v>107.70645915259392</v>
      </c>
      <c r="K13" s="3">
        <v>65.249488357509662</v>
      </c>
      <c r="L13" s="3">
        <v>1.149871532283782</v>
      </c>
      <c r="M13" s="20">
        <v>24.06609894023687</v>
      </c>
      <c r="N13" s="20">
        <v>1.5125014206627578</v>
      </c>
      <c r="O13" s="65">
        <v>199.68441940328697</v>
      </c>
      <c r="P13" s="20">
        <v>0</v>
      </c>
      <c r="Q13" s="20">
        <v>0</v>
      </c>
      <c r="R13" s="20">
        <v>1.6845852391862164</v>
      </c>
      <c r="S13" s="20">
        <v>7.6440721508890235</v>
      </c>
      <c r="T13" s="20">
        <v>97.160957126554266</v>
      </c>
      <c r="U13" s="21">
        <v>0.954006551872294</v>
      </c>
      <c r="V13" s="66">
        <v>107.4436210685018</v>
      </c>
      <c r="W13" s="20">
        <v>0.40704629645070001</v>
      </c>
      <c r="X13" s="20">
        <v>14.969694382715998</v>
      </c>
      <c r="Y13" s="20">
        <v>0</v>
      </c>
      <c r="Z13" s="66">
        <v>15.376740679166698</v>
      </c>
      <c r="AA13" s="68"/>
      <c r="AB13" s="68"/>
      <c r="AC13" s="68"/>
      <c r="AD13" s="68"/>
      <c r="AE13" s="70">
        <v>549.43050324315254</v>
      </c>
      <c r="AF13" s="84">
        <v>259200</v>
      </c>
      <c r="AG13">
        <f t="shared" si="0"/>
        <v>2.1197164476973476</v>
      </c>
    </row>
    <row r="14" spans="1:33" x14ac:dyDescent="0.3">
      <c r="A14" s="18"/>
      <c r="B14" s="60" t="s">
        <v>25</v>
      </c>
      <c r="C14" s="19">
        <v>59.290677804853949</v>
      </c>
      <c r="D14" s="3">
        <v>138.81118208442797</v>
      </c>
      <c r="E14" s="3">
        <v>0.21937799454565943</v>
      </c>
      <c r="F14" s="3">
        <v>0.95287120555485738</v>
      </c>
      <c r="G14" s="3">
        <v>0.20553933301501323</v>
      </c>
      <c r="H14" s="65">
        <v>199.47964842239745</v>
      </c>
      <c r="I14" s="3">
        <v>138.24852137590489</v>
      </c>
      <c r="J14" s="3">
        <v>125.77643255739127</v>
      </c>
      <c r="K14" s="3">
        <v>100.19980310807921</v>
      </c>
      <c r="L14" s="3">
        <v>0.82310001713861236</v>
      </c>
      <c r="M14" s="20">
        <v>30.407968411056491</v>
      </c>
      <c r="N14" s="20">
        <v>1.1535262948057989</v>
      </c>
      <c r="O14" s="65">
        <v>258.36083038847136</v>
      </c>
      <c r="P14" s="20">
        <v>6.5186747614338012</v>
      </c>
      <c r="Q14" s="20">
        <v>4.3852011099091721E-3</v>
      </c>
      <c r="R14" s="20">
        <v>1.6755769392978566</v>
      </c>
      <c r="S14" s="20">
        <v>11.527646287804995</v>
      </c>
      <c r="T14" s="20">
        <v>95.072902057636881</v>
      </c>
      <c r="U14" s="21">
        <v>0.94444253070861695</v>
      </c>
      <c r="V14" s="66">
        <v>115.74362777799206</v>
      </c>
      <c r="W14" s="20">
        <v>0.25575030935702797</v>
      </c>
      <c r="X14" s="20">
        <v>11.936210371152999</v>
      </c>
      <c r="Y14" s="20">
        <v>0</v>
      </c>
      <c r="Z14" s="66">
        <v>12.191960680510027</v>
      </c>
      <c r="AA14" s="68"/>
      <c r="AB14" s="68"/>
      <c r="AC14" s="68"/>
      <c r="AD14" s="68"/>
      <c r="AE14" s="70">
        <v>585.77606726937097</v>
      </c>
      <c r="AF14" s="84">
        <v>183200</v>
      </c>
      <c r="AG14">
        <f t="shared" si="0"/>
        <v>3.1974676160991868</v>
      </c>
    </row>
    <row r="15" spans="1:33" x14ac:dyDescent="0.3">
      <c r="A15" s="18"/>
      <c r="B15" s="60" t="s">
        <v>26</v>
      </c>
      <c r="C15" s="19">
        <v>74.000754083638228</v>
      </c>
      <c r="D15" s="3">
        <v>198.34260972438364</v>
      </c>
      <c r="E15" s="3">
        <v>0.40625995505279705</v>
      </c>
      <c r="F15" s="3">
        <v>0.8017855896574454</v>
      </c>
      <c r="G15" s="3">
        <v>0.38063048282465578</v>
      </c>
      <c r="H15" s="65">
        <v>273.93203983555679</v>
      </c>
      <c r="I15" s="3">
        <v>91.807801496157992</v>
      </c>
      <c r="J15" s="3">
        <v>75.492817283865094</v>
      </c>
      <c r="K15" s="3">
        <v>68.98546576523897</v>
      </c>
      <c r="L15" s="3">
        <v>1.1538079223099833</v>
      </c>
      <c r="M15" s="20">
        <v>21.214794462454396</v>
      </c>
      <c r="N15" s="20">
        <v>2.1158206709638447</v>
      </c>
      <c r="O15" s="65">
        <v>168.96270610483228</v>
      </c>
      <c r="P15" s="20">
        <v>0</v>
      </c>
      <c r="Q15" s="20">
        <v>0</v>
      </c>
      <c r="R15" s="20">
        <v>1.9926658361483451</v>
      </c>
      <c r="S15" s="20">
        <v>15.283148921206394</v>
      </c>
      <c r="T15" s="20">
        <v>107.03060926708616</v>
      </c>
      <c r="U15" s="21">
        <v>1.0318352910865145</v>
      </c>
      <c r="V15" s="66">
        <v>125.33825931552741</v>
      </c>
      <c r="W15" s="20">
        <v>0.48999601909499996</v>
      </c>
      <c r="X15" s="20">
        <v>7.7688428030349987</v>
      </c>
      <c r="Y15" s="20">
        <v>0</v>
      </c>
      <c r="Z15" s="66">
        <v>8.2588388221299986</v>
      </c>
      <c r="AA15" s="68"/>
      <c r="AB15" s="68"/>
      <c r="AC15" s="68"/>
      <c r="AD15" s="68"/>
      <c r="AE15" s="70">
        <v>576.49184407804637</v>
      </c>
      <c r="AF15" s="84">
        <v>264200</v>
      </c>
      <c r="AG15">
        <f t="shared" si="0"/>
        <v>2.1820281759199331</v>
      </c>
    </row>
    <row r="16" spans="1:33" x14ac:dyDescent="0.3">
      <c r="A16" s="18"/>
      <c r="B16" s="60" t="s">
        <v>27</v>
      </c>
      <c r="C16" s="19">
        <v>71.922476834373853</v>
      </c>
      <c r="D16" s="3">
        <v>227.42475643443106</v>
      </c>
      <c r="E16" s="3">
        <v>0.65552447367749611</v>
      </c>
      <c r="F16" s="3">
        <v>1.3894669203035905</v>
      </c>
      <c r="G16" s="3">
        <v>0.46586320930122221</v>
      </c>
      <c r="H16" s="65">
        <v>301.85808787208725</v>
      </c>
      <c r="I16" s="3">
        <v>43.625065228643997</v>
      </c>
      <c r="J16" s="3">
        <v>30.818598292879283</v>
      </c>
      <c r="K16" s="3">
        <v>40.574257731223362</v>
      </c>
      <c r="L16" s="3">
        <v>0.8183300742941253</v>
      </c>
      <c r="M16" s="20">
        <v>17.998448727610604</v>
      </c>
      <c r="N16" s="20">
        <v>0.99892614233099686</v>
      </c>
      <c r="O16" s="65">
        <v>91.208560968338375</v>
      </c>
      <c r="P16" s="20">
        <v>0.19252970285018928</v>
      </c>
      <c r="Q16" s="20">
        <v>0</v>
      </c>
      <c r="R16" s="20">
        <v>4.2303045364387453</v>
      </c>
      <c r="S16" s="20">
        <v>12.199790456895085</v>
      </c>
      <c r="T16" s="20">
        <v>130.92247022776118</v>
      </c>
      <c r="U16" s="21">
        <v>0.60667647886962617</v>
      </c>
      <c r="V16" s="66">
        <v>148.15177140281483</v>
      </c>
      <c r="W16" s="20">
        <v>0.20114253507599997</v>
      </c>
      <c r="X16" s="20">
        <v>8.6532952531050054</v>
      </c>
      <c r="Y16" s="20">
        <v>0</v>
      </c>
      <c r="Z16" s="66">
        <v>8.8544377881810057</v>
      </c>
      <c r="AA16" s="68"/>
      <c r="AB16" s="68"/>
      <c r="AC16" s="68"/>
      <c r="AD16" s="68"/>
      <c r="AE16" s="70">
        <v>550.07285803142145</v>
      </c>
      <c r="AF16" s="84">
        <v>261300</v>
      </c>
      <c r="AG16">
        <f t="shared" si="0"/>
        <v>2.1051391428680497</v>
      </c>
    </row>
    <row r="17" spans="1:33" x14ac:dyDescent="0.3">
      <c r="A17" s="18"/>
      <c r="B17" s="60" t="s">
        <v>28</v>
      </c>
      <c r="C17" s="19">
        <v>79.08121049650471</v>
      </c>
      <c r="D17" s="3">
        <v>208.28134598564549</v>
      </c>
      <c r="E17" s="3">
        <v>0.932011235459964</v>
      </c>
      <c r="F17" s="3">
        <v>1.9528217722778332</v>
      </c>
      <c r="G17" s="3">
        <v>0.74236876785953287</v>
      </c>
      <c r="H17" s="65">
        <v>290.98975825774755</v>
      </c>
      <c r="I17" s="3">
        <v>80.579901352511541</v>
      </c>
      <c r="J17" s="3">
        <v>63.773594610567166</v>
      </c>
      <c r="K17" s="3">
        <v>37.61811127404674</v>
      </c>
      <c r="L17" s="3">
        <v>2.34118673593726</v>
      </c>
      <c r="M17" s="20">
        <v>29.998604693638768</v>
      </c>
      <c r="N17" s="20">
        <v>4.2373536691922418</v>
      </c>
      <c r="O17" s="65">
        <v>137.96885098338217</v>
      </c>
      <c r="P17" s="20">
        <v>0.70348041727968691</v>
      </c>
      <c r="Q17" s="20">
        <v>0.57163739516290313</v>
      </c>
      <c r="R17" s="20">
        <v>2.0275506695526619</v>
      </c>
      <c r="S17" s="20">
        <v>15.244508623703823</v>
      </c>
      <c r="T17" s="20">
        <v>407.10545197348523</v>
      </c>
      <c r="U17" s="21">
        <v>1.561798118240554</v>
      </c>
      <c r="V17" s="66">
        <v>427.21442719742487</v>
      </c>
      <c r="W17" s="20">
        <v>0.40062732726103989</v>
      </c>
      <c r="X17" s="20">
        <v>5.9321683652500035</v>
      </c>
      <c r="Y17" s="20">
        <v>0</v>
      </c>
      <c r="Z17" s="66">
        <v>6.3327956925110431</v>
      </c>
      <c r="AA17" s="68"/>
      <c r="AB17" s="68"/>
      <c r="AC17" s="68"/>
      <c r="AD17" s="68"/>
      <c r="AE17" s="70">
        <v>862.50583213106563</v>
      </c>
      <c r="AF17" s="84">
        <v>262000</v>
      </c>
      <c r="AG17">
        <f t="shared" si="0"/>
        <v>3.2920069928666629</v>
      </c>
    </row>
    <row r="18" spans="1:33" x14ac:dyDescent="0.3">
      <c r="A18" s="18"/>
      <c r="B18" s="60" t="s">
        <v>29</v>
      </c>
      <c r="C18" s="19">
        <v>88.312287478896522</v>
      </c>
      <c r="D18" s="3">
        <v>229.84863396456396</v>
      </c>
      <c r="E18" s="3">
        <v>3.2272259753484596</v>
      </c>
      <c r="F18" s="3">
        <v>2.3565754447374343</v>
      </c>
      <c r="G18" s="3">
        <v>1.7105651620452273</v>
      </c>
      <c r="H18" s="65">
        <v>325.45528802559159</v>
      </c>
      <c r="I18" s="3">
        <v>266.18610828082529</v>
      </c>
      <c r="J18" s="3">
        <v>241.60209321370797</v>
      </c>
      <c r="K18" s="3">
        <v>115.45395568596231</v>
      </c>
      <c r="L18" s="3">
        <v>4.2882878979183445</v>
      </c>
      <c r="M18" s="20">
        <v>125.12768463079574</v>
      </c>
      <c r="N18" s="20">
        <v>10.607816850498216</v>
      </c>
      <c r="O18" s="65">
        <v>497.07983827888256</v>
      </c>
      <c r="P18" s="20">
        <v>512.28153580287756</v>
      </c>
      <c r="Q18" s="20">
        <v>0</v>
      </c>
      <c r="R18" s="20">
        <v>5.8788481725607875</v>
      </c>
      <c r="S18" s="20">
        <v>22.905503715241959</v>
      </c>
      <c r="T18" s="20">
        <v>374.45995286014255</v>
      </c>
      <c r="U18" s="21">
        <v>1.6785113518753672</v>
      </c>
      <c r="V18" s="66">
        <v>917.20435190269814</v>
      </c>
      <c r="W18" s="20">
        <v>0.80866592867066656</v>
      </c>
      <c r="X18" s="20">
        <v>16.572394954819995</v>
      </c>
      <c r="Y18" s="20">
        <v>25.645402700025283</v>
      </c>
      <c r="Z18" s="66">
        <v>43.026463583515948</v>
      </c>
      <c r="AA18" s="68"/>
      <c r="AB18" s="68"/>
      <c r="AC18" s="68"/>
      <c r="AD18" s="68"/>
      <c r="AE18" s="70">
        <v>1782.7659417906884</v>
      </c>
      <c r="AF18" s="84">
        <v>305900</v>
      </c>
      <c r="AG18">
        <f t="shared" si="0"/>
        <v>5.8279370441016294</v>
      </c>
    </row>
    <row r="19" spans="1:33" x14ac:dyDescent="0.3">
      <c r="A19" s="18"/>
      <c r="B19" s="60" t="s">
        <v>30</v>
      </c>
      <c r="C19" s="19">
        <v>80.365735639319453</v>
      </c>
      <c r="D19" s="3">
        <v>187.34293624208613</v>
      </c>
      <c r="E19" s="3">
        <v>0.51683959478505048</v>
      </c>
      <c r="F19" s="3">
        <v>1.8204221660412068</v>
      </c>
      <c r="G19" s="3">
        <v>0.48422692586550503</v>
      </c>
      <c r="H19" s="65">
        <v>270.53016056809736</v>
      </c>
      <c r="I19" s="3">
        <v>182.05605885824986</v>
      </c>
      <c r="J19" s="3">
        <v>172.36165451511764</v>
      </c>
      <c r="K19" s="3">
        <v>93.918240260569604</v>
      </c>
      <c r="L19" s="3">
        <v>2.3218808745631865</v>
      </c>
      <c r="M19" s="20">
        <v>28.966519417364786</v>
      </c>
      <c r="N19" s="20">
        <v>1.2995690593081233</v>
      </c>
      <c r="O19" s="65">
        <v>298.86786412692334</v>
      </c>
      <c r="P19" s="20">
        <v>84.703465065471391</v>
      </c>
      <c r="Q19" s="20">
        <v>0</v>
      </c>
      <c r="R19" s="20">
        <v>0.55616753692902487</v>
      </c>
      <c r="S19" s="20">
        <v>8.3146981155995707</v>
      </c>
      <c r="T19" s="20">
        <v>260.79273585529904</v>
      </c>
      <c r="U19" s="21">
        <v>1.3797062275326355</v>
      </c>
      <c r="V19" s="66">
        <v>355.74677280083165</v>
      </c>
      <c r="W19" s="20">
        <v>0.64434616135173972</v>
      </c>
      <c r="X19" s="20">
        <v>11.072872679491001</v>
      </c>
      <c r="Y19" s="20">
        <v>6.7726006923824842E-6</v>
      </c>
      <c r="Z19" s="66">
        <v>11.717225613443432</v>
      </c>
      <c r="AA19" s="68"/>
      <c r="AB19" s="68"/>
      <c r="AC19" s="68"/>
      <c r="AD19" s="68"/>
      <c r="AE19" s="70">
        <v>936.86202310929582</v>
      </c>
      <c r="AF19" s="84">
        <v>288200</v>
      </c>
      <c r="AG19">
        <f t="shared" si="0"/>
        <v>3.2507356804625118</v>
      </c>
    </row>
    <row r="20" spans="1:33" x14ac:dyDescent="0.3">
      <c r="A20" s="18"/>
      <c r="B20" s="60" t="s">
        <v>31</v>
      </c>
      <c r="C20" s="19">
        <v>63.609413894802259</v>
      </c>
      <c r="D20" s="3">
        <v>140.52759799718686</v>
      </c>
      <c r="E20" s="3">
        <v>0.14318505167827691</v>
      </c>
      <c r="F20" s="3">
        <v>0.82511035335828131</v>
      </c>
      <c r="G20" s="3">
        <v>0.13415282607226439</v>
      </c>
      <c r="H20" s="65">
        <v>205.23946012309793</v>
      </c>
      <c r="I20" s="3">
        <v>153.86639615605478</v>
      </c>
      <c r="J20" s="3">
        <v>135.90671987989811</v>
      </c>
      <c r="K20" s="3">
        <v>115.26701678148784</v>
      </c>
      <c r="L20" s="3">
        <v>1.2567899316832012</v>
      </c>
      <c r="M20" s="20">
        <v>28.893114736576049</v>
      </c>
      <c r="N20" s="20">
        <v>1.510031167579305</v>
      </c>
      <c r="O20" s="65">
        <v>282.83367249722448</v>
      </c>
      <c r="P20" s="20">
        <v>0</v>
      </c>
      <c r="Q20" s="20">
        <v>0</v>
      </c>
      <c r="R20" s="20">
        <v>2.3125370742558919</v>
      </c>
      <c r="S20" s="20">
        <v>17.058114953426909</v>
      </c>
      <c r="T20" s="20">
        <v>73.697352522787043</v>
      </c>
      <c r="U20" s="21">
        <v>0.90156132272977108</v>
      </c>
      <c r="V20" s="66">
        <v>93.969565873199628</v>
      </c>
      <c r="W20" s="20">
        <v>0.39803770886599998</v>
      </c>
      <c r="X20" s="20">
        <v>9.7846086795449985</v>
      </c>
      <c r="Y20" s="20">
        <v>0</v>
      </c>
      <c r="Z20" s="66">
        <v>10.182646388410998</v>
      </c>
      <c r="AA20" s="68"/>
      <c r="AB20" s="68"/>
      <c r="AC20" s="68"/>
      <c r="AD20" s="68"/>
      <c r="AE20" s="70">
        <v>592.22534488193298</v>
      </c>
      <c r="AF20" s="84">
        <v>216600</v>
      </c>
      <c r="AG20">
        <f t="shared" si="0"/>
        <v>2.7341890345426267</v>
      </c>
    </row>
    <row r="21" spans="1:33" x14ac:dyDescent="0.3">
      <c r="A21" s="18"/>
      <c r="B21" s="60" t="s">
        <v>32</v>
      </c>
      <c r="C21" s="19">
        <v>72.597726582496122</v>
      </c>
      <c r="D21" s="3">
        <v>142.25371555323267</v>
      </c>
      <c r="E21" s="3">
        <v>0.12981877511656728</v>
      </c>
      <c r="F21" s="3">
        <v>2.1001334689468387</v>
      </c>
      <c r="G21" s="3">
        <v>0.12162998620521573</v>
      </c>
      <c r="H21" s="65">
        <v>217.20302436599744</v>
      </c>
      <c r="I21" s="3">
        <v>199.2905905242292</v>
      </c>
      <c r="J21" s="3">
        <v>188.08703779477202</v>
      </c>
      <c r="K21" s="3">
        <v>152.88688911579135</v>
      </c>
      <c r="L21" s="3">
        <v>0.42749034193148633</v>
      </c>
      <c r="M21" s="20">
        <v>17.766245160937171</v>
      </c>
      <c r="N21" s="20">
        <v>0.35274787749293168</v>
      </c>
      <c r="O21" s="65">
        <v>359.52041029092499</v>
      </c>
      <c r="P21" s="20">
        <v>0</v>
      </c>
      <c r="Q21" s="20">
        <v>1.0581552145895193E-2</v>
      </c>
      <c r="R21" s="20">
        <v>0.29342400402872904</v>
      </c>
      <c r="S21" s="20">
        <v>10.081082822698333</v>
      </c>
      <c r="T21" s="20">
        <v>95.209345752374915</v>
      </c>
      <c r="U21" s="21">
        <v>1.1224699067588526</v>
      </c>
      <c r="V21" s="66">
        <v>106.71690403800673</v>
      </c>
      <c r="W21" s="20">
        <v>0.29818478346600003</v>
      </c>
      <c r="X21" s="20">
        <v>9.6703726613290009</v>
      </c>
      <c r="Y21" s="20">
        <v>0</v>
      </c>
      <c r="Z21" s="66">
        <v>9.9685574447950014</v>
      </c>
      <c r="AA21" s="68"/>
      <c r="AB21" s="68"/>
      <c r="AC21" s="68"/>
      <c r="AD21" s="68"/>
      <c r="AE21" s="70">
        <v>693.40889613972422</v>
      </c>
      <c r="AF21" s="84">
        <v>143400</v>
      </c>
      <c r="AG21">
        <f t="shared" si="0"/>
        <v>4.835487420779109</v>
      </c>
    </row>
    <row r="22" spans="1:33" x14ac:dyDescent="0.3">
      <c r="A22" s="18"/>
      <c r="B22" s="60" t="s">
        <v>76</v>
      </c>
      <c r="C22" s="19">
        <v>53.200984256942093</v>
      </c>
      <c r="D22" s="3">
        <v>138.41112088276958</v>
      </c>
      <c r="E22" s="3">
        <v>0.41525776693645844</v>
      </c>
      <c r="F22" s="3">
        <v>0.86730973947790879</v>
      </c>
      <c r="G22" s="3">
        <v>0.34635108050746632</v>
      </c>
      <c r="H22" s="65">
        <v>193.24102372663353</v>
      </c>
      <c r="I22" s="3">
        <v>64.58668656665624</v>
      </c>
      <c r="J22" s="3">
        <v>58.945299333172535</v>
      </c>
      <c r="K22" s="3">
        <v>40.672955061997321</v>
      </c>
      <c r="L22" s="3">
        <v>0.45789043696601445</v>
      </c>
      <c r="M22" s="20">
        <v>17.837056704464612</v>
      </c>
      <c r="N22" s="20">
        <v>0.6271168420853932</v>
      </c>
      <c r="O22" s="65">
        <v>118.54031837868588</v>
      </c>
      <c r="P22" s="20">
        <v>0</v>
      </c>
      <c r="Q22" s="20">
        <v>0</v>
      </c>
      <c r="R22" s="20">
        <v>0.5336882047694298</v>
      </c>
      <c r="S22" s="20">
        <v>5.059792533980187</v>
      </c>
      <c r="T22" s="20">
        <v>129.47913026794222</v>
      </c>
      <c r="U22" s="21">
        <v>0.58159469950351694</v>
      </c>
      <c r="V22" s="66">
        <v>135.65420570619534</v>
      </c>
      <c r="W22" s="20">
        <v>0.22412425564400001</v>
      </c>
      <c r="X22" s="20">
        <v>6.5741310329570011</v>
      </c>
      <c r="Y22" s="20">
        <v>0</v>
      </c>
      <c r="Z22" s="66">
        <v>6.798255288601001</v>
      </c>
      <c r="AA22" s="68"/>
      <c r="AB22" s="68"/>
      <c r="AC22" s="68"/>
      <c r="AD22" s="68"/>
      <c r="AE22" s="70">
        <v>454.23380310011578</v>
      </c>
      <c r="AF22" s="84">
        <v>168000</v>
      </c>
      <c r="AG22">
        <f t="shared" si="0"/>
        <v>2.7037726375006894</v>
      </c>
    </row>
    <row r="23" spans="1:33" x14ac:dyDescent="0.3">
      <c r="A23" s="18"/>
      <c r="B23" s="60" t="s">
        <v>33</v>
      </c>
      <c r="C23" s="19">
        <v>89.311700082455275</v>
      </c>
      <c r="D23" s="3">
        <v>214.20881197557202</v>
      </c>
      <c r="E23" s="3">
        <v>0.39526306383414817</v>
      </c>
      <c r="F23" s="3">
        <v>1.5738061273970714</v>
      </c>
      <c r="G23" s="3">
        <v>0.37032620520443943</v>
      </c>
      <c r="H23" s="65">
        <v>305.85990745446293</v>
      </c>
      <c r="I23" s="3">
        <v>127.02141411859338</v>
      </c>
      <c r="J23" s="3">
        <v>102.22621969612688</v>
      </c>
      <c r="K23" s="3">
        <v>143.88624125877061</v>
      </c>
      <c r="L23" s="3">
        <v>1.1375604927606164</v>
      </c>
      <c r="M23" s="20">
        <v>31.543025624311284</v>
      </c>
      <c r="N23" s="20">
        <v>1.5779542008581617</v>
      </c>
      <c r="O23" s="65">
        <v>280.37100127282758</v>
      </c>
      <c r="P23" s="20">
        <v>0</v>
      </c>
      <c r="Q23" s="20">
        <v>1.7941661176461475E-2</v>
      </c>
      <c r="R23" s="20">
        <v>1.2600991596340736</v>
      </c>
      <c r="S23" s="20">
        <v>23.525690057648653</v>
      </c>
      <c r="T23" s="20">
        <v>134.52067817130393</v>
      </c>
      <c r="U23" s="21">
        <v>1.2695043648178488</v>
      </c>
      <c r="V23" s="66">
        <v>160.59391341458098</v>
      </c>
      <c r="W23" s="20">
        <v>0.19410463392680002</v>
      </c>
      <c r="X23" s="20">
        <v>16.412005392361003</v>
      </c>
      <c r="Y23" s="20">
        <v>0</v>
      </c>
      <c r="Z23" s="66">
        <v>16.606110026287801</v>
      </c>
      <c r="AA23" s="68"/>
      <c r="AB23" s="68"/>
      <c r="AC23" s="68"/>
      <c r="AD23" s="68"/>
      <c r="AE23" s="70">
        <v>763.43093216815919</v>
      </c>
      <c r="AF23" s="84">
        <v>317600</v>
      </c>
      <c r="AG23">
        <f t="shared" si="0"/>
        <v>2.403749786423675</v>
      </c>
    </row>
    <row r="24" spans="1:33" x14ac:dyDescent="0.3">
      <c r="A24" s="18"/>
      <c r="B24" s="60" t="s">
        <v>34</v>
      </c>
      <c r="C24" s="19">
        <v>83.972490930347817</v>
      </c>
      <c r="D24" s="3">
        <v>206.93540117625221</v>
      </c>
      <c r="E24" s="3">
        <v>0.54237042232188648</v>
      </c>
      <c r="F24" s="3">
        <v>1.0557062427448565</v>
      </c>
      <c r="G24" s="3">
        <v>0.50815066160017353</v>
      </c>
      <c r="H24" s="65">
        <v>293.0141194332669</v>
      </c>
      <c r="I24" s="3">
        <v>59.873330186943257</v>
      </c>
      <c r="J24" s="3">
        <v>36.344121212800424</v>
      </c>
      <c r="K24" s="3">
        <v>65.73718479764571</v>
      </c>
      <c r="L24" s="3">
        <v>0.75106835294734697</v>
      </c>
      <c r="M24" s="20">
        <v>13.839583730185474</v>
      </c>
      <c r="N24" s="20">
        <v>1.0545082623631783</v>
      </c>
      <c r="O24" s="65">
        <v>117.72646635594212</v>
      </c>
      <c r="P24" s="20">
        <v>0</v>
      </c>
      <c r="Q24" s="20">
        <v>0.59626621645962052</v>
      </c>
      <c r="R24" s="20">
        <v>2.1461377820584895</v>
      </c>
      <c r="S24" s="20">
        <v>22.604749100394613</v>
      </c>
      <c r="T24" s="20">
        <v>125.58780060389796</v>
      </c>
      <c r="U24" s="21">
        <v>0.92445987374821814</v>
      </c>
      <c r="V24" s="66">
        <v>151.85941357655889</v>
      </c>
      <c r="W24" s="20">
        <v>0.13549177062000003</v>
      </c>
      <c r="X24" s="20">
        <v>7.8030006840399979</v>
      </c>
      <c r="Y24" s="20">
        <v>0</v>
      </c>
      <c r="Z24" s="66">
        <v>7.9384924546599978</v>
      </c>
      <c r="AA24" s="68"/>
      <c r="AB24" s="68"/>
      <c r="AC24" s="68"/>
      <c r="AD24" s="68"/>
      <c r="AE24" s="70">
        <v>570.53849182042791</v>
      </c>
      <c r="AF24" s="84">
        <v>300600</v>
      </c>
      <c r="AG24">
        <f t="shared" si="0"/>
        <v>1.8979989747851893</v>
      </c>
    </row>
    <row r="25" spans="1:33" x14ac:dyDescent="0.3">
      <c r="A25" s="18"/>
      <c r="B25" s="60" t="s">
        <v>35</v>
      </c>
      <c r="C25" s="19">
        <v>63.956179453760171</v>
      </c>
      <c r="D25" s="3">
        <v>168.79206046753342</v>
      </c>
      <c r="E25" s="3">
        <v>0.56713957281485827</v>
      </c>
      <c r="F25" s="3">
        <v>1.1357647480502029</v>
      </c>
      <c r="G25" s="3">
        <v>0.53135729463439385</v>
      </c>
      <c r="H25" s="65">
        <v>234.98250153679305</v>
      </c>
      <c r="I25" s="3">
        <v>95.678492116487661</v>
      </c>
      <c r="J25" s="3">
        <v>83.542239550432555</v>
      </c>
      <c r="K25" s="3">
        <v>51.368942663253122</v>
      </c>
      <c r="L25" s="3">
        <v>0.52815691491909744</v>
      </c>
      <c r="M25" s="20">
        <v>21.223689378291656</v>
      </c>
      <c r="N25" s="20">
        <v>1.5654359667016413</v>
      </c>
      <c r="O25" s="65">
        <v>158.22846447359805</v>
      </c>
      <c r="P25" s="20">
        <v>0</v>
      </c>
      <c r="Q25" s="20">
        <v>0</v>
      </c>
      <c r="R25" s="20">
        <v>0.70814051038548886</v>
      </c>
      <c r="S25" s="20">
        <v>11.576775689853271</v>
      </c>
      <c r="T25" s="20">
        <v>124.43151867953166</v>
      </c>
      <c r="U25" s="21">
        <v>0.55947687620183939</v>
      </c>
      <c r="V25" s="66">
        <v>137.27591175597226</v>
      </c>
      <c r="W25" s="20">
        <v>0.37768341774499992</v>
      </c>
      <c r="X25" s="20">
        <v>9.3709055373030026</v>
      </c>
      <c r="Y25" s="20">
        <v>0</v>
      </c>
      <c r="Z25" s="66">
        <v>9.7485889550480032</v>
      </c>
      <c r="AA25" s="68"/>
      <c r="AB25" s="68"/>
      <c r="AC25" s="68"/>
      <c r="AD25" s="68"/>
      <c r="AE25" s="70">
        <v>540.2354667214114</v>
      </c>
      <c r="AF25" s="84">
        <v>215200</v>
      </c>
      <c r="AG25">
        <f t="shared" si="0"/>
        <v>2.5103878565121351</v>
      </c>
    </row>
    <row r="26" spans="1:33" x14ac:dyDescent="0.3">
      <c r="A26" s="18"/>
      <c r="B26" s="60" t="s">
        <v>36</v>
      </c>
      <c r="C26" s="19">
        <v>81.600535215429659</v>
      </c>
      <c r="D26" s="3">
        <v>173.97243898185837</v>
      </c>
      <c r="E26" s="3">
        <v>0.61554212881140924</v>
      </c>
      <c r="F26" s="3">
        <v>0.48484126824045259</v>
      </c>
      <c r="G26" s="3">
        <v>0.57315258699081706</v>
      </c>
      <c r="H26" s="65">
        <v>257.24651018133073</v>
      </c>
      <c r="I26" s="3">
        <v>212.92684089096906</v>
      </c>
      <c r="J26" s="3">
        <v>183.47268485302342</v>
      </c>
      <c r="K26" s="3">
        <v>198.52993870112306</v>
      </c>
      <c r="L26" s="3">
        <v>1.7986335141210554</v>
      </c>
      <c r="M26" s="20">
        <v>38.672895367501049</v>
      </c>
      <c r="N26" s="20">
        <v>24.041675548229215</v>
      </c>
      <c r="O26" s="65">
        <v>446.51582798399772</v>
      </c>
      <c r="P26" s="20">
        <v>13.189074951952625</v>
      </c>
      <c r="Q26" s="20">
        <v>2.9247423852494436</v>
      </c>
      <c r="R26" s="20">
        <v>2.1589323096400528</v>
      </c>
      <c r="S26" s="20">
        <v>28.129143598064946</v>
      </c>
      <c r="T26" s="20">
        <v>159.98524502336946</v>
      </c>
      <c r="U26" s="21">
        <v>1.3250124398806924</v>
      </c>
      <c r="V26" s="66">
        <v>207.71215070815722</v>
      </c>
      <c r="W26" s="20">
        <v>0.50802759892977001</v>
      </c>
      <c r="X26" s="20">
        <v>10.913918340576</v>
      </c>
      <c r="Y26" s="20">
        <v>0.14337071034668164</v>
      </c>
      <c r="Z26" s="66">
        <v>11.565316649852452</v>
      </c>
      <c r="AA26" s="68"/>
      <c r="AB26" s="68"/>
      <c r="AC26" s="68"/>
      <c r="AD26" s="68"/>
      <c r="AE26" s="70">
        <v>923.03980552333803</v>
      </c>
      <c r="AF26" s="84">
        <v>351100</v>
      </c>
      <c r="AG26">
        <f t="shared" si="0"/>
        <v>2.6289940345295872</v>
      </c>
    </row>
    <row r="27" spans="1:33" x14ac:dyDescent="0.3">
      <c r="A27" s="18"/>
      <c r="B27" s="60" t="s">
        <v>37</v>
      </c>
      <c r="C27" s="19">
        <v>80.820241373732472</v>
      </c>
      <c r="D27" s="3">
        <v>229.62928321165117</v>
      </c>
      <c r="E27" s="3">
        <v>0.63908609726779664</v>
      </c>
      <c r="F27" s="3">
        <v>1.2261272193413399</v>
      </c>
      <c r="G27" s="3">
        <v>0.55897275534469026</v>
      </c>
      <c r="H27" s="65">
        <v>312.87371065733748</v>
      </c>
      <c r="I27" s="3">
        <v>51.975247426980154</v>
      </c>
      <c r="J27" s="3">
        <v>39.361950201657173</v>
      </c>
      <c r="K27" s="3">
        <v>42.248821735019561</v>
      </c>
      <c r="L27" s="3">
        <v>1.7091546131749886</v>
      </c>
      <c r="M27" s="20">
        <v>24.268907911634955</v>
      </c>
      <c r="N27" s="20">
        <v>3.4466723230857972</v>
      </c>
      <c r="O27" s="65">
        <v>111.03550678457248</v>
      </c>
      <c r="P27" s="20">
        <v>0.30523350140511762</v>
      </c>
      <c r="Q27" s="20">
        <v>0</v>
      </c>
      <c r="R27" s="20">
        <v>0.66447329584545456</v>
      </c>
      <c r="S27" s="20">
        <v>11.542693907152103</v>
      </c>
      <c r="T27" s="20">
        <v>224.76499058776847</v>
      </c>
      <c r="U27" s="21">
        <v>1.0706033181708721</v>
      </c>
      <c r="V27" s="66">
        <v>238.347994610342</v>
      </c>
      <c r="W27" s="20">
        <v>0.29390377193099992</v>
      </c>
      <c r="X27" s="20">
        <v>6.3727688714860005</v>
      </c>
      <c r="Y27" s="20">
        <v>0</v>
      </c>
      <c r="Z27" s="66">
        <v>6.6666726434170007</v>
      </c>
      <c r="AA27" s="68"/>
      <c r="AB27" s="68"/>
      <c r="AC27" s="68"/>
      <c r="AD27" s="68"/>
      <c r="AE27" s="70">
        <v>668.9238846956689</v>
      </c>
      <c r="AF27" s="84">
        <v>310300</v>
      </c>
      <c r="AG27">
        <f t="shared" si="0"/>
        <v>2.1557327898668031</v>
      </c>
    </row>
    <row r="28" spans="1:33" x14ac:dyDescent="0.3">
      <c r="A28" s="18"/>
      <c r="B28" s="60" t="s">
        <v>93</v>
      </c>
      <c r="C28" s="19">
        <v>67.290202964320954</v>
      </c>
      <c r="D28" s="3">
        <v>185.21282118069161</v>
      </c>
      <c r="E28" s="3">
        <v>0.40076281833501182</v>
      </c>
      <c r="F28" s="3">
        <v>1.658575452215878</v>
      </c>
      <c r="G28" s="3">
        <v>0.37547237201943517</v>
      </c>
      <c r="H28" s="65">
        <v>254.93783478758286</v>
      </c>
      <c r="I28" s="3">
        <v>63.612305267807656</v>
      </c>
      <c r="J28" s="3">
        <v>57.450571737234995</v>
      </c>
      <c r="K28" s="3">
        <v>48.643192182584983</v>
      </c>
      <c r="L28" s="3">
        <v>1.3477901370438063</v>
      </c>
      <c r="M28" s="20">
        <v>16.655225458171639</v>
      </c>
      <c r="N28" s="20">
        <v>2.7949022661593639</v>
      </c>
      <c r="O28" s="65">
        <v>126.89168178119479</v>
      </c>
      <c r="P28" s="20">
        <v>30.289245467233414</v>
      </c>
      <c r="Q28" s="20">
        <v>0</v>
      </c>
      <c r="R28" s="20">
        <v>0.38106975798933618</v>
      </c>
      <c r="S28" s="20">
        <v>5.4978277907881186</v>
      </c>
      <c r="T28" s="20">
        <v>124.62555241774739</v>
      </c>
      <c r="U28" s="21">
        <v>0.66390573978453815</v>
      </c>
      <c r="V28" s="66">
        <v>161.4576011735428</v>
      </c>
      <c r="W28" s="20">
        <v>0.22073364909899998</v>
      </c>
      <c r="X28" s="20">
        <v>7.0109594053790003</v>
      </c>
      <c r="Y28" s="20">
        <v>0</v>
      </c>
      <c r="Z28" s="66">
        <v>7.2316930544780007</v>
      </c>
      <c r="AA28" s="68"/>
      <c r="AB28" s="68"/>
      <c r="AC28" s="68"/>
      <c r="AD28" s="68"/>
      <c r="AE28" s="70">
        <v>550.51881079679845</v>
      </c>
      <c r="AF28" s="84">
        <v>195200</v>
      </c>
      <c r="AG28">
        <f t="shared" si="0"/>
        <v>2.8202807930163853</v>
      </c>
    </row>
    <row r="29" spans="1:33" x14ac:dyDescent="0.3">
      <c r="A29" s="18"/>
      <c r="B29" s="60" t="s">
        <v>38</v>
      </c>
      <c r="C29" s="19">
        <v>92.083352499525816</v>
      </c>
      <c r="D29" s="3">
        <v>163.28314764983284</v>
      </c>
      <c r="E29" s="3">
        <v>0.2826706541107134</v>
      </c>
      <c r="F29" s="3">
        <v>2.1633222573548143</v>
      </c>
      <c r="G29" s="3">
        <v>0.264836502995073</v>
      </c>
      <c r="H29" s="65">
        <v>258.07732956381926</v>
      </c>
      <c r="I29" s="3">
        <v>190.48724198035018</v>
      </c>
      <c r="J29" s="3">
        <v>165.77967836853995</v>
      </c>
      <c r="K29" s="3">
        <v>167.29449534371349</v>
      </c>
      <c r="L29" s="3">
        <v>1.5186132785379227</v>
      </c>
      <c r="M29" s="20">
        <v>34.683457681390756</v>
      </c>
      <c r="N29" s="20">
        <v>2.3261689514981088</v>
      </c>
      <c r="O29" s="65">
        <v>371.60241362368026</v>
      </c>
      <c r="P29" s="20">
        <v>1.1008410557734634</v>
      </c>
      <c r="Q29" s="20">
        <v>4.383737221205295</v>
      </c>
      <c r="R29" s="20">
        <v>0.99143976873601292</v>
      </c>
      <c r="S29" s="20">
        <v>23.365997128322284</v>
      </c>
      <c r="T29" s="20">
        <v>121.70367939662799</v>
      </c>
      <c r="U29" s="21">
        <v>1.3415664834879566</v>
      </c>
      <c r="V29" s="66">
        <v>152.88726105415299</v>
      </c>
      <c r="W29" s="20">
        <v>0.40067660809595995</v>
      </c>
      <c r="X29" s="20">
        <v>16.433420980535001</v>
      </c>
      <c r="Y29" s="20">
        <v>0</v>
      </c>
      <c r="Z29" s="66">
        <v>16.834097588630961</v>
      </c>
      <c r="AA29" s="68"/>
      <c r="AB29" s="68"/>
      <c r="AC29" s="68"/>
      <c r="AD29" s="68"/>
      <c r="AE29" s="70">
        <v>799.40110183028344</v>
      </c>
      <c r="AF29" s="84">
        <v>307700</v>
      </c>
      <c r="AG29">
        <f t="shared" si="0"/>
        <v>2.5979886312326403</v>
      </c>
    </row>
    <row r="30" spans="1:33" x14ac:dyDescent="0.3">
      <c r="A30" s="18"/>
      <c r="B30" s="60" t="s">
        <v>39</v>
      </c>
      <c r="C30" s="19">
        <v>64.699764184671821</v>
      </c>
      <c r="D30" s="3">
        <v>160.87296611708226</v>
      </c>
      <c r="E30" s="3">
        <v>0.4381111926133337</v>
      </c>
      <c r="F30" s="3">
        <v>1.3170346748418336</v>
      </c>
      <c r="G30" s="3">
        <v>0.41046469550788806</v>
      </c>
      <c r="H30" s="65">
        <v>227.73834086471712</v>
      </c>
      <c r="I30" s="3">
        <v>75.424248842136606</v>
      </c>
      <c r="J30" s="3">
        <v>71.177737515346934</v>
      </c>
      <c r="K30" s="3">
        <v>49.044757295140315</v>
      </c>
      <c r="L30" s="3">
        <v>2.6351015060649376</v>
      </c>
      <c r="M30" s="20">
        <v>17.329994813452753</v>
      </c>
      <c r="N30" s="20">
        <v>5.5009599949974248</v>
      </c>
      <c r="O30" s="65">
        <v>145.68855112500236</v>
      </c>
      <c r="P30" s="20">
        <v>6.0942310057785561E-2</v>
      </c>
      <c r="Q30" s="20">
        <v>0</v>
      </c>
      <c r="R30" s="20">
        <v>0.13347960163581379</v>
      </c>
      <c r="S30" s="20">
        <v>3.7647844785986506</v>
      </c>
      <c r="T30" s="20">
        <v>99.051608186415834</v>
      </c>
      <c r="U30" s="21">
        <v>0.48172684819102279</v>
      </c>
      <c r="V30" s="66">
        <v>103.4925414248991</v>
      </c>
      <c r="W30" s="20">
        <v>0.25273015076600008</v>
      </c>
      <c r="X30" s="20">
        <v>5.5350661387310005</v>
      </c>
      <c r="Y30" s="20">
        <v>0</v>
      </c>
      <c r="Z30" s="66">
        <v>5.7877962894970008</v>
      </c>
      <c r="AA30" s="68"/>
      <c r="AB30" s="68"/>
      <c r="AC30" s="68"/>
      <c r="AD30" s="68"/>
      <c r="AE30" s="70">
        <v>482.7072297041156</v>
      </c>
      <c r="AF30" s="84">
        <v>209600</v>
      </c>
      <c r="AG30">
        <f t="shared" si="0"/>
        <v>2.3029925081303224</v>
      </c>
    </row>
    <row r="31" spans="1:33" x14ac:dyDescent="0.3">
      <c r="A31" s="18"/>
      <c r="B31" s="60" t="s">
        <v>40</v>
      </c>
      <c r="C31" s="19">
        <v>92.638158194420456</v>
      </c>
      <c r="D31" s="3">
        <v>111.8023620247846</v>
      </c>
      <c r="E31" s="3">
        <v>0.13097702523015309</v>
      </c>
      <c r="F31" s="3">
        <v>1.1799562102643135</v>
      </c>
      <c r="G31" s="3">
        <v>0.12271411104004215</v>
      </c>
      <c r="H31" s="65">
        <v>205.87416756573955</v>
      </c>
      <c r="I31" s="3">
        <v>452.00583452794007</v>
      </c>
      <c r="J31" s="3">
        <v>425.95290295863913</v>
      </c>
      <c r="K31" s="3">
        <v>149.40818874310622</v>
      </c>
      <c r="L31" s="3">
        <v>1.2745795767437484</v>
      </c>
      <c r="M31" s="20">
        <v>31.407689004575268</v>
      </c>
      <c r="N31" s="20">
        <v>1.6567415757973347</v>
      </c>
      <c r="O31" s="65">
        <v>609.70010185886179</v>
      </c>
      <c r="P31" s="20">
        <v>7.994304195324835</v>
      </c>
      <c r="Q31" s="20">
        <v>9.1757648289219329</v>
      </c>
      <c r="R31" s="20">
        <v>6.9723785221809206E-2</v>
      </c>
      <c r="S31" s="20">
        <v>24.680461619134185</v>
      </c>
      <c r="T31" s="20">
        <v>137.76108758764863</v>
      </c>
      <c r="U31" s="21">
        <v>1.3724699501667541</v>
      </c>
      <c r="V31" s="66">
        <v>181.05381196641815</v>
      </c>
      <c r="W31" s="20">
        <v>0.88554037525099993</v>
      </c>
      <c r="X31" s="20">
        <v>21.562895699260999</v>
      </c>
      <c r="Y31" s="20">
        <v>0</v>
      </c>
      <c r="Z31" s="66">
        <v>22.448436074511999</v>
      </c>
      <c r="AA31" s="68"/>
      <c r="AB31" s="68"/>
      <c r="AC31" s="68"/>
      <c r="AD31" s="68"/>
      <c r="AE31" s="70">
        <v>1019.0765174655314</v>
      </c>
      <c r="AF31" s="84">
        <v>310300</v>
      </c>
      <c r="AG31">
        <f t="shared" si="0"/>
        <v>3.28416538016607</v>
      </c>
    </row>
    <row r="32" spans="1:33" x14ac:dyDescent="0.3">
      <c r="A32" s="18"/>
      <c r="B32" s="60" t="s">
        <v>41</v>
      </c>
      <c r="C32" s="19">
        <v>70.062887082613628</v>
      </c>
      <c r="D32" s="3">
        <v>185.67964775676842</v>
      </c>
      <c r="E32" s="3">
        <v>0.65635150025162681</v>
      </c>
      <c r="F32" s="3">
        <v>0.76258819374642828</v>
      </c>
      <c r="G32" s="3">
        <v>0.54863371236050129</v>
      </c>
      <c r="H32" s="65">
        <v>257.71010824574063</v>
      </c>
      <c r="I32" s="3">
        <v>67.285705695609394</v>
      </c>
      <c r="J32" s="3">
        <v>60.319858254471775</v>
      </c>
      <c r="K32" s="3">
        <v>53.677504580271219</v>
      </c>
      <c r="L32" s="3">
        <v>1.2332488704716378</v>
      </c>
      <c r="M32" s="20">
        <v>21.061053133649786</v>
      </c>
      <c r="N32" s="20">
        <v>2.1901395395719754</v>
      </c>
      <c r="O32" s="65">
        <v>138.48180437843641</v>
      </c>
      <c r="P32" s="20">
        <v>0.24234248738248626</v>
      </c>
      <c r="Q32" s="20">
        <v>0</v>
      </c>
      <c r="R32" s="20">
        <v>1.2005847571454291</v>
      </c>
      <c r="S32" s="20">
        <v>5.9242796426900535</v>
      </c>
      <c r="T32" s="20">
        <v>146.96448097079426</v>
      </c>
      <c r="U32" s="21">
        <v>1.0415677984475695</v>
      </c>
      <c r="V32" s="66">
        <v>155.3732556564598</v>
      </c>
      <c r="W32" s="20">
        <v>0.58728927218500004</v>
      </c>
      <c r="X32" s="20">
        <v>7.1824598345519988</v>
      </c>
      <c r="Y32" s="20">
        <v>0</v>
      </c>
      <c r="Z32" s="66">
        <v>7.7697491067369988</v>
      </c>
      <c r="AA32" s="68"/>
      <c r="AB32" s="68"/>
      <c r="AC32" s="68"/>
      <c r="AD32" s="68"/>
      <c r="AE32" s="70">
        <v>559.33491738737382</v>
      </c>
      <c r="AF32" s="84">
        <v>278400</v>
      </c>
      <c r="AG32">
        <f t="shared" si="0"/>
        <v>2.0091053067075211</v>
      </c>
    </row>
    <row r="33" spans="1:33" x14ac:dyDescent="0.3">
      <c r="A33" s="18"/>
      <c r="B33" s="60" t="s">
        <v>42</v>
      </c>
      <c r="C33" s="19">
        <v>103.82343808028371</v>
      </c>
      <c r="D33" s="3">
        <v>237.5334258786749</v>
      </c>
      <c r="E33" s="3">
        <v>0.4350108491673409</v>
      </c>
      <c r="F33" s="3">
        <v>1.4564565476313636</v>
      </c>
      <c r="G33" s="3">
        <v>0.40756676953145909</v>
      </c>
      <c r="H33" s="65">
        <v>343.65589812528879</v>
      </c>
      <c r="I33" s="3">
        <v>105.53147180748638</v>
      </c>
      <c r="J33" s="3">
        <v>79.958033863736645</v>
      </c>
      <c r="K33" s="3">
        <v>115.43317411850896</v>
      </c>
      <c r="L33" s="3">
        <v>0.86671920539953873</v>
      </c>
      <c r="M33" s="20">
        <v>22.298964014229551</v>
      </c>
      <c r="N33" s="20">
        <v>1.4127526400808605</v>
      </c>
      <c r="O33" s="65">
        <v>219.96964384195553</v>
      </c>
      <c r="P33" s="20">
        <v>3.794996005304192</v>
      </c>
      <c r="Q33" s="20">
        <v>3.8659371107862984E-3</v>
      </c>
      <c r="R33" s="20">
        <v>2.1389396559329059</v>
      </c>
      <c r="S33" s="20">
        <v>24.651300710956377</v>
      </c>
      <c r="T33" s="20">
        <v>146.52630666802619</v>
      </c>
      <c r="U33" s="21">
        <v>0.92213723279336612</v>
      </c>
      <c r="V33" s="66">
        <v>178.03754621012382</v>
      </c>
      <c r="W33" s="20">
        <v>0.29129991083800005</v>
      </c>
      <c r="X33" s="20">
        <v>24.377071120743999</v>
      </c>
      <c r="Y33" s="20">
        <v>0</v>
      </c>
      <c r="Z33" s="66">
        <v>24.668371031581998</v>
      </c>
      <c r="AA33" s="68"/>
      <c r="AB33" s="68"/>
      <c r="AC33" s="68"/>
      <c r="AD33" s="68"/>
      <c r="AE33" s="70">
        <v>766.33145920895004</v>
      </c>
      <c r="AF33" s="84">
        <v>327500</v>
      </c>
      <c r="AG33">
        <f t="shared" si="0"/>
        <v>2.3399433868975574</v>
      </c>
    </row>
    <row r="34" spans="1:33" x14ac:dyDescent="0.3">
      <c r="A34" s="18"/>
      <c r="B34" s="60" t="s">
        <v>43</v>
      </c>
      <c r="C34" s="19">
        <v>101.63943679233384</v>
      </c>
      <c r="D34" s="3">
        <v>156.10985010773831</v>
      </c>
      <c r="E34" s="3">
        <v>9.8776840238865946E-2</v>
      </c>
      <c r="F34" s="3">
        <v>3.0668959912347695</v>
      </c>
      <c r="G34" s="3">
        <v>9.254567230074684E-2</v>
      </c>
      <c r="H34" s="65">
        <v>261.00750540384655</v>
      </c>
      <c r="I34" s="3">
        <v>613.77186173686721</v>
      </c>
      <c r="J34" s="3">
        <v>577.69340789581634</v>
      </c>
      <c r="K34" s="3">
        <v>424.82401549701223</v>
      </c>
      <c r="L34" s="3">
        <v>3.1765573767112047</v>
      </c>
      <c r="M34" s="20">
        <v>118.18571285090749</v>
      </c>
      <c r="N34" s="20">
        <v>1.7682577085934534</v>
      </c>
      <c r="O34" s="65">
        <v>1125.6479513290406</v>
      </c>
      <c r="P34" s="20">
        <v>0</v>
      </c>
      <c r="Q34" s="20">
        <v>3.7075347801207759</v>
      </c>
      <c r="R34" s="20">
        <v>1.3522127240611115</v>
      </c>
      <c r="S34" s="20">
        <v>33.158261570799702</v>
      </c>
      <c r="T34" s="20">
        <v>172.07690134758613</v>
      </c>
      <c r="U34" s="21">
        <v>2.9201922702511176</v>
      </c>
      <c r="V34" s="66">
        <v>213.21510269281882</v>
      </c>
      <c r="W34" s="20">
        <v>1.4003659406269997</v>
      </c>
      <c r="X34" s="20">
        <v>45.164468687869999</v>
      </c>
      <c r="Y34" s="20">
        <v>0</v>
      </c>
      <c r="Z34" s="66">
        <v>46.564834628496996</v>
      </c>
      <c r="AA34" s="68"/>
      <c r="AB34" s="68"/>
      <c r="AC34" s="68"/>
      <c r="AD34" s="68"/>
      <c r="AE34" s="70">
        <v>1646.435394054203</v>
      </c>
      <c r="AF34" s="84">
        <v>204300</v>
      </c>
      <c r="AG34">
        <f t="shared" si="0"/>
        <v>8.0589103967410818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DF93-CEB0-432F-A669-EB2868EB69FC}">
  <dimension ref="A1:AN50"/>
  <sheetViews>
    <sheetView topLeftCell="R1" workbookViewId="0">
      <selection activeCell="X1" sqref="X1"/>
    </sheetView>
  </sheetViews>
  <sheetFormatPr defaultRowHeight="14.4" x14ac:dyDescent="0.3"/>
  <cols>
    <col min="2" max="2" width="26.109375" customWidth="1"/>
    <col min="3" max="3" width="10.33203125" customWidth="1"/>
    <col min="4" max="4" width="11.6640625" customWidth="1"/>
    <col min="5" max="5" width="10.88671875" customWidth="1"/>
    <col min="6" max="6" width="15.109375" customWidth="1"/>
    <col min="7" max="7" width="12.33203125" customWidth="1"/>
    <col min="8" max="8" width="14" customWidth="1"/>
    <col min="9" max="9" width="14.6640625" customWidth="1"/>
    <col min="10" max="10" width="13.109375" customWidth="1"/>
    <col min="11" max="11" width="13.77734375" customWidth="1"/>
    <col min="12" max="13" width="12.77734375" customWidth="1"/>
    <col min="14" max="14" width="14.6640625" customWidth="1"/>
    <col min="15" max="15" width="12" customWidth="1"/>
    <col min="16" max="16" width="13.44140625" customWidth="1"/>
    <col min="17" max="17" width="12.44140625" customWidth="1"/>
    <col min="18" max="18" width="12.88671875" customWidth="1"/>
    <col min="19" max="19" width="15.33203125" customWidth="1"/>
    <col min="20" max="20" width="15.21875" customWidth="1"/>
    <col min="22" max="22" width="10.88671875" customWidth="1"/>
    <col min="23" max="23" width="24" customWidth="1"/>
    <col min="24" max="24" width="24.21875" customWidth="1"/>
    <col min="25" max="25" width="11" customWidth="1"/>
    <col min="26" max="26" width="10.77734375" customWidth="1"/>
    <col min="27" max="27" width="10.6640625" customWidth="1"/>
    <col min="28" max="28" width="11.44140625" customWidth="1"/>
    <col min="29" max="29" width="12.6640625" customWidth="1"/>
    <col min="31" max="31" width="11" customWidth="1"/>
  </cols>
  <sheetData>
    <row r="1" spans="1:40" ht="29.4" thickBot="1" x14ac:dyDescent="0.35">
      <c r="A1" s="18"/>
      <c r="B1" s="88" t="s">
        <v>92</v>
      </c>
      <c r="C1" s="25"/>
      <c r="D1" s="26"/>
      <c r="E1" s="27" t="s">
        <v>52</v>
      </c>
      <c r="F1" s="27" t="s">
        <v>53</v>
      </c>
      <c r="G1" s="86"/>
      <c r="H1" s="87"/>
      <c r="I1" s="26"/>
      <c r="J1" s="27" t="s">
        <v>52</v>
      </c>
      <c r="K1" s="27" t="s">
        <v>53</v>
      </c>
      <c r="L1" s="86"/>
      <c r="M1" s="87"/>
      <c r="N1" s="82" t="s">
        <v>5</v>
      </c>
      <c r="O1" s="26" t="s">
        <v>54</v>
      </c>
      <c r="P1" s="28" t="s">
        <v>55</v>
      </c>
      <c r="Q1" s="29" t="s">
        <v>54</v>
      </c>
      <c r="R1" s="28" t="s">
        <v>55</v>
      </c>
      <c r="S1" s="29" t="s">
        <v>54</v>
      </c>
      <c r="T1" s="27" t="s">
        <v>55</v>
      </c>
      <c r="U1" s="29" t="s">
        <v>54</v>
      </c>
      <c r="V1" s="27" t="s">
        <v>55</v>
      </c>
      <c r="W1" s="94" t="s">
        <v>90</v>
      </c>
      <c r="X1" s="94" t="s">
        <v>95</v>
      </c>
      <c r="Y1" s="38"/>
      <c r="Z1" s="30"/>
      <c r="AA1" s="23"/>
      <c r="AB1" s="23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x14ac:dyDescent="0.3">
      <c r="A2" s="18"/>
      <c r="B2" s="31" t="s">
        <v>13</v>
      </c>
      <c r="C2" s="71" t="s">
        <v>56</v>
      </c>
      <c r="D2" s="32">
        <v>125511.00818224862</v>
      </c>
      <c r="E2" s="72">
        <v>2637.9716502360866</v>
      </c>
      <c r="F2" s="72">
        <v>11070.308303355436</v>
      </c>
      <c r="G2" s="72">
        <v>0</v>
      </c>
      <c r="H2" s="33">
        <v>2475.8203970684581</v>
      </c>
      <c r="I2" s="32">
        <v>512946449.20982349</v>
      </c>
      <c r="J2" s="73">
        <v>10272875.307590198</v>
      </c>
      <c r="K2" s="73">
        <v>46941900.111756086</v>
      </c>
      <c r="L2" s="34">
        <v>0</v>
      </c>
      <c r="M2" s="35">
        <v>3915136.1650165562</v>
      </c>
      <c r="N2" s="56">
        <v>574076360.79418623</v>
      </c>
      <c r="O2" s="36">
        <v>284.85611568500013</v>
      </c>
      <c r="P2" s="34">
        <v>2933.605037060001</v>
      </c>
      <c r="Q2" s="37">
        <v>0.16693344700000001</v>
      </c>
      <c r="R2" s="37">
        <v>2.0172027999999998E-2</v>
      </c>
      <c r="S2" s="37">
        <v>4.1481509399999991E-2</v>
      </c>
      <c r="T2" s="37">
        <v>0.16693344700000001</v>
      </c>
      <c r="U2" s="73">
        <v>301.39094166120009</v>
      </c>
      <c r="V2" s="83">
        <v>2983.8555049660008</v>
      </c>
      <c r="W2" s="84">
        <v>218900</v>
      </c>
      <c r="X2" s="85">
        <v>2622.5507573969221</v>
      </c>
      <c r="Y2" s="38"/>
      <c r="Z2" s="30"/>
      <c r="AA2" s="23"/>
      <c r="AB2" s="23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x14ac:dyDescent="0.3">
      <c r="A3" s="18"/>
      <c r="B3" s="31" t="s">
        <v>14</v>
      </c>
      <c r="C3" s="71" t="s">
        <v>57</v>
      </c>
      <c r="D3" s="32">
        <v>348251.18961983884</v>
      </c>
      <c r="E3" s="72">
        <v>9827.0171944906851</v>
      </c>
      <c r="F3" s="72">
        <v>23364.796414792603</v>
      </c>
      <c r="G3" s="72">
        <v>116.19416904860768</v>
      </c>
      <c r="H3" s="33">
        <v>0</v>
      </c>
      <c r="I3" s="32">
        <v>1433628482.5597782</v>
      </c>
      <c r="J3" s="73">
        <v>38268691.12695466</v>
      </c>
      <c r="K3" s="73">
        <v>99074742.037877321</v>
      </c>
      <c r="L3" s="72">
        <v>473086.03001758811</v>
      </c>
      <c r="M3" s="35">
        <v>0</v>
      </c>
      <c r="N3" s="56">
        <v>1571445001.7546277</v>
      </c>
      <c r="O3" s="39">
        <v>517.61175640900001</v>
      </c>
      <c r="P3" s="72">
        <v>15653.912241787997</v>
      </c>
      <c r="Q3" s="74">
        <v>0.30333438899999987</v>
      </c>
      <c r="R3" s="74">
        <v>0.10208335999999997</v>
      </c>
      <c r="S3" s="74">
        <v>7.5375928000000009E-2</v>
      </c>
      <c r="T3" s="74">
        <v>0.30333438899999987</v>
      </c>
      <c r="U3" s="73">
        <v>547.65714267800001</v>
      </c>
      <c r="V3" s="73">
        <v>15746.857973709997</v>
      </c>
      <c r="W3" s="84">
        <v>389300</v>
      </c>
      <c r="X3" s="85">
        <v>4036.5913222569425</v>
      </c>
      <c r="Y3" s="38"/>
      <c r="Z3" s="30"/>
      <c r="AA3" s="23"/>
      <c r="AB3" s="23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x14ac:dyDescent="0.3">
      <c r="A4" s="18"/>
      <c r="B4" s="31" t="s">
        <v>15</v>
      </c>
      <c r="C4" s="71" t="s">
        <v>58</v>
      </c>
      <c r="D4" s="32">
        <v>195946.26178365279</v>
      </c>
      <c r="E4" s="72">
        <v>1207.9342679720382</v>
      </c>
      <c r="F4" s="72">
        <v>8504.1373670228386</v>
      </c>
      <c r="G4" s="72">
        <v>5115.9157985902293</v>
      </c>
      <c r="H4" s="33">
        <v>1209.9437663430149</v>
      </c>
      <c r="I4" s="32">
        <v>791954441.61605239</v>
      </c>
      <c r="J4" s="73">
        <v>4703977.0550723877</v>
      </c>
      <c r="K4" s="73">
        <v>36060456.121031411</v>
      </c>
      <c r="L4" s="72">
        <v>20846280.048301812</v>
      </c>
      <c r="M4" s="35">
        <v>1912897.4597659395</v>
      </c>
      <c r="N4" s="56">
        <v>855478052.30022395</v>
      </c>
      <c r="O4" s="39">
        <v>426.286978412</v>
      </c>
      <c r="P4" s="72">
        <v>6824.7246998630017</v>
      </c>
      <c r="Q4" s="74">
        <v>0.24981561600000002</v>
      </c>
      <c r="R4" s="74">
        <v>4.5217060000000003E-2</v>
      </c>
      <c r="S4" s="74">
        <v>6.2077246999999988E-2</v>
      </c>
      <c r="T4" s="74">
        <v>0.24981561600000002</v>
      </c>
      <c r="U4" s="73">
        <v>451.03138841800001</v>
      </c>
      <c r="V4" s="73">
        <v>6900.3001799310014</v>
      </c>
      <c r="W4" s="84">
        <v>246500</v>
      </c>
      <c r="X4" s="85">
        <v>3470.499197972511</v>
      </c>
      <c r="Y4" s="38"/>
      <c r="Z4" s="30"/>
      <c r="AA4" s="23"/>
      <c r="AB4" s="23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x14ac:dyDescent="0.3">
      <c r="A5" s="18"/>
      <c r="B5" s="31" t="s">
        <v>16</v>
      </c>
      <c r="C5" s="71" t="s">
        <v>59</v>
      </c>
      <c r="D5" s="32">
        <v>177262.34591722256</v>
      </c>
      <c r="E5" s="72">
        <v>11894.221393272554</v>
      </c>
      <c r="F5" s="72">
        <v>25572.747272521206</v>
      </c>
      <c r="G5" s="72">
        <v>195.34923452218609</v>
      </c>
      <c r="H5" s="33">
        <v>0</v>
      </c>
      <c r="I5" s="32">
        <v>735877570.78716147</v>
      </c>
      <c r="J5" s="73">
        <v>46318865.194410048</v>
      </c>
      <c r="K5" s="73">
        <v>108437210.16207099</v>
      </c>
      <c r="L5" s="72">
        <v>795739.37369420077</v>
      </c>
      <c r="M5" s="35">
        <v>0</v>
      </c>
      <c r="N5" s="56">
        <v>891429385.51733673</v>
      </c>
      <c r="O5" s="39">
        <v>868.42646517000003</v>
      </c>
      <c r="P5" s="72">
        <v>13376.53756148</v>
      </c>
      <c r="Q5" s="74">
        <v>0.50892127099999995</v>
      </c>
      <c r="R5" s="74">
        <v>8.966491800000001E-2</v>
      </c>
      <c r="S5" s="74">
        <v>0.12646270900000003</v>
      </c>
      <c r="T5" s="74">
        <v>0.50892127099999995</v>
      </c>
      <c r="U5" s="73">
        <v>918.83538422700008</v>
      </c>
      <c r="V5" s="73">
        <v>13530.437723187999</v>
      </c>
      <c r="W5" s="84">
        <v>339800</v>
      </c>
      <c r="X5" s="85">
        <v>2623.3943069962825</v>
      </c>
      <c r="Y5" s="38"/>
      <c r="Z5" s="30"/>
      <c r="AA5" s="23"/>
      <c r="AB5" s="23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x14ac:dyDescent="0.3">
      <c r="A6" s="18"/>
      <c r="B6" s="31" t="s">
        <v>17</v>
      </c>
      <c r="C6" s="71" t="s">
        <v>60</v>
      </c>
      <c r="D6" s="32">
        <v>239927.06456301297</v>
      </c>
      <c r="E6" s="72">
        <v>1471.0342288326542</v>
      </c>
      <c r="F6" s="72">
        <v>17449.234029003634</v>
      </c>
      <c r="G6" s="72">
        <v>5654.0628824635924</v>
      </c>
      <c r="H6" s="33">
        <v>0</v>
      </c>
      <c r="I6" s="32">
        <v>978078738.50973499</v>
      </c>
      <c r="J6" s="73">
        <v>5728549.5106221214</v>
      </c>
      <c r="K6" s="73">
        <v>73990730.734018728</v>
      </c>
      <c r="L6" s="72">
        <v>22968811.30303362</v>
      </c>
      <c r="M6" s="35">
        <v>0</v>
      </c>
      <c r="N6" s="56">
        <v>1080766830.0574095</v>
      </c>
      <c r="O6" s="39">
        <v>363.76163604900006</v>
      </c>
      <c r="P6" s="72">
        <v>8590.0006309679975</v>
      </c>
      <c r="Q6" s="74">
        <v>0.21317389830000003</v>
      </c>
      <c r="R6" s="74">
        <v>5.5314283000000006E-2</v>
      </c>
      <c r="S6" s="74">
        <v>5.2971818179999984E-2</v>
      </c>
      <c r="T6" s="74">
        <v>0.21317389830000003</v>
      </c>
      <c r="U6" s="73">
        <v>384.87658532414002</v>
      </c>
      <c r="V6" s="73">
        <v>8654.9093097363966</v>
      </c>
      <c r="W6" s="84">
        <v>330000</v>
      </c>
      <c r="X6" s="85">
        <v>3275.0510001739681</v>
      </c>
      <c r="Y6" s="38"/>
      <c r="Z6" s="30"/>
      <c r="AA6" s="23"/>
      <c r="AB6" s="23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x14ac:dyDescent="0.3">
      <c r="A7" s="18"/>
      <c r="B7" s="31" t="s">
        <v>18</v>
      </c>
      <c r="C7" s="71" t="s">
        <v>61</v>
      </c>
      <c r="D7" s="32">
        <v>112653.37233197225</v>
      </c>
      <c r="E7" s="72">
        <v>11810.058471007182</v>
      </c>
      <c r="F7" s="72">
        <v>27945.804445481066</v>
      </c>
      <c r="G7" s="72">
        <v>0</v>
      </c>
      <c r="H7" s="33">
        <v>0</v>
      </c>
      <c r="I7" s="32">
        <v>487118177.28433764</v>
      </c>
      <c r="J7" s="73">
        <v>45991115.19532375</v>
      </c>
      <c r="K7" s="73">
        <v>118499785.63151875</v>
      </c>
      <c r="L7" s="72">
        <v>0</v>
      </c>
      <c r="M7" s="35">
        <v>0</v>
      </c>
      <c r="N7" s="56">
        <v>651609078.11118019</v>
      </c>
      <c r="O7" s="39">
        <v>848.10098745199991</v>
      </c>
      <c r="P7" s="72">
        <v>34339.480170260002</v>
      </c>
      <c r="Q7" s="74">
        <v>0.49700996200000003</v>
      </c>
      <c r="R7" s="74">
        <v>0.21525319899999998</v>
      </c>
      <c r="S7" s="74">
        <v>0.12350283299999999</v>
      </c>
      <c r="T7" s="74">
        <v>0.49700996200000003</v>
      </c>
      <c r="U7" s="73">
        <v>897.3300807359999</v>
      </c>
      <c r="V7" s="73">
        <v>34492.970468911008</v>
      </c>
      <c r="W7" s="84">
        <v>210100</v>
      </c>
      <c r="X7" s="85">
        <v>3101.4235036229425</v>
      </c>
      <c r="Y7" s="38"/>
      <c r="Z7" s="30"/>
      <c r="AA7" s="23"/>
      <c r="AB7" s="23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x14ac:dyDescent="0.3">
      <c r="A8" s="18"/>
      <c r="B8" s="31" t="s">
        <v>19</v>
      </c>
      <c r="C8" s="71" t="s">
        <v>62</v>
      </c>
      <c r="D8" s="32">
        <v>29343.227831302625</v>
      </c>
      <c r="E8" s="72">
        <v>8.4176822435236449</v>
      </c>
      <c r="F8" s="72">
        <v>9137.9320795892927</v>
      </c>
      <c r="G8" s="72">
        <v>180.18074143553264</v>
      </c>
      <c r="H8" s="33">
        <v>5293.9180630105893</v>
      </c>
      <c r="I8" s="32">
        <v>129029975.82681994</v>
      </c>
      <c r="J8" s="73">
        <v>32780.412958151195</v>
      </c>
      <c r="K8" s="73">
        <v>38747962.852857105</v>
      </c>
      <c r="L8" s="72">
        <v>733989.35372931743</v>
      </c>
      <c r="M8" s="35">
        <v>8372526.9881660491</v>
      </c>
      <c r="N8" s="56">
        <v>176917235.43453056</v>
      </c>
      <c r="O8" s="39">
        <v>393.89249679099999</v>
      </c>
      <c r="P8" s="72">
        <v>5647.0788100999998</v>
      </c>
      <c r="Q8" s="74">
        <v>0.23083161699999999</v>
      </c>
      <c r="R8" s="74">
        <v>3.2531058000000002E-2</v>
      </c>
      <c r="S8" s="74">
        <v>5.7359679999999996E-2</v>
      </c>
      <c r="T8" s="74">
        <v>0.24602245199999997</v>
      </c>
      <c r="U8" s="73">
        <v>416.75647185599996</v>
      </c>
      <c r="V8" s="73">
        <v>5721.2067772459995</v>
      </c>
      <c r="W8" s="84">
        <v>8600</v>
      </c>
      <c r="X8" s="85">
        <v>20571.771562154714</v>
      </c>
      <c r="Y8" s="38"/>
      <c r="Z8" s="30"/>
      <c r="AA8" s="23"/>
      <c r="AB8" s="23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x14ac:dyDescent="0.3">
      <c r="A9" s="18"/>
      <c r="B9" s="31" t="s">
        <v>20</v>
      </c>
      <c r="C9" s="71" t="s">
        <v>63</v>
      </c>
      <c r="D9" s="32">
        <v>217417.40876015963</v>
      </c>
      <c r="E9" s="72">
        <v>3785.1749739396391</v>
      </c>
      <c r="F9" s="72">
        <v>24391.395491126252</v>
      </c>
      <c r="G9" s="72">
        <v>261.47969645835394</v>
      </c>
      <c r="H9" s="33">
        <v>0</v>
      </c>
      <c r="I9" s="32">
        <v>887820715.89006293</v>
      </c>
      <c r="J9" s="73">
        <v>14740351.937145682</v>
      </c>
      <c r="K9" s="73">
        <v>103427873.85458273</v>
      </c>
      <c r="L9" s="72">
        <v>1065531.9737249385</v>
      </c>
      <c r="M9" s="35">
        <v>0</v>
      </c>
      <c r="N9" s="56">
        <v>1007054473.6555163</v>
      </c>
      <c r="O9" s="39">
        <v>221.00977825899997</v>
      </c>
      <c r="P9" s="72">
        <v>21939.66293477601</v>
      </c>
      <c r="Q9" s="74">
        <v>0.12951780499999999</v>
      </c>
      <c r="R9" s="74">
        <v>0.14391316100000001</v>
      </c>
      <c r="S9" s="74">
        <v>3.218394799999999E-2</v>
      </c>
      <c r="T9" s="74">
        <v>0.95016854300000031</v>
      </c>
      <c r="U9" s="73">
        <v>233.83853988799999</v>
      </c>
      <c r="V9" s="73">
        <v>22226.410989615008</v>
      </c>
      <c r="W9" s="84">
        <v>390800</v>
      </c>
      <c r="X9" s="85">
        <v>2576.9049991185166</v>
      </c>
      <c r="Y9" s="38"/>
      <c r="Z9" s="30"/>
      <c r="AA9" s="23"/>
      <c r="AB9" s="23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x14ac:dyDescent="0.3">
      <c r="A10" s="18"/>
      <c r="B10" s="31" t="s">
        <v>21</v>
      </c>
      <c r="C10" s="71" t="s">
        <v>64</v>
      </c>
      <c r="D10" s="32">
        <v>247766.29252875195</v>
      </c>
      <c r="E10" s="72">
        <v>4374.4851780736062</v>
      </c>
      <c r="F10" s="72">
        <v>24110.829821389005</v>
      </c>
      <c r="G10" s="72">
        <v>0</v>
      </c>
      <c r="H10" s="33">
        <v>0</v>
      </c>
      <c r="I10" s="32">
        <v>1023783541.0552171</v>
      </c>
      <c r="J10" s="73">
        <v>17035262.970028456</v>
      </c>
      <c r="K10" s="73">
        <v>102238179.28757584</v>
      </c>
      <c r="L10" s="72">
        <v>0</v>
      </c>
      <c r="M10" s="35">
        <v>0</v>
      </c>
      <c r="N10" s="56">
        <v>1143056983.3128214</v>
      </c>
      <c r="O10" s="39">
        <v>958.43967419299997</v>
      </c>
      <c r="P10" s="72">
        <v>20787.133952548007</v>
      </c>
      <c r="Q10" s="74">
        <v>0.56167141299999979</v>
      </c>
      <c r="R10" s="74">
        <v>0.13659921899999999</v>
      </c>
      <c r="S10" s="74">
        <v>0.139570685</v>
      </c>
      <c r="T10" s="74">
        <v>0.90179312</v>
      </c>
      <c r="U10" s="73">
        <v>1014.073523648</v>
      </c>
      <c r="V10" s="73">
        <v>21059.28328278301</v>
      </c>
      <c r="W10" s="84">
        <v>367100</v>
      </c>
      <c r="X10" s="85">
        <v>3113.7482520098647</v>
      </c>
      <c r="Y10" s="38"/>
      <c r="Z10" s="30"/>
      <c r="AA10" s="23"/>
      <c r="AB10" s="23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x14ac:dyDescent="0.3">
      <c r="A11" s="18"/>
      <c r="B11" s="31" t="s">
        <v>22</v>
      </c>
      <c r="C11" s="71" t="s">
        <v>65</v>
      </c>
      <c r="D11" s="32">
        <v>386017.67099540477</v>
      </c>
      <c r="E11" s="72">
        <v>1226.3158986210296</v>
      </c>
      <c r="F11" s="72">
        <v>6961.2506923790224</v>
      </c>
      <c r="G11" s="72">
        <v>183.01674693743749</v>
      </c>
      <c r="H11" s="33">
        <v>0</v>
      </c>
      <c r="I11" s="32">
        <v>1511603136.1504111</v>
      </c>
      <c r="J11" s="73">
        <v>4775559.4011489144</v>
      </c>
      <c r="K11" s="73">
        <v>29518087.997197203</v>
      </c>
      <c r="L11" s="72">
        <v>743182.11628881213</v>
      </c>
      <c r="M11" s="35">
        <v>0</v>
      </c>
      <c r="N11" s="56">
        <v>1546639965.665046</v>
      </c>
      <c r="O11" s="39">
        <v>773.87996451999993</v>
      </c>
      <c r="P11" s="72">
        <v>3774.0660199530003</v>
      </c>
      <c r="Q11" s="74">
        <v>0.45351445499999976</v>
      </c>
      <c r="R11" s="74">
        <v>2.4787616999999994E-2</v>
      </c>
      <c r="S11" s="74">
        <v>0.11269446999999999</v>
      </c>
      <c r="T11" s="74">
        <v>0.16333277099999993</v>
      </c>
      <c r="U11" s="73">
        <v>818.80077795499994</v>
      </c>
      <c r="V11" s="73">
        <v>3823.3588761360002</v>
      </c>
      <c r="W11" s="84">
        <v>330000</v>
      </c>
      <c r="X11" s="85">
        <v>4686.7877747425637</v>
      </c>
      <c r="Y11" s="38"/>
      <c r="Z11" s="30"/>
      <c r="AA11" s="23"/>
      <c r="AB11" s="23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x14ac:dyDescent="0.3">
      <c r="A12" s="18"/>
      <c r="B12" s="31" t="s">
        <v>23</v>
      </c>
      <c r="C12" s="71" t="s">
        <v>66</v>
      </c>
      <c r="D12" s="32">
        <v>211635.62345863975</v>
      </c>
      <c r="E12" s="72">
        <v>780.77509020805758</v>
      </c>
      <c r="F12" s="72">
        <v>11840.491034023349</v>
      </c>
      <c r="G12" s="72">
        <v>2717.1681733449705</v>
      </c>
      <c r="H12" s="33">
        <v>2793.5617034373076</v>
      </c>
      <c r="I12" s="32">
        <v>835976813.8615303</v>
      </c>
      <c r="J12" s="73">
        <v>3040519.8419255335</v>
      </c>
      <c r="K12" s="73">
        <v>50207738.76955153</v>
      </c>
      <c r="L12" s="72">
        <v>11070537.406119337</v>
      </c>
      <c r="M12" s="35">
        <v>4418107.2975681052</v>
      </c>
      <c r="N12" s="56">
        <v>904713717.17669475</v>
      </c>
      <c r="O12" s="39">
        <v>518.5159498910001</v>
      </c>
      <c r="P12" s="72">
        <v>7810.649008976</v>
      </c>
      <c r="Q12" s="74">
        <v>0.30386434699999998</v>
      </c>
      <c r="R12" s="74">
        <v>5.2291533999999994E-2</v>
      </c>
      <c r="S12" s="74">
        <v>7.5507749999999957E-2</v>
      </c>
      <c r="T12" s="74">
        <v>0.33903781900000007</v>
      </c>
      <c r="U12" s="73">
        <v>548.61386806600001</v>
      </c>
      <c r="V12" s="73">
        <v>7912.9895673880001</v>
      </c>
      <c r="W12" s="84">
        <v>289100</v>
      </c>
      <c r="X12" s="85">
        <v>3129.4144488989787</v>
      </c>
      <c r="Y12" s="38"/>
      <c r="Z12" s="30"/>
      <c r="AA12" s="23"/>
      <c r="AB12" s="23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x14ac:dyDescent="0.3">
      <c r="A13" s="18"/>
      <c r="B13" s="31" t="s">
        <v>24</v>
      </c>
      <c r="C13" s="71" t="s">
        <v>67</v>
      </c>
      <c r="D13" s="32">
        <v>98114.96367842656</v>
      </c>
      <c r="E13" s="72">
        <v>1684.5852391862163</v>
      </c>
      <c r="F13" s="72">
        <v>7644.0721508890238</v>
      </c>
      <c r="G13" s="72">
        <v>0</v>
      </c>
      <c r="H13" s="33">
        <v>0</v>
      </c>
      <c r="I13" s="32">
        <v>412526119.2826649</v>
      </c>
      <c r="J13" s="73">
        <v>6560166.8257572977</v>
      </c>
      <c r="K13" s="73">
        <v>32413484.92935174</v>
      </c>
      <c r="L13" s="72">
        <v>0</v>
      </c>
      <c r="M13" s="35">
        <v>0</v>
      </c>
      <c r="N13" s="56">
        <v>451499771.03777397</v>
      </c>
      <c r="O13" s="39">
        <v>384.715017149</v>
      </c>
      <c r="P13" s="72">
        <v>14776.380406049997</v>
      </c>
      <c r="Q13" s="74">
        <v>0.22545331210000003</v>
      </c>
      <c r="R13" s="74">
        <v>9.5043555999999987E-2</v>
      </c>
      <c r="S13" s="74">
        <v>5.6023310400000012E-2</v>
      </c>
      <c r="T13" s="74">
        <v>0.64073116699999999</v>
      </c>
      <c r="U13" s="73">
        <v>407.04629645070003</v>
      </c>
      <c r="V13" s="73">
        <v>14969.694382715998</v>
      </c>
      <c r="W13" s="84">
        <v>259200</v>
      </c>
      <c r="X13" s="85">
        <v>1741.8972648062268</v>
      </c>
      <c r="Y13" s="38"/>
      <c r="Z13" s="30"/>
      <c r="AA13" s="23"/>
      <c r="AB13" s="23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x14ac:dyDescent="0.3">
      <c r="A14" s="18"/>
      <c r="B14" s="31" t="s">
        <v>25</v>
      </c>
      <c r="C14" s="71" t="s">
        <v>68</v>
      </c>
      <c r="D14" s="32">
        <v>96017.344588345499</v>
      </c>
      <c r="E14" s="72">
        <v>1675.5769392978566</v>
      </c>
      <c r="F14" s="72">
        <v>11527.646287804995</v>
      </c>
      <c r="G14" s="72">
        <v>6518.674761433801</v>
      </c>
      <c r="H14" s="33">
        <v>4.3852011099091719</v>
      </c>
      <c r="I14" s="32">
        <v>398275525.47322619</v>
      </c>
      <c r="J14" s="73">
        <v>6525086.4102880051</v>
      </c>
      <c r="K14" s="73">
        <v>48881169.858817808</v>
      </c>
      <c r="L14" s="72">
        <v>26523045.299394246</v>
      </c>
      <c r="M14" s="35">
        <v>6932.7495505169936</v>
      </c>
      <c r="N14" s="56">
        <v>480211759.79127675</v>
      </c>
      <c r="O14" s="39">
        <v>241.71940645299998</v>
      </c>
      <c r="P14" s="72">
        <v>11781.802983015999</v>
      </c>
      <c r="Q14" s="74">
        <v>0.14165402054800003</v>
      </c>
      <c r="R14" s="74">
        <v>7.2632479E-2</v>
      </c>
      <c r="S14" s="74">
        <v>3.5199840236E-2</v>
      </c>
      <c r="T14" s="74">
        <v>0.512052269</v>
      </c>
      <c r="U14" s="73">
        <v>255.75030935702796</v>
      </c>
      <c r="V14" s="73">
        <v>11936.210371153</v>
      </c>
      <c r="W14" s="84">
        <v>183200</v>
      </c>
      <c r="X14" s="85">
        <v>2621.243230301729</v>
      </c>
      <c r="Y14" s="38"/>
      <c r="Z14" s="30"/>
      <c r="AA14" s="23"/>
      <c r="AB14" s="23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x14ac:dyDescent="0.3">
      <c r="A15" s="18"/>
      <c r="B15" s="31" t="s">
        <v>26</v>
      </c>
      <c r="C15" s="71" t="s">
        <v>69</v>
      </c>
      <c r="D15" s="32">
        <v>108062.44455817269</v>
      </c>
      <c r="E15" s="72">
        <v>1992.6658361483451</v>
      </c>
      <c r="F15" s="72">
        <v>15283.148921206393</v>
      </c>
      <c r="G15" s="72">
        <v>0</v>
      </c>
      <c r="H15" s="33">
        <v>0</v>
      </c>
      <c r="I15" s="32">
        <v>458833324.10474789</v>
      </c>
      <c r="J15" s="73">
        <v>7759904.3426470868</v>
      </c>
      <c r="K15" s="73">
        <v>64805787.733564004</v>
      </c>
      <c r="L15" s="72">
        <v>0</v>
      </c>
      <c r="M15" s="35">
        <v>0</v>
      </c>
      <c r="N15" s="56">
        <v>531399016.18095899</v>
      </c>
      <c r="O15" s="39">
        <v>463.11398539599998</v>
      </c>
      <c r="P15" s="72">
        <v>7668.7877997769992</v>
      </c>
      <c r="Q15" s="74">
        <v>0.2713972870000001</v>
      </c>
      <c r="R15" s="74">
        <v>4.9709957999999992E-2</v>
      </c>
      <c r="S15" s="74">
        <v>6.7439937999999991E-2</v>
      </c>
      <c r="T15" s="74">
        <v>0.33158474599999999</v>
      </c>
      <c r="U15" s="73">
        <v>489.99601909499995</v>
      </c>
      <c r="V15" s="73">
        <v>7768.8428030349987</v>
      </c>
      <c r="W15" s="84">
        <v>264200</v>
      </c>
      <c r="X15" s="85">
        <v>2011.3513102988607</v>
      </c>
      <c r="Y15" s="38"/>
      <c r="Z15" s="30"/>
      <c r="AA15" s="23"/>
      <c r="AB15" s="23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x14ac:dyDescent="0.3">
      <c r="A16" s="18"/>
      <c r="B16" s="31" t="s">
        <v>27</v>
      </c>
      <c r="C16" s="71" t="s">
        <v>70</v>
      </c>
      <c r="D16" s="32">
        <v>131529.1467066308</v>
      </c>
      <c r="E16" s="72">
        <v>4230.3045364387453</v>
      </c>
      <c r="F16" s="72">
        <v>12199.790456895085</v>
      </c>
      <c r="G16" s="72">
        <v>192.52970285018927</v>
      </c>
      <c r="H16" s="33">
        <v>0</v>
      </c>
      <c r="I16" s="32">
        <v>526878060.26532423</v>
      </c>
      <c r="J16" s="73">
        <v>16473790.009107623</v>
      </c>
      <c r="K16" s="73">
        <v>51731291.425582342</v>
      </c>
      <c r="L16" s="72">
        <v>784297.46203339007</v>
      </c>
      <c r="M16" s="35">
        <v>0</v>
      </c>
      <c r="N16" s="56">
        <v>595867439.16204751</v>
      </c>
      <c r="O16" s="39">
        <v>190.10750217599997</v>
      </c>
      <c r="P16" s="72">
        <v>8541.7699844920044</v>
      </c>
      <c r="Q16" s="74">
        <v>0.11140818499999999</v>
      </c>
      <c r="R16" s="74">
        <v>5.570915500000001E-2</v>
      </c>
      <c r="S16" s="74">
        <v>2.7683987499999996E-2</v>
      </c>
      <c r="T16" s="74">
        <v>0.36957228099999989</v>
      </c>
      <c r="U16" s="73">
        <v>201.14253507599997</v>
      </c>
      <c r="V16" s="73">
        <v>8653.295253105005</v>
      </c>
      <c r="W16" s="84">
        <v>261300</v>
      </c>
      <c r="X16" s="85">
        <v>2280.3958636128873</v>
      </c>
      <c r="Y16" s="38"/>
      <c r="Z16" s="30"/>
      <c r="AA16" s="23"/>
      <c r="AB16" s="23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x14ac:dyDescent="0.3">
      <c r="A17" s="18"/>
      <c r="B17" s="31" t="s">
        <v>28</v>
      </c>
      <c r="C17" s="71" t="s">
        <v>71</v>
      </c>
      <c r="D17" s="32">
        <v>408667.25009172579</v>
      </c>
      <c r="E17" s="72">
        <v>2027.5506695526619</v>
      </c>
      <c r="F17" s="72">
        <v>15244.508623703823</v>
      </c>
      <c r="G17" s="72">
        <v>703.48041727968689</v>
      </c>
      <c r="H17" s="33">
        <v>571.63739516290309</v>
      </c>
      <c r="I17" s="32">
        <v>1520918577.7954443</v>
      </c>
      <c r="J17" s="73">
        <v>7895753.9995820019</v>
      </c>
      <c r="K17" s="73">
        <v>64641939.633226566</v>
      </c>
      <c r="L17" s="72">
        <v>2866902.2305533388</v>
      </c>
      <c r="M17" s="35">
        <v>903826.08785697678</v>
      </c>
      <c r="N17" s="56">
        <v>1597226999.7466633</v>
      </c>
      <c r="O17" s="39">
        <v>378.64808244199992</v>
      </c>
      <c r="P17" s="72">
        <v>5855.742894361003</v>
      </c>
      <c r="Q17" s="74">
        <v>0.22189805769999996</v>
      </c>
      <c r="R17" s="74">
        <v>3.7946053000000014E-2</v>
      </c>
      <c r="S17" s="74">
        <v>5.5140246230000009E-2</v>
      </c>
      <c r="T17" s="74">
        <v>0.25327791799999994</v>
      </c>
      <c r="U17" s="73">
        <v>400.62732726103991</v>
      </c>
      <c r="V17" s="73">
        <v>5932.1683652500033</v>
      </c>
      <c r="W17" s="84">
        <v>262000</v>
      </c>
      <c r="X17" s="85">
        <v>6096.2862585750509</v>
      </c>
      <c r="Y17" s="38"/>
      <c r="Z17" s="30"/>
      <c r="AA17" s="23"/>
      <c r="AB17" s="23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x14ac:dyDescent="0.3">
      <c r="A18" s="18"/>
      <c r="B18" s="31" t="s">
        <v>29</v>
      </c>
      <c r="C18" s="71" t="s">
        <v>72</v>
      </c>
      <c r="D18" s="32">
        <v>376138.46421201795</v>
      </c>
      <c r="E18" s="72">
        <v>5878.8481725607871</v>
      </c>
      <c r="F18" s="72">
        <v>22905.503715241961</v>
      </c>
      <c r="G18" s="72">
        <v>537926.93850290286</v>
      </c>
      <c r="H18" s="33">
        <v>0</v>
      </c>
      <c r="I18" s="32">
        <v>1509513954.662492</v>
      </c>
      <c r="J18" s="73">
        <v>22893602.447761938</v>
      </c>
      <c r="K18" s="73">
        <v>97127183.6290631</v>
      </c>
      <c r="L18" s="72">
        <v>2166892405.9690413</v>
      </c>
      <c r="M18" s="35">
        <v>0</v>
      </c>
      <c r="N18" s="56">
        <v>3796427146.7083588</v>
      </c>
      <c r="O18" s="39">
        <v>764.30115921000015</v>
      </c>
      <c r="P18" s="72">
        <v>16358.572264085997</v>
      </c>
      <c r="Q18" s="74">
        <v>0.44790101214799993</v>
      </c>
      <c r="R18" s="74">
        <v>0.10739502599999998</v>
      </c>
      <c r="S18" s="74">
        <v>0.11129947703679997</v>
      </c>
      <c r="T18" s="74">
        <v>0.70851615800000023</v>
      </c>
      <c r="U18" s="73">
        <v>808.66592867066652</v>
      </c>
      <c r="V18" s="73">
        <v>16572.394954819996</v>
      </c>
      <c r="W18" s="84">
        <v>305900</v>
      </c>
      <c r="X18" s="85">
        <v>12410.680440367305</v>
      </c>
      <c r="Y18" s="38"/>
      <c r="Z18" s="30"/>
      <c r="AA18" s="23"/>
      <c r="AB18" s="23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x14ac:dyDescent="0.3">
      <c r="A19" s="18"/>
      <c r="B19" s="31" t="s">
        <v>30</v>
      </c>
      <c r="C19" s="71" t="s">
        <v>73</v>
      </c>
      <c r="D19" s="32">
        <v>262172.44208283164</v>
      </c>
      <c r="E19" s="72">
        <v>556.16753692902489</v>
      </c>
      <c r="F19" s="72">
        <v>8314.6981155995709</v>
      </c>
      <c r="G19" s="72">
        <v>84703.471838072088</v>
      </c>
      <c r="H19" s="33">
        <v>0</v>
      </c>
      <c r="I19" s="32">
        <v>1096221965.1157112</v>
      </c>
      <c r="J19" s="73">
        <v>2165845.7764283069</v>
      </c>
      <c r="K19" s="73">
        <v>35257168.789380327</v>
      </c>
      <c r="L19" s="72">
        <v>345216360.46929568</v>
      </c>
      <c r="M19" s="35">
        <v>0</v>
      </c>
      <c r="N19" s="56">
        <v>1478861340.1508155</v>
      </c>
      <c r="O19" s="39">
        <v>608.99618240699965</v>
      </c>
      <c r="P19" s="72">
        <v>10929.851915446001</v>
      </c>
      <c r="Q19" s="74">
        <v>0.35688820957999989</v>
      </c>
      <c r="R19" s="74">
        <v>7.4347838999999985E-2</v>
      </c>
      <c r="S19" s="74">
        <v>8.8683804379999981E-2</v>
      </c>
      <c r="T19" s="74">
        <v>0.47369821500000009</v>
      </c>
      <c r="U19" s="73">
        <v>644.34616135173974</v>
      </c>
      <c r="V19" s="73">
        <v>11072.872679491</v>
      </c>
      <c r="W19" s="84">
        <v>288200</v>
      </c>
      <c r="X19" s="85">
        <v>5131.3717562484926</v>
      </c>
      <c r="Y19" s="75"/>
      <c r="Z19" s="30"/>
      <c r="AA19" s="23"/>
      <c r="AB19" s="23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x14ac:dyDescent="0.3">
      <c r="A20" s="18"/>
      <c r="B20" s="31" t="s">
        <v>31</v>
      </c>
      <c r="C20" s="71" t="s">
        <v>74</v>
      </c>
      <c r="D20" s="32">
        <v>74598.913845516814</v>
      </c>
      <c r="E20" s="72">
        <v>2312.5370742558921</v>
      </c>
      <c r="F20" s="72">
        <v>17058.11495342691</v>
      </c>
      <c r="G20" s="72">
        <v>0</v>
      </c>
      <c r="H20" s="33">
        <v>0</v>
      </c>
      <c r="I20" s="32">
        <v>324613501.15865612</v>
      </c>
      <c r="J20" s="73">
        <v>9005557.3591490798</v>
      </c>
      <c r="K20" s="73">
        <v>72332251.84847945</v>
      </c>
      <c r="L20" s="72">
        <v>0</v>
      </c>
      <c r="M20" s="35">
        <v>0</v>
      </c>
      <c r="N20" s="56">
        <v>405951310.36628467</v>
      </c>
      <c r="O20" s="39">
        <v>376.20064343199999</v>
      </c>
      <c r="P20" s="72">
        <v>9658.100273873999</v>
      </c>
      <c r="Q20" s="74">
        <v>0.22046379799999999</v>
      </c>
      <c r="R20" s="74">
        <v>5.9943286999999998E-2</v>
      </c>
      <c r="S20" s="74">
        <v>5.4783458E-2</v>
      </c>
      <c r="T20" s="74">
        <v>0.41949605199999995</v>
      </c>
      <c r="U20" s="73">
        <v>398.037708866</v>
      </c>
      <c r="V20" s="73">
        <v>9784.6086795449992</v>
      </c>
      <c r="W20" s="84">
        <v>216600</v>
      </c>
      <c r="X20" s="85">
        <v>1874.198108800945</v>
      </c>
      <c r="Y20" s="38"/>
      <c r="Z20" s="30"/>
      <c r="AA20" s="23"/>
      <c r="AB20" s="23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x14ac:dyDescent="0.3">
      <c r="A21" s="18"/>
      <c r="B21" s="31" t="s">
        <v>32</v>
      </c>
      <c r="C21" s="71" t="s">
        <v>75</v>
      </c>
      <c r="D21" s="32">
        <v>96331.815659133761</v>
      </c>
      <c r="E21" s="72">
        <v>293.42400402872903</v>
      </c>
      <c r="F21" s="72">
        <v>10081.082822698332</v>
      </c>
      <c r="G21" s="72">
        <v>0</v>
      </c>
      <c r="H21" s="33">
        <v>10.581552145895193</v>
      </c>
      <c r="I21" s="32">
        <v>412807847.61046797</v>
      </c>
      <c r="J21" s="73">
        <v>1142661.3342759807</v>
      </c>
      <c r="K21" s="73">
        <v>42747245.14564871</v>
      </c>
      <c r="L21" s="72">
        <v>0</v>
      </c>
      <c r="M21" s="35">
        <v>16733.43467172774</v>
      </c>
      <c r="N21" s="56">
        <v>456714487.52506435</v>
      </c>
      <c r="O21" s="39">
        <v>281.82585011600003</v>
      </c>
      <c r="P21" s="72">
        <v>9545.4862593100006</v>
      </c>
      <c r="Q21" s="74">
        <v>0.16515755400000001</v>
      </c>
      <c r="R21" s="74">
        <v>6.2931437000000007E-2</v>
      </c>
      <c r="S21" s="74">
        <v>4.1040250000000007E-2</v>
      </c>
      <c r="T21" s="74">
        <v>0.41380240299999993</v>
      </c>
      <c r="U21" s="73">
        <v>298.184783466</v>
      </c>
      <c r="V21" s="73">
        <v>9670.372661329</v>
      </c>
      <c r="W21" s="84">
        <v>143400</v>
      </c>
      <c r="X21" s="85">
        <v>3184.8987972459158</v>
      </c>
      <c r="Y21" s="38"/>
      <c r="Z21" s="30"/>
      <c r="AA21" s="23"/>
      <c r="AB21" s="23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x14ac:dyDescent="0.3">
      <c r="A22" s="18"/>
      <c r="B22" s="31" t="s">
        <v>76</v>
      </c>
      <c r="C22" s="71" t="s">
        <v>77</v>
      </c>
      <c r="D22" s="32">
        <v>130060.72496744574</v>
      </c>
      <c r="E22" s="72">
        <v>533.68820476942983</v>
      </c>
      <c r="F22" s="72">
        <v>5059.7925339801868</v>
      </c>
      <c r="G22" s="72">
        <v>0</v>
      </c>
      <c r="H22" s="33">
        <v>0</v>
      </c>
      <c r="I22" s="32">
        <v>527470926.79345661</v>
      </c>
      <c r="J22" s="73">
        <v>2078306.0273742354</v>
      </c>
      <c r="K22" s="73">
        <v>21455253.928593408</v>
      </c>
      <c r="L22" s="72">
        <v>0</v>
      </c>
      <c r="M22" s="35">
        <v>0</v>
      </c>
      <c r="N22" s="56">
        <v>551004486.74942422</v>
      </c>
      <c r="O22" s="39">
        <v>211.828460506</v>
      </c>
      <c r="P22" s="72">
        <v>6489.3461269360014</v>
      </c>
      <c r="Q22" s="74">
        <v>0.12413728200000002</v>
      </c>
      <c r="R22" s="74">
        <v>4.3124836999999999E-2</v>
      </c>
      <c r="S22" s="74">
        <v>3.0846855999999995E-2</v>
      </c>
      <c r="T22" s="74">
        <v>0.2808952520000001</v>
      </c>
      <c r="U22" s="73">
        <v>224.12425564400002</v>
      </c>
      <c r="V22" s="73">
        <v>6574.1310329570015</v>
      </c>
      <c r="W22" s="84">
        <v>168000</v>
      </c>
      <c r="X22" s="85">
        <v>3279.7886116037157</v>
      </c>
      <c r="Y22" s="38"/>
      <c r="Z22" s="30"/>
      <c r="AA22" s="23"/>
      <c r="AB22" s="23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x14ac:dyDescent="0.3">
      <c r="A23" s="18"/>
      <c r="B23" s="31" t="s">
        <v>33</v>
      </c>
      <c r="C23" s="71" t="s">
        <v>78</v>
      </c>
      <c r="D23" s="32">
        <v>135790.18253612178</v>
      </c>
      <c r="E23" s="72">
        <v>1260.0991596340737</v>
      </c>
      <c r="F23" s="72">
        <v>23525.690057648651</v>
      </c>
      <c r="G23" s="72">
        <v>0</v>
      </c>
      <c r="H23" s="33">
        <v>17.941661176461476</v>
      </c>
      <c r="I23" s="32">
        <v>558977538.77643645</v>
      </c>
      <c r="J23" s="73">
        <v>4907119.2789208069</v>
      </c>
      <c r="K23" s="73">
        <v>99756986.208915919</v>
      </c>
      <c r="L23" s="72">
        <v>0</v>
      </c>
      <c r="M23" s="35">
        <v>28364.559460938341</v>
      </c>
      <c r="N23" s="56">
        <v>663670008.82373416</v>
      </c>
      <c r="O23" s="39">
        <v>183.45564964900004</v>
      </c>
      <c r="P23" s="72">
        <v>16199.866629606002</v>
      </c>
      <c r="Q23" s="74">
        <v>0.10751000199999999</v>
      </c>
      <c r="R23" s="74">
        <v>0.102022479</v>
      </c>
      <c r="S23" s="74">
        <v>2.6715551100000002E-2</v>
      </c>
      <c r="T23" s="74">
        <v>0.70331611000000005</v>
      </c>
      <c r="U23" s="73">
        <v>194.10463392680003</v>
      </c>
      <c r="V23" s="73">
        <v>16412.005392361003</v>
      </c>
      <c r="W23" s="84">
        <v>317600</v>
      </c>
      <c r="X23" s="85">
        <v>2089.6410857170472</v>
      </c>
      <c r="Y23" s="38"/>
      <c r="Z23" s="30"/>
      <c r="AA23" s="23"/>
      <c r="AB23" s="23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x14ac:dyDescent="0.3">
      <c r="A24" s="18"/>
      <c r="B24" s="31" t="s">
        <v>34</v>
      </c>
      <c r="C24" s="71" t="s">
        <v>79</v>
      </c>
      <c r="D24" s="32">
        <v>126512.26047764618</v>
      </c>
      <c r="E24" s="72">
        <v>2146.1377820584894</v>
      </c>
      <c r="F24" s="72">
        <v>22604.749100394612</v>
      </c>
      <c r="G24" s="72">
        <v>0</v>
      </c>
      <c r="H24" s="33">
        <v>596.26621645962052</v>
      </c>
      <c r="I24" s="32">
        <v>511517217.25099021</v>
      </c>
      <c r="J24" s="73">
        <v>8357559.8039584467</v>
      </c>
      <c r="K24" s="73">
        <v>95851881.017659336</v>
      </c>
      <c r="L24" s="72">
        <v>0</v>
      </c>
      <c r="M24" s="35">
        <v>943498.79309407005</v>
      </c>
      <c r="N24" s="56">
        <v>616670156.86570203</v>
      </c>
      <c r="O24" s="39">
        <v>128.05853595200003</v>
      </c>
      <c r="P24" s="72">
        <v>7702.2485251619983</v>
      </c>
      <c r="Q24" s="74">
        <v>7.5045334000000019E-2</v>
      </c>
      <c r="R24" s="74">
        <v>5.085259000000001E-2</v>
      </c>
      <c r="S24" s="74">
        <v>1.8647991000000003E-2</v>
      </c>
      <c r="T24" s="74">
        <v>0.333828336</v>
      </c>
      <c r="U24" s="73">
        <v>135.49177062000004</v>
      </c>
      <c r="V24" s="73">
        <v>7803.0006840399983</v>
      </c>
      <c r="W24" s="84">
        <v>300600</v>
      </c>
      <c r="X24" s="85">
        <v>2051.4642610302794</v>
      </c>
      <c r="Y24" s="38"/>
      <c r="Z24" s="30"/>
      <c r="AA24" s="23"/>
      <c r="AB24" s="23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x14ac:dyDescent="0.3">
      <c r="A25" s="18"/>
      <c r="B25" s="31" t="s">
        <v>35</v>
      </c>
      <c r="C25" s="71" t="s">
        <v>80</v>
      </c>
      <c r="D25" s="32">
        <v>124990.99555573351</v>
      </c>
      <c r="E25" s="72">
        <v>708.14051038548882</v>
      </c>
      <c r="F25" s="72">
        <v>11576.775689853272</v>
      </c>
      <c r="G25" s="72">
        <v>0</v>
      </c>
      <c r="H25" s="33">
        <v>0</v>
      </c>
      <c r="I25" s="32">
        <v>511918029.4963727</v>
      </c>
      <c r="J25" s="73">
        <v>2757663.8902818994</v>
      </c>
      <c r="K25" s="73">
        <v>49089495.356202602</v>
      </c>
      <c r="L25" s="72">
        <v>0</v>
      </c>
      <c r="M25" s="35">
        <v>0</v>
      </c>
      <c r="N25" s="56">
        <v>563765188.74285722</v>
      </c>
      <c r="O25" s="39">
        <v>356.96300808399997</v>
      </c>
      <c r="P25" s="72">
        <v>9250.149766667002</v>
      </c>
      <c r="Q25" s="74">
        <v>0.209189969</v>
      </c>
      <c r="R25" s="74">
        <v>6.0158151999999993E-2</v>
      </c>
      <c r="S25" s="74">
        <v>5.1982081999999992E-2</v>
      </c>
      <c r="T25" s="74">
        <v>0.40017388199999993</v>
      </c>
      <c r="U25" s="73">
        <v>377.68341774499993</v>
      </c>
      <c r="V25" s="73">
        <v>9370.9055373030023</v>
      </c>
      <c r="W25" s="84">
        <v>215200</v>
      </c>
      <c r="X25" s="85">
        <v>2619.7267134891135</v>
      </c>
      <c r="Y25" s="38"/>
      <c r="Z25" s="30"/>
      <c r="AA25" s="23"/>
      <c r="AB25" s="23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x14ac:dyDescent="0.3">
      <c r="A26" s="18"/>
      <c r="B26" s="31" t="s">
        <v>36</v>
      </c>
      <c r="C26" s="71" t="s">
        <v>81</v>
      </c>
      <c r="D26" s="32">
        <v>161310.25746325016</v>
      </c>
      <c r="E26" s="72">
        <v>2158.9323096400526</v>
      </c>
      <c r="F26" s="72">
        <v>28129.143598064948</v>
      </c>
      <c r="G26" s="72">
        <v>13332.445662299308</v>
      </c>
      <c r="H26" s="33">
        <v>2924.7423852494435</v>
      </c>
      <c r="I26" s="32">
        <v>666384484.05795097</v>
      </c>
      <c r="J26" s="73">
        <v>8407384.6708986051</v>
      </c>
      <c r="K26" s="73">
        <v>119277206.4540768</v>
      </c>
      <c r="L26" s="72">
        <v>53580345.962054975</v>
      </c>
      <c r="M26" s="35">
        <v>4625842.1860514702</v>
      </c>
      <c r="N26" s="56">
        <v>852275263.33103275</v>
      </c>
      <c r="O26" s="39">
        <v>480.15636606100003</v>
      </c>
      <c r="P26" s="72">
        <v>10772.884396179999</v>
      </c>
      <c r="Q26" s="74">
        <v>0.28138457148000001</v>
      </c>
      <c r="R26" s="74">
        <v>7.2403185999999994E-2</v>
      </c>
      <c r="S26" s="74">
        <v>6.9921538864999994E-2</v>
      </c>
      <c r="T26" s="74">
        <v>0.46719417699999993</v>
      </c>
      <c r="U26" s="73">
        <v>508.02759892977002</v>
      </c>
      <c r="V26" s="73">
        <v>10913.918340576</v>
      </c>
      <c r="W26" s="84">
        <v>351100</v>
      </c>
      <c r="X26" s="85">
        <v>2427.4430741413635</v>
      </c>
      <c r="Y26" s="38"/>
      <c r="Z26" s="30"/>
      <c r="AA26" s="23"/>
      <c r="AB26" s="23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x14ac:dyDescent="0.3">
      <c r="A27" s="18"/>
      <c r="B27" s="31" t="s">
        <v>37</v>
      </c>
      <c r="C27" s="71" t="s">
        <v>82</v>
      </c>
      <c r="D27" s="32">
        <v>225835.59390593934</v>
      </c>
      <c r="E27" s="72">
        <v>664.47329584545457</v>
      </c>
      <c r="F27" s="72">
        <v>11542.693907152103</v>
      </c>
      <c r="G27" s="72">
        <v>305.23350140511764</v>
      </c>
      <c r="H27" s="33">
        <v>0</v>
      </c>
      <c r="I27" s="32">
        <v>905830001.26506448</v>
      </c>
      <c r="J27" s="73">
        <v>2587613.5980585488</v>
      </c>
      <c r="K27" s="73">
        <v>48944976.920460075</v>
      </c>
      <c r="L27" s="72">
        <v>1240583.7861116957</v>
      </c>
      <c r="M27" s="35">
        <v>0</v>
      </c>
      <c r="N27" s="56">
        <v>958603175.56969488</v>
      </c>
      <c r="O27" s="39">
        <v>277.77971550299992</v>
      </c>
      <c r="P27" s="72">
        <v>6290.5154441460008</v>
      </c>
      <c r="Q27" s="74">
        <v>0.16278644440000006</v>
      </c>
      <c r="R27" s="74">
        <v>4.2318473999999995E-2</v>
      </c>
      <c r="S27" s="74">
        <v>4.0450991000000019E-2</v>
      </c>
      <c r="T27" s="74">
        <v>0.27246800499999996</v>
      </c>
      <c r="U27" s="73">
        <v>293.90377193099994</v>
      </c>
      <c r="V27" s="73">
        <v>6372.7688714860005</v>
      </c>
      <c r="W27" s="84">
        <v>310300</v>
      </c>
      <c r="X27" s="85">
        <v>3089.2786837566705</v>
      </c>
      <c r="Y27" s="38"/>
      <c r="Z27" s="30"/>
      <c r="AA27" s="23"/>
      <c r="AB27" s="23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x14ac:dyDescent="0.3">
      <c r="A28" s="18"/>
      <c r="B28" s="31" t="s">
        <v>93</v>
      </c>
      <c r="C28" s="71" t="s">
        <v>83</v>
      </c>
      <c r="D28" s="32">
        <v>125289.45815753192</v>
      </c>
      <c r="E28" s="72">
        <v>381.06975798933615</v>
      </c>
      <c r="F28" s="72">
        <v>5497.8277907881184</v>
      </c>
      <c r="G28" s="72">
        <v>30289.245467233413</v>
      </c>
      <c r="H28" s="33">
        <v>0</v>
      </c>
      <c r="I28" s="32">
        <v>518559707.64433897</v>
      </c>
      <c r="J28" s="73">
        <v>1483974.2902345737</v>
      </c>
      <c r="K28" s="73">
        <v>23312673.496960182</v>
      </c>
      <c r="L28" s="72">
        <v>123400729.1377911</v>
      </c>
      <c r="M28" s="35">
        <v>0</v>
      </c>
      <c r="N28" s="56">
        <v>666757084.56932473</v>
      </c>
      <c r="O28" s="39">
        <v>208.623778827</v>
      </c>
      <c r="P28" s="72">
        <v>6920.6664609150002</v>
      </c>
      <c r="Q28" s="74">
        <v>0.122259084</v>
      </c>
      <c r="R28" s="74">
        <v>4.4882851999999987E-2</v>
      </c>
      <c r="S28" s="74">
        <v>3.0380514000000001E-2</v>
      </c>
      <c r="T28" s="74">
        <v>0.29923111799999996</v>
      </c>
      <c r="U28" s="73">
        <v>220.73364909899999</v>
      </c>
      <c r="V28" s="73">
        <v>7010.9594053790006</v>
      </c>
      <c r="W28" s="84">
        <v>195200</v>
      </c>
      <c r="X28" s="85">
        <v>3415.7637529166227</v>
      </c>
      <c r="Y28" s="38"/>
      <c r="Z28" s="30"/>
      <c r="AA28" s="23"/>
      <c r="AB28" s="23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x14ac:dyDescent="0.3">
      <c r="A29" s="18"/>
      <c r="B29" s="31" t="s">
        <v>38</v>
      </c>
      <c r="C29" s="71" t="s">
        <v>84</v>
      </c>
      <c r="D29" s="32">
        <v>123045.24588011595</v>
      </c>
      <c r="E29" s="72">
        <v>991.43976873601287</v>
      </c>
      <c r="F29" s="72">
        <v>23365.997128322284</v>
      </c>
      <c r="G29" s="72">
        <v>1100.8410557734633</v>
      </c>
      <c r="H29" s="33">
        <v>4383.7372212052951</v>
      </c>
      <c r="I29" s="32">
        <v>519950643.01599848</v>
      </c>
      <c r="J29" s="73">
        <v>3860897.1094513535</v>
      </c>
      <c r="K29" s="73">
        <v>99079833.474631235</v>
      </c>
      <c r="L29" s="72">
        <v>4485436.0165007561</v>
      </c>
      <c r="M29" s="35">
        <v>6934314.9873309182</v>
      </c>
      <c r="N29" s="56">
        <v>634311124.60391271</v>
      </c>
      <c r="O29" s="39">
        <v>378.69475183899999</v>
      </c>
      <c r="P29" s="72">
        <v>16221.037528668001</v>
      </c>
      <c r="Q29" s="74">
        <v>0.22192524929999999</v>
      </c>
      <c r="R29" s="74">
        <v>0.10025099299999998</v>
      </c>
      <c r="S29" s="74">
        <v>5.5146728270000001E-2</v>
      </c>
      <c r="T29" s="74">
        <v>0.70428582900000003</v>
      </c>
      <c r="U29" s="73">
        <v>400.67660809595998</v>
      </c>
      <c r="V29" s="73">
        <v>16433.420980535</v>
      </c>
      <c r="W29" s="84">
        <v>307700</v>
      </c>
      <c r="X29" s="85">
        <v>2061.4596184722545</v>
      </c>
      <c r="Y29" s="38"/>
      <c r="Z29" s="30"/>
      <c r="AA29" s="23"/>
      <c r="AB29" s="23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x14ac:dyDescent="0.3">
      <c r="A30" s="18"/>
      <c r="B30" s="31" t="s">
        <v>39</v>
      </c>
      <c r="C30" s="71" t="s">
        <v>85</v>
      </c>
      <c r="D30" s="32">
        <v>99533.335034606862</v>
      </c>
      <c r="E30" s="72">
        <v>133.47960163581379</v>
      </c>
      <c r="F30" s="72">
        <v>3764.7844785986508</v>
      </c>
      <c r="G30" s="72">
        <v>60.942310057785562</v>
      </c>
      <c r="H30" s="33">
        <v>0</v>
      </c>
      <c r="I30" s="32">
        <v>405991493.9002682</v>
      </c>
      <c r="J30" s="73">
        <v>519800.62165899691</v>
      </c>
      <c r="K30" s="73">
        <v>15963976.078525418</v>
      </c>
      <c r="L30" s="72">
        <v>248302.83362998589</v>
      </c>
      <c r="M30" s="35">
        <v>0</v>
      </c>
      <c r="N30" s="56">
        <v>422723573.43408257</v>
      </c>
      <c r="O30" s="39">
        <v>238.86495957200009</v>
      </c>
      <c r="P30" s="72">
        <v>5463.6694741809997</v>
      </c>
      <c r="Q30" s="74">
        <v>0.13998143800000004</v>
      </c>
      <c r="R30" s="74">
        <v>3.5977213999999993E-2</v>
      </c>
      <c r="S30" s="74">
        <v>3.4784078000000003E-2</v>
      </c>
      <c r="T30" s="74">
        <v>0.2365679</v>
      </c>
      <c r="U30" s="73">
        <v>252.73015076600009</v>
      </c>
      <c r="V30" s="73">
        <v>5535.0661387310001</v>
      </c>
      <c r="W30" s="84">
        <v>209600</v>
      </c>
      <c r="X30" s="85">
        <v>2016.8109419565008</v>
      </c>
      <c r="Y30" s="38"/>
      <c r="Z30" s="30"/>
      <c r="AA30" s="23"/>
      <c r="AB30" s="23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x14ac:dyDescent="0.3">
      <c r="A31" s="18"/>
      <c r="B31" s="31" t="s">
        <v>40</v>
      </c>
      <c r="C31" s="71" t="s">
        <v>86</v>
      </c>
      <c r="D31" s="32">
        <v>139133.55753781539</v>
      </c>
      <c r="E31" s="72">
        <v>69.723785221809209</v>
      </c>
      <c r="F31" s="72">
        <v>24680.461619134185</v>
      </c>
      <c r="G31" s="72">
        <v>7994.3041953248348</v>
      </c>
      <c r="H31" s="33">
        <v>9175.7648289219323</v>
      </c>
      <c r="I31" s="32">
        <v>580336232.62220132</v>
      </c>
      <c r="J31" s="73">
        <v>271520.64029677643</v>
      </c>
      <c r="K31" s="73">
        <v>104653613.27708173</v>
      </c>
      <c r="L31" s="72">
        <v>32577804.649812769</v>
      </c>
      <c r="M31" s="35">
        <v>14517826.561479026</v>
      </c>
      <c r="N31" s="56">
        <v>732356997.75087166</v>
      </c>
      <c r="O31" s="39">
        <v>836.95807359599996</v>
      </c>
      <c r="P31" s="72">
        <v>21283.698330930001</v>
      </c>
      <c r="Q31" s="74">
        <v>0.49047996299999996</v>
      </c>
      <c r="R31" s="74">
        <v>0.13168111699999999</v>
      </c>
      <c r="S31" s="74">
        <v>0.12188021000000003</v>
      </c>
      <c r="T31" s="74">
        <v>0.92585684700000004</v>
      </c>
      <c r="U31" s="73">
        <v>885.54037525099989</v>
      </c>
      <c r="V31" s="73">
        <v>21562.895699261</v>
      </c>
      <c r="W31" s="84">
        <v>310300</v>
      </c>
      <c r="X31" s="85">
        <v>2360.1579044501182</v>
      </c>
      <c r="Y31" s="38"/>
      <c r="Z31" s="30"/>
      <c r="AA31" s="23"/>
      <c r="AB31" s="23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x14ac:dyDescent="0.3">
      <c r="A32" s="18"/>
      <c r="B32" s="31" t="s">
        <v>41</v>
      </c>
      <c r="C32" s="71" t="s">
        <v>87</v>
      </c>
      <c r="D32" s="32">
        <v>148006.04876924181</v>
      </c>
      <c r="E32" s="72">
        <v>1200.5847571454292</v>
      </c>
      <c r="F32" s="72">
        <v>5924.2796426900532</v>
      </c>
      <c r="G32" s="72">
        <v>242.34248738248627</v>
      </c>
      <c r="H32" s="33">
        <v>0</v>
      </c>
      <c r="I32" s="32">
        <v>598104066.24618948</v>
      </c>
      <c r="J32" s="73">
        <v>4675356.350112658</v>
      </c>
      <c r="K32" s="73">
        <v>25120975.459822986</v>
      </c>
      <c r="L32" s="72">
        <v>984890.7040774551</v>
      </c>
      <c r="M32" s="35">
        <v>0</v>
      </c>
      <c r="N32" s="56">
        <v>628885288.76020265</v>
      </c>
      <c r="O32" s="39">
        <v>555.06956268400006</v>
      </c>
      <c r="P32" s="72">
        <v>7089.8022379899994</v>
      </c>
      <c r="Q32" s="74">
        <v>0.32528569699999998</v>
      </c>
      <c r="R32" s="74">
        <v>4.6309654000000006E-2</v>
      </c>
      <c r="S32" s="74">
        <v>8.0830762E-2</v>
      </c>
      <c r="T32" s="74">
        <v>0.30704649399999995</v>
      </c>
      <c r="U32" s="73">
        <v>587.28927218500007</v>
      </c>
      <c r="V32" s="73">
        <v>7182.4598345519989</v>
      </c>
      <c r="W32" s="84">
        <v>278400</v>
      </c>
      <c r="X32" s="85">
        <v>2258.9270429604981</v>
      </c>
      <c r="Y32" s="38"/>
      <c r="Z32" s="30"/>
      <c r="AA32" s="23"/>
      <c r="AB32" s="23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x14ac:dyDescent="0.3">
      <c r="A33" s="18"/>
      <c r="B33" s="31" t="s">
        <v>42</v>
      </c>
      <c r="C33" s="71" t="s">
        <v>88</v>
      </c>
      <c r="D33" s="32">
        <v>147448.44390081958</v>
      </c>
      <c r="E33" s="72">
        <v>2138.9396559329061</v>
      </c>
      <c r="F33" s="72">
        <v>24651.300710956377</v>
      </c>
      <c r="G33" s="72">
        <v>3794.9960053041918</v>
      </c>
      <c r="H33" s="33">
        <v>3.8659371107862985</v>
      </c>
      <c r="I33" s="32">
        <v>589337756.38556767</v>
      </c>
      <c r="J33" s="73">
        <v>8329528.6262428705</v>
      </c>
      <c r="K33" s="73">
        <v>104529961.03530674</v>
      </c>
      <c r="L33" s="72">
        <v>15413380.281329827</v>
      </c>
      <c r="M33" s="35">
        <v>6108.1666355438383</v>
      </c>
      <c r="N33" s="56">
        <v>717616734.49508262</v>
      </c>
      <c r="O33" s="39">
        <v>275.31868670800003</v>
      </c>
      <c r="P33" s="72">
        <v>24062.130086699999</v>
      </c>
      <c r="Q33" s="74">
        <v>0.16134415999999999</v>
      </c>
      <c r="R33" s="74">
        <v>0.15051836399999999</v>
      </c>
      <c r="S33" s="74">
        <v>4.009268500000001E-2</v>
      </c>
      <c r="T33" s="74">
        <v>1.0442217279999999</v>
      </c>
      <c r="U33" s="73">
        <v>291.29991083800007</v>
      </c>
      <c r="V33" s="73">
        <v>24377.071120744</v>
      </c>
      <c r="W33" s="84">
        <v>327500</v>
      </c>
      <c r="X33" s="85">
        <v>2191.1961358628478</v>
      </c>
      <c r="Y33" s="38"/>
      <c r="Z33" s="30"/>
      <c r="AA33" s="23"/>
      <c r="AB33" s="23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x14ac:dyDescent="0.3">
      <c r="A34" s="18"/>
      <c r="B34" s="31" t="s">
        <v>43</v>
      </c>
      <c r="C34" s="71" t="s">
        <v>89</v>
      </c>
      <c r="D34" s="32">
        <v>174997.09361783724</v>
      </c>
      <c r="E34" s="72">
        <v>1352.2127240611114</v>
      </c>
      <c r="F34" s="72">
        <v>33158.261570799703</v>
      </c>
      <c r="G34" s="72">
        <v>0</v>
      </c>
      <c r="H34" s="33">
        <v>3707.5347801207758</v>
      </c>
      <c r="I34" s="32">
        <v>743466361.40874183</v>
      </c>
      <c r="J34" s="73">
        <v>5265830.9282336216</v>
      </c>
      <c r="K34" s="73">
        <v>140602389.73328122</v>
      </c>
      <c r="L34" s="72">
        <v>0</v>
      </c>
      <c r="M34" s="35">
        <v>5865882.0776586831</v>
      </c>
      <c r="N34" s="56">
        <v>895200464.14791536</v>
      </c>
      <c r="O34" s="39">
        <v>1323.5394375329997</v>
      </c>
      <c r="P34" s="72">
        <v>44580.085877789999</v>
      </c>
      <c r="Q34" s="74">
        <v>0.7756296840000001</v>
      </c>
      <c r="R34" s="74">
        <v>0.25000359799999999</v>
      </c>
      <c r="S34" s="74">
        <v>0.19273745299999998</v>
      </c>
      <c r="T34" s="74">
        <v>1.9400426849999999</v>
      </c>
      <c r="U34" s="73">
        <v>1400.3659406269996</v>
      </c>
      <c r="V34" s="73">
        <v>45164.468687870001</v>
      </c>
      <c r="W34" s="84">
        <v>204300</v>
      </c>
      <c r="X34" s="85">
        <v>4381.7937550069282</v>
      </c>
      <c r="Y34" s="38"/>
      <c r="Z34" s="30"/>
      <c r="AA34" s="23"/>
      <c r="AB34" s="23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x14ac:dyDescent="0.3">
      <c r="A35" s="18"/>
      <c r="B35" s="24"/>
      <c r="C35" s="46"/>
      <c r="D35" s="47"/>
      <c r="E35" s="47"/>
      <c r="F35" s="47"/>
      <c r="G35" s="50"/>
      <c r="H35" s="47"/>
      <c r="I35" s="24"/>
      <c r="J35" s="24"/>
      <c r="K35" s="42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43"/>
      <c r="W35" s="23"/>
      <c r="X35" s="23"/>
      <c r="Y35" s="23"/>
      <c r="Z35" s="4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x14ac:dyDescent="0.3">
      <c r="A36" s="18"/>
      <c r="B36" s="24"/>
      <c r="C36" s="46"/>
      <c r="D36" s="76"/>
      <c r="E36" s="76"/>
      <c r="F36" s="76"/>
      <c r="G36" s="77"/>
      <c r="H36" s="76"/>
      <c r="I36" s="24"/>
      <c r="J36" s="24"/>
      <c r="K36" s="42"/>
      <c r="L36" s="24"/>
      <c r="M36" s="24"/>
      <c r="N36" s="24"/>
      <c r="O36" s="40"/>
      <c r="P36" s="40"/>
      <c r="Q36" s="40"/>
      <c r="R36" s="41"/>
      <c r="S36" s="40"/>
      <c r="T36" s="41"/>
      <c r="U36" s="24"/>
      <c r="V36" s="24"/>
      <c r="W36" s="43"/>
      <c r="X36" s="23"/>
      <c r="Y36" s="23"/>
      <c r="Z36" s="23"/>
      <c r="AA36" s="23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x14ac:dyDescent="0.3">
      <c r="A37" s="18"/>
      <c r="B37" s="45"/>
      <c r="C37" s="38"/>
      <c r="D37" s="47"/>
      <c r="E37" s="38"/>
      <c r="F37" s="38"/>
      <c r="G37" s="78"/>
      <c r="H37" s="38"/>
      <c r="I37" s="24"/>
      <c r="J37" s="24"/>
      <c r="K37" s="42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3"/>
      <c r="X37" s="23"/>
      <c r="Y37" s="23"/>
      <c r="Z37" s="23"/>
      <c r="AA37" s="23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x14ac:dyDescent="0.3">
      <c r="A38" s="18"/>
      <c r="B38" s="45"/>
      <c r="C38" s="46"/>
      <c r="D38" s="47"/>
      <c r="E38" s="47"/>
      <c r="F38" s="47"/>
      <c r="G38" s="47"/>
      <c r="H38" s="47"/>
      <c r="I38" s="24"/>
      <c r="J38" s="24"/>
      <c r="K38" s="42"/>
      <c r="L38" s="24"/>
      <c r="M38" s="24"/>
      <c r="N38" s="24"/>
      <c r="O38" s="48"/>
      <c r="P38" s="48"/>
      <c r="Q38" s="48"/>
      <c r="R38" s="48"/>
      <c r="S38" s="48"/>
      <c r="T38" s="48"/>
      <c r="U38" s="24"/>
      <c r="V38" s="24"/>
      <c r="W38" s="23"/>
      <c r="X38" s="23"/>
      <c r="Y38" s="23"/>
      <c r="Z38" s="23"/>
      <c r="AA38" s="23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x14ac:dyDescent="0.3">
      <c r="A39" s="18"/>
      <c r="B39" s="45"/>
      <c r="C39" s="46"/>
      <c r="D39" s="47"/>
      <c r="E39" s="47"/>
      <c r="F39" s="47"/>
      <c r="G39" s="47"/>
      <c r="H39" s="47"/>
      <c r="I39" s="24"/>
      <c r="J39" s="24"/>
      <c r="K39" s="49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3"/>
      <c r="X39" s="23"/>
      <c r="Y39" s="23"/>
      <c r="Z39" s="23"/>
      <c r="AA39" s="23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x14ac:dyDescent="0.3">
      <c r="A40" s="18"/>
      <c r="B40" s="45"/>
      <c r="C40" s="46"/>
      <c r="D40" s="50"/>
      <c r="E40" s="51"/>
      <c r="F40" s="51"/>
      <c r="G40" s="51"/>
      <c r="H40" s="51"/>
      <c r="I40" s="24"/>
      <c r="J40" s="24"/>
      <c r="K40" s="42"/>
      <c r="L40" s="24"/>
      <c r="M40" s="24"/>
      <c r="N40" s="24"/>
      <c r="O40" s="24"/>
      <c r="P40" s="24"/>
      <c r="Q40" s="24"/>
      <c r="R40" s="24"/>
      <c r="S40" s="24"/>
      <c r="T40" s="52"/>
      <c r="U40" s="24"/>
      <c r="V40" s="24"/>
      <c r="W40" s="53"/>
      <c r="X40" s="23"/>
      <c r="Y40" s="23"/>
      <c r="Z40" s="23"/>
      <c r="AA40" s="23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x14ac:dyDescent="0.3">
      <c r="A41" s="18"/>
      <c r="B41" s="45"/>
      <c r="C41" s="46"/>
      <c r="D41" s="47"/>
      <c r="E41" s="24"/>
      <c r="F41" s="54"/>
      <c r="G41" s="54"/>
      <c r="H41" s="24"/>
      <c r="I41" s="24"/>
      <c r="J41" s="24"/>
      <c r="K41" s="42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3"/>
      <c r="X41" s="23"/>
      <c r="Y41" s="23"/>
      <c r="Z41" s="23"/>
      <c r="AA41" s="23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x14ac:dyDescent="0.3">
      <c r="A42" s="18"/>
      <c r="B42" s="24"/>
      <c r="C42" s="46"/>
      <c r="D42" s="24"/>
      <c r="E42" s="24"/>
      <c r="F42" s="24"/>
      <c r="G42" s="24"/>
      <c r="H42" s="24"/>
      <c r="I42" s="24"/>
      <c r="J42" s="24"/>
      <c r="K42" s="42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3"/>
      <c r="X42" s="23"/>
      <c r="Y42" s="23"/>
      <c r="Z42" s="23"/>
      <c r="AA42" s="23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</row>
    <row r="43" spans="1:40" x14ac:dyDescent="0.3">
      <c r="A43" s="18"/>
      <c r="B43" s="18"/>
      <c r="C43" s="55"/>
      <c r="D43" s="55"/>
      <c r="E43" s="55"/>
      <c r="F43" s="55"/>
      <c r="G43" s="55"/>
      <c r="H43" s="55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24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x14ac:dyDescent="0.3">
      <c r="A44" s="18"/>
      <c r="B44" s="18"/>
      <c r="C44" s="55"/>
      <c r="D44" s="55"/>
      <c r="E44" s="55"/>
      <c r="F44" s="55"/>
      <c r="G44" s="55"/>
      <c r="H44" s="55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15.6" x14ac:dyDescent="0.3">
      <c r="A46" s="18"/>
      <c r="B46" s="22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18"/>
      <c r="AI46" s="18"/>
      <c r="AJ46" s="18"/>
      <c r="AK46" s="18"/>
      <c r="AL46" s="18"/>
      <c r="AM46" s="18"/>
      <c r="AN46" s="18"/>
    </row>
    <row r="47" spans="1:40" ht="15.6" x14ac:dyDescent="0.3">
      <c r="A47" s="1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18"/>
      <c r="AK47" s="18"/>
      <c r="AL47" s="18"/>
      <c r="AM47" s="18"/>
      <c r="AN47" s="18"/>
    </row>
    <row r="48" spans="1:40" ht="15.6" x14ac:dyDescent="0.3">
      <c r="A48" s="18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79"/>
      <c r="AI48" s="79"/>
      <c r="AJ48" s="18"/>
      <c r="AK48" s="18"/>
      <c r="AL48" s="18"/>
      <c r="AM48" s="18"/>
      <c r="AN48" s="18"/>
    </row>
    <row r="49" spans="1:40" x14ac:dyDescent="0.3">
      <c r="A49" s="18"/>
      <c r="B49" s="81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18"/>
      <c r="AK49" s="18"/>
      <c r="AL49" s="18"/>
      <c r="AM49" s="18"/>
      <c r="AN49" s="18"/>
    </row>
    <row r="50" spans="1:40" x14ac:dyDescent="0.3">
      <c r="A50" s="18"/>
      <c r="B50" s="81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80"/>
      <c r="AI50" s="80"/>
      <c r="AJ50" s="18"/>
      <c r="AK50" s="18"/>
      <c r="AL50" s="18"/>
      <c r="AM50" s="18"/>
      <c r="AN5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Borough KWH</vt:lpstr>
      <vt:lpstr>Borough GHG</vt:lpstr>
      <vt:lpstr>Borough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Turab Hossain</dc:creator>
  <cp:lastModifiedBy>Md. Turab Hossain</cp:lastModifiedBy>
  <dcterms:created xsi:type="dcterms:W3CDTF">2015-06-05T18:17:20Z</dcterms:created>
  <dcterms:modified xsi:type="dcterms:W3CDTF">2026-04-16T06:03:26Z</dcterms:modified>
</cp:coreProperties>
</file>