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ustralia\Monash\Semester_3\FIT 5147 Data Exploration and Data Visualisation\London\2023\"/>
    </mc:Choice>
  </mc:AlternateContent>
  <xr:revisionPtr revIDLastSave="0" documentId="13_ncr:1_{2821CC03-558A-4D72-8DEE-35D415932A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Borough KWH" sheetId="2" r:id="rId2"/>
    <sheet name="Borough GHG" sheetId="3" r:id="rId3"/>
    <sheet name="Borough Transport" sheetId="4" r:id="rId4"/>
    <sheet name="Populations" sheetId="5" r:id="rId5"/>
  </sheets>
  <externalReferences>
    <externalReference r:id="rId6"/>
  </externalReferences>
  <definedNames>
    <definedName name="EF_CH4_DieselAvBio_Trans_kg_l">'[1]Emission &amp; Conversion Factors'!$G$46</definedName>
    <definedName name="EF_CH4_ElectGen_DCI">'[1]Emission &amp; Conversion Factors'!$G$123</definedName>
    <definedName name="EF_CH4_ElectTDL_DCI">'[1]Emission &amp; Conversion Factors'!$G$124</definedName>
    <definedName name="EF_CH4_PetrolAvBio_Trans_kg_l">'[1]Emission &amp; Conversion Factors'!$G$70</definedName>
    <definedName name="EF_CO2_ElectGen_DCI">'[1]Emission &amp; Conversion Factors'!$F$123</definedName>
    <definedName name="EF_CO2_ElectTDL_DCI">'[1]Emission &amp; Conversion Factors'!$F$124</definedName>
    <definedName name="EF_GHG_Coal_DCI">'[1]Emission &amp; Conversion Factors'!$E$109</definedName>
    <definedName name="EF_GHG_ElectGen">'[1]Emission &amp; Conversion Factors'!$E$123</definedName>
    <definedName name="EF_GHG_ElectTD">'[1]Emission &amp; Conversion Factors'!$E$124</definedName>
    <definedName name="EF_GHG_GasOil">'[1]Emission &amp; Conversion Factors'!$E$60</definedName>
    <definedName name="EF_GHG_NatGas_DCI">'[1]Emission &amp; Conversion Factors'!$E$24</definedName>
    <definedName name="EF_GHG_W_R_IC">'[1]Emission &amp; Conversion Factors'!$G$144</definedName>
    <definedName name="EF_N2O_DieselAvBio_Trans_kg_l">'[1]Emission &amp; Conversion Factors'!$H$46</definedName>
    <definedName name="EF_N2O_ElectGen_DCI">'[1]Emission &amp; Conversion Factors'!$H$123</definedName>
    <definedName name="EF_N2O_ElectTDL_DCI">'[1]Emission &amp; Conversion Factors'!$H$124</definedName>
    <definedName name="EF_N2O_PetrolAvBio_Trans_kg_l">'[1]Emission &amp; Conversion Factors'!$H$70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2" i="2"/>
  <c r="AG3" i="3" l="1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2" i="3"/>
</calcChain>
</file>

<file path=xl/sharedStrings.xml><?xml version="1.0" encoding="utf-8"?>
<sst xmlns="http://schemas.openxmlformats.org/spreadsheetml/2006/main" count="231" uniqueCount="96">
  <si>
    <t>Electricity</t>
  </si>
  <si>
    <t>Gas</t>
  </si>
  <si>
    <t>Coal</t>
  </si>
  <si>
    <t>Oil</t>
  </si>
  <si>
    <t>Bioenergy and waste*</t>
  </si>
  <si>
    <t>Total</t>
  </si>
  <si>
    <t>Electricity w/o transport</t>
  </si>
  <si>
    <t>Aviation</t>
  </si>
  <si>
    <t>Shipping</t>
  </si>
  <si>
    <t>Railways_Diesel</t>
  </si>
  <si>
    <t>Railways_Electric</t>
  </si>
  <si>
    <t>Road Transport - fossil fuels</t>
  </si>
  <si>
    <t>Road Transport - electric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</si>
  <si>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</si>
  <si>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</si>
  <si>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</si>
  <si>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</si>
  <si>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</si>
  <si>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</si>
  <si>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</si>
  <si>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</si>
  <si>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</si>
  <si>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</si>
  <si>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</si>
  <si>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</si>
  <si>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</si>
  <si>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</si>
  <si>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</si>
  <si>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</si>
  <si>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</si>
  <si>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</si>
  <si>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</si>
  <si>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</si>
  <si>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Lambeth</t>
  </si>
  <si>
    <t>Lewisham</t>
  </si>
  <si>
    <t>Merton</t>
  </si>
  <si>
    <t>Newham</t>
  </si>
  <si>
    <t>Redbridge</t>
  </si>
  <si>
    <t>Southwark</t>
  </si>
  <si>
    <t>Sutton</t>
  </si>
  <si>
    <t>Tower Hamlets</t>
  </si>
  <si>
    <t>Waltham Forest</t>
  </si>
  <si>
    <t>Wandsworth</t>
  </si>
  <si>
    <t>Westminster</t>
  </si>
  <si>
    <t>Electricity w/o rail &amp; RT</t>
  </si>
  <si>
    <t>Railways diesel</t>
  </si>
  <si>
    <t>Railways electric</t>
  </si>
  <si>
    <t>Road transport - fossil fuels</t>
  </si>
  <si>
    <t>Road transport - electric</t>
  </si>
  <si>
    <t xml:space="preserve">Manufacturing industries </t>
  </si>
  <si>
    <t xml:space="preserve"> Construction</t>
  </si>
  <si>
    <t>Ground activities - aviation</t>
  </si>
  <si>
    <t>Diesel</t>
  </si>
  <si>
    <t>Electric</t>
  </si>
  <si>
    <t xml:space="preserve">Manufacturing Industries </t>
  </si>
  <si>
    <t>Construction</t>
  </si>
  <si>
    <t>UKI2101</t>
  </si>
  <si>
    <t>UKI2301</t>
  </si>
  <si>
    <t>UKI2102</t>
  </si>
  <si>
    <t>UKI2302</t>
  </si>
  <si>
    <t>UKI2201</t>
  </si>
  <si>
    <t>UKI1102</t>
  </si>
  <si>
    <t>UKI1101</t>
  </si>
  <si>
    <t>UKI2202</t>
  </si>
  <si>
    <t>UKI2303</t>
  </si>
  <si>
    <t>UKI2103</t>
  </si>
  <si>
    <t>UKI2104</t>
  </si>
  <si>
    <t>UKI1201</t>
  </si>
  <si>
    <t>UKI1103</t>
  </si>
  <si>
    <t>UKI1202</t>
  </si>
  <si>
    <t>UKI2304</t>
  </si>
  <si>
    <t>UKI2105</t>
  </si>
  <si>
    <t>UKI2305</t>
  </si>
  <si>
    <t>UKI2306</t>
  </si>
  <si>
    <t>UKI1203</t>
  </si>
  <si>
    <t>UKI1104</t>
  </si>
  <si>
    <t>Kingston upon Thames</t>
  </si>
  <si>
    <t>UKI2203</t>
  </si>
  <si>
    <t>UKI1204</t>
  </si>
  <si>
    <t>UKI1205</t>
  </si>
  <si>
    <t>UKI2204</t>
  </si>
  <si>
    <t>UKI1206</t>
  </si>
  <si>
    <t>UKI2106</t>
  </si>
  <si>
    <t>UKI2307</t>
  </si>
  <si>
    <t>UKI1207</t>
  </si>
  <si>
    <t>UKI2205</t>
  </si>
  <si>
    <t>UKI1208</t>
  </si>
  <si>
    <t>UKI2107</t>
  </si>
  <si>
    <t>UKI1105</t>
  </si>
  <si>
    <t>UKI1106</t>
  </si>
  <si>
    <t>Richmond upon Thames</t>
  </si>
  <si>
    <t>Population 
2021 Census</t>
  </si>
  <si>
    <t>Transport consumption Per capita (KWH)</t>
  </si>
  <si>
    <t>Borough</t>
  </si>
  <si>
    <t>GHG emission Per capita (tCO2)</t>
  </si>
  <si>
    <t>Energy consumption
 Per capita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</si>
</sst>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#,##0.0_ ;\-#,##0.0\ "/>
    <numFmt numFmtId="166" formatCode="0.0000"/>
    <numFmt numFmtId="167" formatCode="#,##0_ ;\-#,##0\ "/>
    <numFmt numFmtId="168" formatCode="0.0"/>
    <numFmt numFmtId="169" formatCode="#,##0.00_ ;\-#,##0.00\ "/>
    <numFmt numFmtId="170" formatCode="0.000"/>
    <numFmt numFmtId="171" formatCode="_(* #,##0_);_(* \(#,##0\);_(* &quot;-&quot;??_);_(@_)"/>
    <numFmt numFmtId="172" formatCode="0.0%"/>
    <numFmt numFmtId="173" formatCode="#,##0.0"/>
    <numFmt numFmtId="174" formatCode="0.00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9"/>
      <name val="Calibri"/>
      <family val="2"/>
    </font>
    <font>
      <sz val="12"/>
      <name val="Arial"/>
      <family val="2"/>
    </font>
    <font>
      <sz val="10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0"/>
        <bgColor indexed="60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auto="1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15" fillId="0" borderId="0"/>
    <xf numFmtId="0" fontId="19" fillId="0" borderId="0"/>
    <xf numFmtId="164" fontId="4" fillId="0" borderId="0" applyFont="0" applyFill="0" applyBorder="0" applyAlignment="0" applyProtection="0"/>
    <xf numFmtId="0" fontId="1" fillId="0" borderId="0"/>
    <xf numFmtId="0" fontId="4" fillId="0" borderId="0"/>
    <xf numFmtId="0" fontId="22" fillId="0" borderId="0"/>
    <xf numFmtId="0" fontId="21" fillId="0" borderId="0" applyNumberFormat="0" applyFill="0" applyBorder="0" applyAlignment="0" applyProtection="0"/>
    <xf numFmtId="0" fontId="23" fillId="6" borderId="0" applyNumberFormat="0" applyBorder="0" applyAlignment="0" applyProtection="0"/>
  </cellStyleXfs>
  <cellXfs count="103">
    <xf numFmtId="0" fontId="0" fillId="0" borderId="0" xfId="0"/>
    <xf numFmtId="0" fontId="4" fillId="2" borderId="0" xfId="3" applyFill="1"/>
    <xf numFmtId="0" fontId="4" fillId="2" borderId="0" xfId="3" applyFill="1" applyAlignment="1">
      <alignment horizontal="left" vertical="center"/>
    </xf>
    <xf numFmtId="0" fontId="5" fillId="3" borderId="4" xfId="3" applyFont="1" applyFill="1" applyBorder="1" applyAlignment="1">
      <alignment horizontal="center" vertical="center" wrapText="1"/>
    </xf>
    <xf numFmtId="0" fontId="5" fillId="3" borderId="5" xfId="3" applyFont="1" applyFill="1" applyBorder="1" applyAlignment="1">
      <alignment horizontal="center" vertical="center" wrapText="1"/>
    </xf>
    <xf numFmtId="0" fontId="6" fillId="3" borderId="5" xfId="3" applyFont="1" applyFill="1" applyBorder="1" applyAlignment="1">
      <alignment horizontal="center" vertical="center" wrapText="1"/>
    </xf>
    <xf numFmtId="0" fontId="7" fillId="4" borderId="3" xfId="3" applyFont="1" applyFill="1" applyBorder="1"/>
    <xf numFmtId="3" fontId="8" fillId="2" borderId="7" xfId="3" applyNumberFormat="1" applyFont="1" applyFill="1" applyBorder="1" applyAlignment="1">
      <alignment horizontal="center"/>
    </xf>
    <xf numFmtId="3" fontId="9" fillId="2" borderId="0" xfId="3" applyNumberFormat="1" applyFont="1" applyFill="1" applyAlignment="1">
      <alignment horizontal="center"/>
    </xf>
    <xf numFmtId="3" fontId="9" fillId="5" borderId="8" xfId="3" applyNumberFormat="1" applyFont="1" applyFill="1" applyBorder="1" applyAlignment="1">
      <alignment horizontal="center"/>
    </xf>
    <xf numFmtId="3" fontId="8" fillId="2" borderId="0" xfId="3" applyNumberFormat="1" applyFont="1" applyFill="1" applyAlignment="1">
      <alignment horizontal="center"/>
    </xf>
    <xf numFmtId="3" fontId="9" fillId="4" borderId="8" xfId="3" applyNumberFormat="1" applyFont="1" applyFill="1" applyBorder="1" applyAlignment="1">
      <alignment horizontal="center"/>
    </xf>
    <xf numFmtId="0" fontId="7" fillId="4" borderId="1" xfId="3" applyFont="1" applyFill="1" applyBorder="1"/>
    <xf numFmtId="3" fontId="9" fillId="4" borderId="9" xfId="3" applyNumberFormat="1" applyFont="1" applyFill="1" applyBorder="1" applyAlignment="1">
      <alignment horizontal="center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11" fillId="2" borderId="0" xfId="0" applyFont="1" applyFill="1"/>
    <xf numFmtId="0" fontId="0" fillId="2" borderId="0" xfId="0" applyFill="1" applyProtection="1">
      <protection locked="0"/>
    </xf>
    <xf numFmtId="0" fontId="2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left"/>
      <protection locked="0"/>
    </xf>
    <xf numFmtId="0" fontId="0" fillId="2" borderId="0" xfId="0" applyFill="1" applyAlignment="1" applyProtection="1">
      <alignment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13" fillId="2" borderId="0" xfId="0" applyFont="1" applyFill="1" applyAlignment="1" applyProtection="1">
      <alignment wrapText="1"/>
      <protection locked="0"/>
    </xf>
    <xf numFmtId="0" fontId="3" fillId="2" borderId="0" xfId="0" applyFont="1" applyFill="1" applyProtection="1">
      <protection locked="0"/>
    </xf>
    <xf numFmtId="0" fontId="12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left" vertical="center" wrapText="1"/>
      <protection locked="0"/>
    </xf>
    <xf numFmtId="0" fontId="7" fillId="2" borderId="0" xfId="0" applyFont="1" applyFill="1" applyAlignment="1" applyProtection="1">
      <alignment horizontal="center" vertical="center" wrapText="1"/>
      <protection locked="0"/>
    </xf>
    <xf numFmtId="14" fontId="0" fillId="2" borderId="0" xfId="0" applyNumberFormat="1" applyFill="1" applyAlignment="1" applyProtection="1">
      <alignment horizontal="left" vertical="top"/>
      <protection locked="0"/>
    </xf>
    <xf numFmtId="0" fontId="0" fillId="2" borderId="0" xfId="0" applyFill="1"/>
    <xf numFmtId="0" fontId="14" fillId="3" borderId="4" xfId="3" applyFont="1" applyFill="1" applyBorder="1" applyAlignment="1">
      <alignment horizontal="center" vertical="center" wrapText="1"/>
    </xf>
    <xf numFmtId="3" fontId="9" fillId="2" borderId="13" xfId="3" applyNumberFormat="1" applyFont="1" applyFill="1" applyBorder="1" applyAlignment="1">
      <alignment horizontal="center"/>
    </xf>
    <xf numFmtId="1" fontId="9" fillId="2" borderId="0" xfId="3" applyNumberFormat="1" applyFont="1" applyFill="1" applyAlignment="1">
      <alignment horizontal="center"/>
    </xf>
    <xf numFmtId="165" fontId="9" fillId="2" borderId="0" xfId="1" applyNumberFormat="1" applyFont="1" applyFill="1" applyBorder="1" applyAlignment="1">
      <alignment horizontal="center"/>
    </xf>
    <xf numFmtId="1" fontId="9" fillId="5" borderId="9" xfId="3" applyNumberFormat="1" applyFont="1" applyFill="1" applyBorder="1" applyAlignment="1">
      <alignment horizontal="center"/>
    </xf>
    <xf numFmtId="166" fontId="9" fillId="2" borderId="0" xfId="3" applyNumberFormat="1" applyFont="1" applyFill="1" applyAlignment="1">
      <alignment horizontal="center"/>
    </xf>
    <xf numFmtId="1" fontId="9" fillId="5" borderId="14" xfId="3" applyNumberFormat="1" applyFont="1" applyFill="1" applyBorder="1" applyAlignment="1">
      <alignment horizontal="center"/>
    </xf>
    <xf numFmtId="43" fontId="4" fillId="5" borderId="9" xfId="1" applyFont="1" applyFill="1" applyBorder="1"/>
    <xf numFmtId="43" fontId="4" fillId="5" borderId="14" xfId="1" applyFont="1" applyFill="1" applyBorder="1"/>
    <xf numFmtId="3" fontId="7" fillId="4" borderId="9" xfId="3" applyNumberFormat="1" applyFont="1" applyFill="1" applyBorder="1" applyAlignment="1">
      <alignment horizontal="center"/>
    </xf>
    <xf numFmtId="3" fontId="4" fillId="2" borderId="0" xfId="3" applyNumberFormat="1" applyFill="1"/>
    <xf numFmtId="1" fontId="0" fillId="2" borderId="0" xfId="0" applyNumberFormat="1" applyFill="1"/>
    <xf numFmtId="168" fontId="16" fillId="2" borderId="0" xfId="5" applyNumberFormat="1" applyFont="1" applyFill="1"/>
    <xf numFmtId="168" fontId="10" fillId="2" borderId="0" xfId="5" applyNumberFormat="1" applyFont="1" applyFill="1"/>
    <xf numFmtId="0" fontId="10" fillId="2" borderId="0" xfId="0" applyFont="1" applyFill="1"/>
    <xf numFmtId="0" fontId="18" fillId="3" borderId="19" xfId="0" applyFont="1" applyFill="1" applyBorder="1" applyAlignment="1">
      <alignment vertical="top" wrapText="1"/>
    </xf>
    <xf numFmtId="168" fontId="18" fillId="3" borderId="18" xfId="5" applyNumberFormat="1" applyFont="1" applyFill="1" applyBorder="1" applyAlignment="1">
      <alignment horizontal="center"/>
    </xf>
    <xf numFmtId="168" fontId="18" fillId="3" borderId="19" xfId="5" applyNumberFormat="1" applyFont="1" applyFill="1" applyBorder="1" applyAlignment="1">
      <alignment horizontal="center"/>
    </xf>
    <xf numFmtId="168" fontId="18" fillId="3" borderId="21" xfId="5" applyNumberFormat="1" applyFont="1" applyFill="1" applyBorder="1" applyAlignment="1">
      <alignment horizontal="center"/>
    </xf>
    <xf numFmtId="168" fontId="18" fillId="3" borderId="22" xfId="5" applyNumberFormat="1" applyFont="1" applyFill="1" applyBorder="1" applyAlignment="1">
      <alignment horizontal="center"/>
    </xf>
    <xf numFmtId="168" fontId="17" fillId="2" borderId="0" xfId="5" applyNumberFormat="1" applyFont="1" applyFill="1" applyAlignment="1">
      <alignment horizontal="center" wrapText="1"/>
    </xf>
    <xf numFmtId="2" fontId="10" fillId="2" borderId="0" xfId="5" applyNumberFormat="1" applyFont="1" applyFill="1" applyAlignment="1">
      <alignment horizontal="center"/>
    </xf>
    <xf numFmtId="0" fontId="10" fillId="4" borderId="23" xfId="6" applyFont="1" applyFill="1" applyBorder="1"/>
    <xf numFmtId="0" fontId="10" fillId="4" borderId="9" xfId="6" applyFont="1" applyFill="1" applyBorder="1" applyAlignment="1">
      <alignment horizontal="center"/>
    </xf>
    <xf numFmtId="167" fontId="10" fillId="2" borderId="23" xfId="1" applyNumberFormat="1" applyFont="1" applyFill="1" applyBorder="1" applyAlignment="1">
      <alignment horizontal="center"/>
    </xf>
    <xf numFmtId="167" fontId="10" fillId="2" borderId="9" xfId="1" applyNumberFormat="1" applyFont="1" applyFill="1" applyBorder="1" applyAlignment="1">
      <alignment horizontal="center"/>
    </xf>
    <xf numFmtId="167" fontId="10" fillId="2" borderId="24" xfId="1" applyNumberFormat="1" applyFont="1" applyFill="1" applyBorder="1" applyAlignment="1">
      <alignment horizontal="center"/>
    </xf>
    <xf numFmtId="167" fontId="10" fillId="2" borderId="1" xfId="1" applyNumberFormat="1" applyFont="1" applyFill="1" applyBorder="1" applyAlignment="1">
      <alignment horizontal="center"/>
    </xf>
    <xf numFmtId="167" fontId="10" fillId="2" borderId="16" xfId="1" applyNumberFormat="1" applyFont="1" applyFill="1" applyBorder="1" applyAlignment="1">
      <alignment horizontal="center"/>
    </xf>
    <xf numFmtId="167" fontId="10" fillId="2" borderId="15" xfId="1" applyNumberFormat="1" applyFont="1" applyFill="1" applyBorder="1" applyAlignment="1">
      <alignment horizontal="center"/>
    </xf>
    <xf numFmtId="169" fontId="10" fillId="2" borderId="16" xfId="1" applyNumberFormat="1" applyFont="1" applyFill="1" applyBorder="1" applyAlignment="1">
      <alignment horizontal="center"/>
    </xf>
    <xf numFmtId="168" fontId="10" fillId="2" borderId="0" xfId="5" applyNumberFormat="1" applyFont="1" applyFill="1" applyAlignment="1">
      <alignment horizontal="center"/>
    </xf>
    <xf numFmtId="2" fontId="16" fillId="2" borderId="0" xfId="5" applyNumberFormat="1" applyFont="1" applyFill="1"/>
    <xf numFmtId="167" fontId="10" fillId="2" borderId="17" xfId="1" applyNumberFormat="1" applyFont="1" applyFill="1" applyBorder="1" applyAlignment="1">
      <alignment horizontal="center"/>
    </xf>
    <xf numFmtId="169" fontId="10" fillId="2" borderId="9" xfId="1" applyNumberFormat="1" applyFont="1" applyFill="1" applyBorder="1" applyAlignment="1">
      <alignment horizontal="center"/>
    </xf>
    <xf numFmtId="2" fontId="19" fillId="2" borderId="0" xfId="7" applyNumberFormat="1" applyFill="1" applyAlignment="1">
      <alignment horizontal="right" wrapText="1"/>
    </xf>
    <xf numFmtId="3" fontId="10" fillId="2" borderId="0" xfId="0" applyNumberFormat="1" applyFont="1" applyFill="1"/>
    <xf numFmtId="171" fontId="10" fillId="2" borderId="0" xfId="1" applyNumberFormat="1" applyFont="1" applyFill="1"/>
    <xf numFmtId="9" fontId="10" fillId="2" borderId="0" xfId="2" applyFont="1" applyFill="1"/>
    <xf numFmtId="168" fontId="18" fillId="3" borderId="25" xfId="5" applyNumberFormat="1" applyFont="1" applyFill="1" applyBorder="1" applyAlignment="1">
      <alignment horizontal="center"/>
    </xf>
    <xf numFmtId="168" fontId="10" fillId="2" borderId="0" xfId="5" applyNumberFormat="1" applyFont="1" applyFill="1" applyAlignment="1">
      <alignment horizontal="right"/>
    </xf>
    <xf numFmtId="9" fontId="16" fillId="2" borderId="0" xfId="2" applyFont="1" applyFill="1"/>
    <xf numFmtId="0" fontId="10" fillId="2" borderId="0" xfId="6" applyFont="1" applyFill="1"/>
    <xf numFmtId="173" fontId="10" fillId="2" borderId="0" xfId="5" applyNumberFormat="1" applyFont="1" applyFill="1" applyAlignment="1">
      <alignment horizontal="center"/>
    </xf>
    <xf numFmtId="168" fontId="10" fillId="2" borderId="0" xfId="5" applyNumberFormat="1" applyFont="1" applyFill="1" applyAlignment="1">
      <alignment vertical="top" wrapText="1"/>
    </xf>
    <xf numFmtId="10" fontId="10" fillId="2" borderId="0" xfId="2" applyNumberFormat="1" applyFont="1" applyFill="1"/>
    <xf numFmtId="174" fontId="10" fillId="2" borderId="0" xfId="2" applyNumberFormat="1" applyFont="1" applyFill="1" applyAlignment="1">
      <alignment horizontal="right"/>
    </xf>
    <xf numFmtId="43" fontId="10" fillId="2" borderId="0" xfId="1" applyFont="1" applyFill="1" applyBorder="1" applyAlignment="1">
      <alignment vertical="top" wrapText="1"/>
    </xf>
    <xf numFmtId="168" fontId="10" fillId="2" borderId="0" xfId="5" applyNumberFormat="1" applyFont="1" applyFill="1" applyAlignment="1">
      <alignment horizontal="left"/>
    </xf>
    <xf numFmtId="172" fontId="10" fillId="2" borderId="0" xfId="2" applyNumberFormat="1" applyFont="1" applyFill="1"/>
    <xf numFmtId="171" fontId="16" fillId="2" borderId="0" xfId="1" applyNumberFormat="1" applyFont="1" applyFill="1"/>
    <xf numFmtId="166" fontId="10" fillId="2" borderId="0" xfId="5" applyNumberFormat="1" applyFont="1" applyFill="1"/>
    <xf numFmtId="0" fontId="13" fillId="2" borderId="0" xfId="0" applyFont="1" applyFill="1"/>
    <xf numFmtId="0" fontId="18" fillId="3" borderId="6" xfId="0" applyFont="1" applyFill="1" applyBorder="1" applyAlignment="1">
      <alignment horizontal="center" wrapText="1"/>
    </xf>
    <xf numFmtId="167" fontId="10" fillId="2" borderId="6" xfId="1" applyNumberFormat="1" applyFont="1" applyFill="1" applyBorder="1" applyAlignment="1">
      <alignment horizontal="center"/>
    </xf>
    <xf numFmtId="167" fontId="0" fillId="0" borderId="0" xfId="0" applyNumberFormat="1"/>
    <xf numFmtId="3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left" indent="4"/>
    </xf>
    <xf numFmtId="167" fontId="10" fillId="2" borderId="26" xfId="1" applyNumberFormat="1" applyFont="1" applyFill="1" applyBorder="1" applyAlignment="1">
      <alignment horizontal="center"/>
    </xf>
    <xf numFmtId="170" fontId="24" fillId="2" borderId="6" xfId="5" applyNumberFormat="1" applyFont="1" applyFill="1" applyBorder="1" applyAlignment="1">
      <alignment horizontal="center"/>
    </xf>
    <xf numFmtId="3" fontId="20" fillId="2" borderId="6" xfId="0" applyNumberFormat="1" applyFont="1" applyFill="1" applyBorder="1" applyAlignment="1">
      <alignment horizontal="right"/>
    </xf>
    <xf numFmtId="0" fontId="0" fillId="0" borderId="6" xfId="0" applyBorder="1"/>
    <xf numFmtId="0" fontId="5" fillId="3" borderId="2" xfId="3" applyFont="1" applyFill="1" applyBorder="1" applyAlignment="1">
      <alignment horizontal="center" vertical="center" wrapText="1"/>
    </xf>
    <xf numFmtId="0" fontId="5" fillId="3" borderId="10" xfId="3" applyFont="1" applyFill="1" applyBorder="1" applyAlignment="1">
      <alignment horizontal="center" wrapText="1"/>
    </xf>
    <xf numFmtId="0" fontId="18" fillId="3" borderId="18" xfId="0" applyFont="1" applyFill="1" applyBorder="1" applyAlignment="1">
      <alignment horizontal="center" vertical="top" wrapText="1"/>
    </xf>
    <xf numFmtId="0" fontId="18" fillId="3" borderId="19" xfId="0" applyFont="1" applyFill="1" applyBorder="1" applyAlignment="1">
      <alignment horizontal="center" wrapText="1"/>
    </xf>
    <xf numFmtId="168" fontId="18" fillId="3" borderId="20" xfId="5" applyNumberFormat="1" applyFont="1" applyFill="1" applyBorder="1" applyAlignment="1">
      <alignment horizontal="center"/>
    </xf>
    <xf numFmtId="168" fontId="18" fillId="3" borderId="27" xfId="5" applyNumberFormat="1" applyFont="1" applyFill="1" applyBorder="1" applyAlignment="1">
      <alignment horizontal="center"/>
    </xf>
    <xf numFmtId="0" fontId="5" fillId="3" borderId="28" xfId="3" applyFont="1" applyFill="1" applyBorder="1" applyAlignment="1">
      <alignment horizontal="center"/>
    </xf>
    <xf numFmtId="0" fontId="0" fillId="0" borderId="29" xfId="0" applyBorder="1" applyAlignment="1">
      <alignment wrapText="1"/>
    </xf>
    <xf numFmtId="0" fontId="5" fillId="3" borderId="12" xfId="3" applyFont="1" applyFill="1" applyBorder="1" applyAlignment="1">
      <alignment horizontal="center" vertical="center"/>
    </xf>
    <xf numFmtId="0" fontId="5" fillId="3" borderId="11" xfId="3" applyFont="1" applyFill="1" applyBorder="1" applyAlignment="1">
      <alignment horizontal="center" vertical="center" wrapText="1"/>
    </xf>
    <xf numFmtId="0" fontId="5" fillId="3" borderId="30" xfId="3" applyFont="1" applyFill="1" applyBorder="1" applyAlignment="1">
      <alignment horizontal="center" vertical="center" wrapText="1"/>
    </xf>
    <xf numFmtId="168" fontId="17" fillId="2" borderId="6" xfId="5" applyNumberFormat="1" applyFont="1" applyFill="1" applyBorder="1" applyAlignment="1">
      <alignment wrapText="1"/>
    </xf>
    <xf numFmtId="168" fontId="17" fillId="2" borderId="29" xfId="5" applyNumberFormat="1" applyFont="1" applyFill="1" applyBorder="1" applyAlignment="1">
      <alignment wrapText="1"/>
    </xf>
  </cellXfs>
  <cellStyles count="14">
    <cellStyle name="Comma" xfId="1" builtinId="3"/>
    <cellStyle name="Comma 5" xfId="8" xr:uid="{7D4E77AC-5CD2-4FDA-83C0-75CCAF1E319E}"/>
    <cellStyle name="Hyperlink 2" xfId="12" xr:uid="{4E8FB538-8128-4302-864C-8C1BE589B48E}"/>
    <cellStyle name="Normal" xfId="0" builtinId="0"/>
    <cellStyle name="Normal 2" xfId="4" xr:uid="{C8869F24-C974-4D42-81ED-A0A9E173FA97}"/>
    <cellStyle name="Normal 2 2" xfId="10" xr:uid="{AE82E208-2648-45B2-8837-C4536BD55365}"/>
    <cellStyle name="Normal 3" xfId="6" xr:uid="{40DBB2D3-7AB9-48DF-B280-86A3D698A65F}"/>
    <cellStyle name="Normal 3 2" xfId="9" xr:uid="{7833CA73-55D4-4095-94AA-BBAEE46B0FA7}"/>
    <cellStyle name="Normal 4" xfId="11" xr:uid="{8AA35CE5-7C37-4675-A05E-53D168B75550}"/>
    <cellStyle name="Normal 5" xfId="3" xr:uid="{C36F81C2-A956-4BE0-95D1-2C0C8B1266A0}"/>
    <cellStyle name="Normal 6" xfId="5" xr:uid="{EB75A5D4-1CEB-43C0-B540-727D57CFE041}"/>
    <cellStyle name="Normal_Sheet3" xfId="7" xr:uid="{25AB9397-D500-498D-ADAB-FF6E391775E5}"/>
    <cellStyle name="Percent" xfId="2" builtinId="5"/>
    <cellStyle name="Untitled2" xfId="13" xr:uid="{8A59D49F-C108-4F60-9D02-26DD156BA90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ustralia\Monash\Semester_3\FIT%205147%20Data%20Exploration%20and%20Data%20Visualisation\London\2023\LEGGI%202023.xlsx" TargetMode="External"/><Relationship Id="rId1" Type="http://schemas.openxmlformats.org/officeDocument/2006/relationships/externalLinkPath" Target="LEGGI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 LEGGI"/>
      <sheetName val="Summary"/>
      <sheetName val="Borough kWh"/>
      <sheetName val="Borough GHG"/>
      <sheetName val="Charts"/>
      <sheetName val="I. Energy - Stationary"/>
      <sheetName val="II. Transport "/>
      <sheetName val="III. Waste"/>
      <sheetName val="IV. IPPU"/>
      <sheetName val="V. AFOLU"/>
      <sheetName val="Emission &amp; Conversion Factors"/>
      <sheetName val="Data sources and methods"/>
    </sheetNames>
    <sheetDataSet>
      <sheetData sheetId="0"/>
      <sheetData sheetId="1"/>
      <sheetData sheetId="2">
        <row r="10">
          <cell r="C10">
            <v>243158673.0610007</v>
          </cell>
        </row>
      </sheetData>
      <sheetData sheetId="3"/>
      <sheetData sheetId="4"/>
      <sheetData sheetId="5">
        <row r="9">
          <cell r="F9">
            <v>243158673.0610007</v>
          </cell>
        </row>
      </sheetData>
      <sheetData sheetId="6">
        <row r="9">
          <cell r="E9">
            <v>2637.166702259924</v>
          </cell>
        </row>
      </sheetData>
      <sheetData sheetId="7">
        <row r="10">
          <cell r="L10">
            <v>41713</v>
          </cell>
        </row>
      </sheetData>
      <sheetData sheetId="8">
        <row r="65">
          <cell r="R65">
            <v>1010103.6196923096</v>
          </cell>
        </row>
      </sheetData>
      <sheetData sheetId="9">
        <row r="9">
          <cell r="H9">
            <v>2592.7493801043752</v>
          </cell>
        </row>
      </sheetData>
      <sheetData sheetId="10">
        <row r="24">
          <cell r="E24">
            <v>0.18296000000000001</v>
          </cell>
        </row>
        <row r="46">
          <cell r="G46">
            <v>2.9E-4</v>
          </cell>
          <cell r="H46">
            <v>3.2899999999999999E-2</v>
          </cell>
        </row>
        <row r="60">
          <cell r="E60">
            <v>0.25650000000000001</v>
          </cell>
        </row>
        <row r="70">
          <cell r="G70">
            <v>8.0599999999999995E-3</v>
          </cell>
          <cell r="H70">
            <v>5.8700000000000002E-3</v>
          </cell>
        </row>
        <row r="109">
          <cell r="E109">
            <v>0.34721000000000002</v>
          </cell>
        </row>
        <row r="123">
          <cell r="E123">
            <v>0.17701</v>
          </cell>
          <cell r="F123">
            <v>0.17488999999999999</v>
          </cell>
          <cell r="G123">
            <v>8.9999999999999998E-4</v>
          </cell>
          <cell r="H123">
            <v>1.2199999999999999E-3</v>
          </cell>
        </row>
        <row r="124">
          <cell r="E124">
            <v>1.8530000000000001E-2</v>
          </cell>
          <cell r="F124">
            <v>1.8339999999999999E-2</v>
          </cell>
          <cell r="G124">
            <v>8.0000000000000007E-5</v>
          </cell>
          <cell r="H124">
            <v>1.1E-4</v>
          </cell>
        </row>
        <row r="144">
          <cell r="G144">
            <v>0.13871156900024537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H22" sqref="H22"/>
    </sheetView>
  </sheetViews>
  <sheetFormatPr defaultRowHeight="14.4" x14ac:dyDescent="0.3"/>
  <sheetData>
    <row r="1" spans="1:3" ht="18" x14ac:dyDescent="0.35">
      <c r="A1" s="15"/>
      <c r="B1" s="16"/>
      <c r="C1" s="16"/>
    </row>
    <row r="2" spans="1:3" x14ac:dyDescent="0.3">
      <c r="A2" s="17"/>
      <c r="B2" s="16"/>
      <c r="C2" s="16"/>
    </row>
    <row r="3" spans="1:3" x14ac:dyDescent="0.3">
      <c r="A3" s="18"/>
      <c r="B3" s="18"/>
      <c r="C3" s="19"/>
    </row>
    <row r="4" spans="1:3" x14ac:dyDescent="0.3">
      <c r="A4" s="16"/>
      <c r="B4" s="20"/>
      <c r="C4" s="14"/>
    </row>
    <row r="5" spans="1:3" x14ac:dyDescent="0.3">
      <c r="A5" s="16"/>
      <c r="B5" s="20"/>
      <c r="C5" s="14"/>
    </row>
    <row r="6" spans="1:3" x14ac:dyDescent="0.3">
      <c r="A6" s="18"/>
      <c r="B6" s="16"/>
      <c r="C6" s="14"/>
    </row>
    <row r="7" spans="1:3" x14ac:dyDescent="0.3">
      <c r="A7" s="16"/>
      <c r="B7" s="19"/>
      <c r="C7" s="14"/>
    </row>
    <row r="8" spans="1:3" x14ac:dyDescent="0.3">
      <c r="A8" s="16"/>
      <c r="B8" s="19"/>
      <c r="C8" s="14"/>
    </row>
    <row r="9" spans="1:3" x14ac:dyDescent="0.3">
      <c r="A9" s="18"/>
      <c r="B9" s="16"/>
      <c r="C9" s="14"/>
    </row>
    <row r="10" spans="1:3" x14ac:dyDescent="0.3">
      <c r="A10" s="16"/>
      <c r="B10" s="20"/>
      <c r="C10" s="14"/>
    </row>
    <row r="11" spans="1:3" x14ac:dyDescent="0.3">
      <c r="A11" s="18"/>
      <c r="B11" s="16"/>
      <c r="C11" s="16"/>
    </row>
    <row r="12" spans="1:3" x14ac:dyDescent="0.3">
      <c r="A12" s="16"/>
      <c r="B12" s="20"/>
      <c r="C12" s="16"/>
    </row>
    <row r="13" spans="1:3" x14ac:dyDescent="0.3">
      <c r="A13" s="18"/>
      <c r="B13" s="16"/>
      <c r="C13" s="16"/>
    </row>
    <row r="14" spans="1:3" x14ac:dyDescent="0.3">
      <c r="A14" s="16"/>
      <c r="B14" s="21"/>
      <c r="C14" s="16"/>
    </row>
    <row r="15" spans="1:3" x14ac:dyDescent="0.3">
      <c r="A15" s="16"/>
      <c r="B15" s="21"/>
      <c r="C15" s="16"/>
    </row>
    <row r="16" spans="1:3" x14ac:dyDescent="0.3">
      <c r="A16" s="22"/>
      <c r="B16" s="23"/>
      <c r="C16" s="16"/>
    </row>
    <row r="17" spans="1:3" x14ac:dyDescent="0.3">
      <c r="A17" s="16"/>
      <c r="B17" s="21"/>
      <c r="C17" s="23"/>
    </row>
    <row r="18" spans="1:3" x14ac:dyDescent="0.3">
      <c r="A18" s="16"/>
      <c r="B18" s="24"/>
      <c r="C18" s="24"/>
    </row>
    <row r="19" spans="1:3" x14ac:dyDescent="0.3">
      <c r="A19" s="22"/>
      <c r="B19" s="25"/>
      <c r="C19" s="24"/>
    </row>
    <row r="20" spans="1:3" x14ac:dyDescent="0.3">
      <c r="A20" s="26"/>
      <c r="B20" s="19"/>
      <c r="C20" s="24"/>
    </row>
    <row r="21" spans="1:3" x14ac:dyDescent="0.3">
      <c r="A21" s="16"/>
      <c r="B21" s="21"/>
      <c r="C21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A8B6-5EA7-4441-A812-BDDD90D77FBF}">
  <dimension ref="A1:Y34"/>
  <sheetViews>
    <sheetView tabSelected="1" topLeftCell="J1" workbookViewId="0">
      <selection activeCell="Y2" sqref="Y2"/>
    </sheetView>
  </sheetViews>
  <sheetFormatPr defaultRowHeight="14.4" x14ac:dyDescent="0.3"/>
  <cols>
    <col min="2" max="2" width="25.44140625" customWidth="1"/>
    <col min="3" max="3" width="14.33203125" customWidth="1"/>
    <col min="4" max="4" width="13.21875" customWidth="1"/>
    <col min="5" max="6" width="10.77734375" customWidth="1"/>
    <col min="7" max="7" width="11" customWidth="1"/>
    <col min="8" max="8" width="14.77734375" customWidth="1"/>
    <col min="9" max="9" width="13.109375" customWidth="1"/>
    <col min="10" max="10" width="14.21875" customWidth="1"/>
    <col min="11" max="11" width="13.109375" customWidth="1"/>
    <col min="12" max="12" width="10.6640625" customWidth="1"/>
    <col min="13" max="13" width="12.44140625" customWidth="1"/>
    <col min="14" max="14" width="11.21875" customWidth="1"/>
    <col min="15" max="15" width="15.33203125" customWidth="1"/>
    <col min="16" max="16" width="12.33203125" customWidth="1"/>
    <col min="17" max="17" width="10.33203125" customWidth="1"/>
    <col min="18" max="18" width="10.88671875" customWidth="1"/>
    <col min="19" max="19" width="11" customWidth="1"/>
    <col min="20" max="20" width="12.77734375" customWidth="1"/>
    <col min="21" max="21" width="13.21875" customWidth="1"/>
    <col min="22" max="22" width="14.44140625" customWidth="1"/>
    <col min="23" max="23" width="15.109375" customWidth="1"/>
    <col min="24" max="24" width="12.109375" customWidth="1"/>
    <col min="25" max="25" width="17.44140625" customWidth="1"/>
  </cols>
  <sheetData>
    <row r="1" spans="1:25" ht="43.2" x14ac:dyDescent="0.3">
      <c r="A1" s="2"/>
      <c r="B1" s="96" t="s">
        <v>93</v>
      </c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3" t="s">
        <v>5</v>
      </c>
      <c r="I1" s="3" t="s">
        <v>0</v>
      </c>
      <c r="J1" s="3" t="s">
        <v>6</v>
      </c>
      <c r="K1" s="3" t="s">
        <v>1</v>
      </c>
      <c r="L1" s="4" t="s">
        <v>2</v>
      </c>
      <c r="M1" s="4" t="s">
        <v>3</v>
      </c>
      <c r="N1" s="5" t="s">
        <v>4</v>
      </c>
      <c r="O1" s="3" t="s">
        <v>5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5</v>
      </c>
      <c r="W1" s="90"/>
      <c r="X1" s="97" t="s">
        <v>91</v>
      </c>
      <c r="Y1" s="97" t="s">
        <v>95</v>
      </c>
    </row>
    <row r="2" spans="1:25" x14ac:dyDescent="0.3">
      <c r="A2" s="1"/>
      <c r="B2" s="6" t="s">
        <v>13</v>
      </c>
      <c r="C2" s="7">
        <v>243158673.0610007</v>
      </c>
      <c r="D2" s="8">
        <v>651400249.75527298</v>
      </c>
      <c r="E2" s="8">
        <v>11276408.352701666</v>
      </c>
      <c r="F2" s="8">
        <v>2550489.1072210916</v>
      </c>
      <c r="G2" s="8">
        <v>29952705.51904298</v>
      </c>
      <c r="H2" s="9">
        <v>938338525.79523945</v>
      </c>
      <c r="I2" s="10">
        <v>322023592.67499995</v>
      </c>
      <c r="J2" s="8">
        <v>261645474.22100547</v>
      </c>
      <c r="K2" s="8">
        <v>227695806.78680789</v>
      </c>
      <c r="L2" s="8">
        <v>2902193.7231079</v>
      </c>
      <c r="M2" s="8">
        <v>171610846.090545</v>
      </c>
      <c r="N2" s="8">
        <v>9346576.1710001063</v>
      </c>
      <c r="O2" s="9">
        <v>673200896.99246633</v>
      </c>
      <c r="P2" s="8">
        <v>0</v>
      </c>
      <c r="Q2" s="8">
        <v>3896822.6611414813</v>
      </c>
      <c r="R2" s="8">
        <v>10281526.851315835</v>
      </c>
      <c r="S2" s="8">
        <v>48222050.035868868</v>
      </c>
      <c r="T2" s="8">
        <v>555470993.19560003</v>
      </c>
      <c r="U2" s="8">
        <v>12156068.418125592</v>
      </c>
      <c r="V2" s="9">
        <v>630027461.1620518</v>
      </c>
      <c r="W2" s="11">
        <v>2241566883.9497576</v>
      </c>
      <c r="X2" s="89">
        <v>218900</v>
      </c>
      <c r="Y2" s="89">
        <f>W2/X2</f>
        <v>10240.141087024931</v>
      </c>
    </row>
    <row r="3" spans="1:25" x14ac:dyDescent="0.3">
      <c r="A3" s="1"/>
      <c r="B3" s="12" t="s">
        <v>14</v>
      </c>
      <c r="C3" s="7">
        <v>586301767.55000925</v>
      </c>
      <c r="D3" s="8">
        <v>1837556413.69719</v>
      </c>
      <c r="E3" s="8">
        <v>8631530.1613706239</v>
      </c>
      <c r="F3" s="8">
        <v>8375487.8641760927</v>
      </c>
      <c r="G3" s="8">
        <v>38851916.380611569</v>
      </c>
      <c r="H3" s="9">
        <v>2479717115.6533575</v>
      </c>
      <c r="I3" s="10">
        <v>456129018.3291952</v>
      </c>
      <c r="J3" s="8">
        <v>325875924.25011635</v>
      </c>
      <c r="K3" s="8">
        <v>480477565.75420791</v>
      </c>
      <c r="L3" s="8">
        <v>6346528.5237974562</v>
      </c>
      <c r="M3" s="8">
        <v>331392950.37053585</v>
      </c>
      <c r="N3" s="8">
        <v>16434916.660136843</v>
      </c>
      <c r="O3" s="9">
        <v>1160527885.5587945</v>
      </c>
      <c r="P3" s="8">
        <v>473086.03001758811</v>
      </c>
      <c r="Q3" s="8">
        <v>0</v>
      </c>
      <c r="R3" s="8">
        <v>39301737.303441517</v>
      </c>
      <c r="S3" s="8">
        <v>102282220.9832702</v>
      </c>
      <c r="T3" s="8">
        <v>1311145190.8534999</v>
      </c>
      <c r="U3" s="8">
        <v>27970873.09580864</v>
      </c>
      <c r="V3" s="9">
        <v>1481173108.2660379</v>
      </c>
      <c r="W3" s="11">
        <v>5121418109.4781895</v>
      </c>
      <c r="X3" s="89">
        <v>389300</v>
      </c>
      <c r="Y3" s="89">
        <f t="shared" ref="Y3:Y34" si="0">W3/X3</f>
        <v>13155.453659075751</v>
      </c>
    </row>
    <row r="4" spans="1:25" x14ac:dyDescent="0.3">
      <c r="A4" s="1"/>
      <c r="B4" s="12" t="s">
        <v>15</v>
      </c>
      <c r="C4" s="7">
        <v>336363051.74500149</v>
      </c>
      <c r="D4" s="8">
        <v>1011298218.1246719</v>
      </c>
      <c r="E4" s="8">
        <v>10381304.602368213</v>
      </c>
      <c r="F4" s="8">
        <v>5904200.2268335884</v>
      </c>
      <c r="G4" s="8">
        <v>37702535.276610158</v>
      </c>
      <c r="H4" s="9">
        <v>1401649309.9754853</v>
      </c>
      <c r="I4" s="10">
        <v>397225152.11799991</v>
      </c>
      <c r="J4" s="8">
        <v>344373649.41062659</v>
      </c>
      <c r="K4" s="8">
        <v>663320523.01533413</v>
      </c>
      <c r="L4" s="8">
        <v>6091027.6736835977</v>
      </c>
      <c r="M4" s="8">
        <v>108322321.36558956</v>
      </c>
      <c r="N4" s="8">
        <v>38686911.974255346</v>
      </c>
      <c r="O4" s="9">
        <v>1160794433.4394894</v>
      </c>
      <c r="P4" s="8">
        <v>23379055.690543462</v>
      </c>
      <c r="Q4" s="8">
        <v>1769215.5977708308</v>
      </c>
      <c r="R4" s="8">
        <v>4707938.6200634744</v>
      </c>
      <c r="S4" s="8">
        <v>36884418.986871436</v>
      </c>
      <c r="T4" s="8">
        <v>758757204.6178</v>
      </c>
      <c r="U4" s="8">
        <v>15967083.720501898</v>
      </c>
      <c r="V4" s="9">
        <v>841464917.23355114</v>
      </c>
      <c r="W4" s="11">
        <v>3403908660.6485257</v>
      </c>
      <c r="X4" s="89">
        <v>246500</v>
      </c>
      <c r="Y4" s="89">
        <f t="shared" si="0"/>
        <v>13808.960083766839</v>
      </c>
    </row>
    <row r="5" spans="1:25" x14ac:dyDescent="0.3">
      <c r="A5" s="1"/>
      <c r="B5" s="12" t="s">
        <v>16</v>
      </c>
      <c r="C5" s="7">
        <v>402794658.68009591</v>
      </c>
      <c r="D5" s="8">
        <v>1299926282.3911829</v>
      </c>
      <c r="E5" s="8">
        <v>8982314.3448757827</v>
      </c>
      <c r="F5" s="8">
        <v>4883385.1214423422</v>
      </c>
      <c r="G5" s="8">
        <v>28815927.881081719</v>
      </c>
      <c r="H5" s="9">
        <v>1745402568.4186788</v>
      </c>
      <c r="I5" s="10">
        <v>717664264.5250001</v>
      </c>
      <c r="J5" s="8">
        <v>586980827.9190644</v>
      </c>
      <c r="K5" s="8">
        <v>548522353.07861865</v>
      </c>
      <c r="L5" s="8">
        <v>7539603.824938383</v>
      </c>
      <c r="M5" s="8">
        <v>181696784.16121671</v>
      </c>
      <c r="N5" s="8">
        <v>26035879.653662555</v>
      </c>
      <c r="O5" s="9">
        <v>1350775448.6375005</v>
      </c>
      <c r="P5" s="8">
        <v>795739.37369420077</v>
      </c>
      <c r="Q5" s="8">
        <v>0</v>
      </c>
      <c r="R5" s="8">
        <v>47170370.70313333</v>
      </c>
      <c r="S5" s="8">
        <v>111941804.48988284</v>
      </c>
      <c r="T5" s="8">
        <v>842511109.33349991</v>
      </c>
      <c r="U5" s="8">
        <v>18741632.116052814</v>
      </c>
      <c r="V5" s="9">
        <v>1021160656.0162631</v>
      </c>
      <c r="W5" s="11">
        <v>4117338673.0724421</v>
      </c>
      <c r="X5" s="89">
        <v>339800</v>
      </c>
      <c r="Y5" s="89">
        <f t="shared" si="0"/>
        <v>12116.947242708777</v>
      </c>
    </row>
    <row r="6" spans="1:25" x14ac:dyDescent="0.3">
      <c r="A6" s="1"/>
      <c r="B6" s="12" t="s">
        <v>17</v>
      </c>
      <c r="C6" s="7">
        <v>492714513.32200164</v>
      </c>
      <c r="D6" s="8">
        <v>1679765970.6638019</v>
      </c>
      <c r="E6" s="8">
        <v>8546604.0409093443</v>
      </c>
      <c r="F6" s="8">
        <v>12924181.642941443</v>
      </c>
      <c r="G6" s="8">
        <v>44204590.569304056</v>
      </c>
      <c r="H6" s="9">
        <v>2238155860.2389584</v>
      </c>
      <c r="I6" s="10">
        <v>358084974.86900002</v>
      </c>
      <c r="J6" s="8">
        <v>260183786.88616091</v>
      </c>
      <c r="K6" s="8">
        <v>293666226.59579349</v>
      </c>
      <c r="L6" s="8">
        <v>3368202.1121087577</v>
      </c>
      <c r="M6" s="8">
        <v>124594164.96366827</v>
      </c>
      <c r="N6" s="8">
        <v>9288537.6810710412</v>
      </c>
      <c r="O6" s="9">
        <v>691100918.23880231</v>
      </c>
      <c r="P6" s="8">
        <v>22968811.30303362</v>
      </c>
      <c r="Q6" s="8">
        <v>0</v>
      </c>
      <c r="R6" s="8">
        <v>5761664.9311558595</v>
      </c>
      <c r="S6" s="8">
        <v>75626035.796284154</v>
      </c>
      <c r="T6" s="8">
        <v>1060822529.2698001</v>
      </c>
      <c r="U6" s="8">
        <v>22275152.18655498</v>
      </c>
      <c r="V6" s="9">
        <v>1187454193.4868286</v>
      </c>
      <c r="W6" s="11">
        <v>4116710971.9645891</v>
      </c>
      <c r="X6" s="89">
        <v>330000</v>
      </c>
      <c r="Y6" s="89">
        <f t="shared" si="0"/>
        <v>12474.881733226028</v>
      </c>
    </row>
    <row r="7" spans="1:25" x14ac:dyDescent="0.3">
      <c r="A7" s="1"/>
      <c r="B7" s="12" t="s">
        <v>18</v>
      </c>
      <c r="C7" s="7">
        <v>317787547.64599729</v>
      </c>
      <c r="D7" s="8">
        <v>799371663.63720572</v>
      </c>
      <c r="E7" s="8">
        <v>2143086.1999058016</v>
      </c>
      <c r="F7" s="8">
        <v>8142909.7509792652</v>
      </c>
      <c r="G7" s="8">
        <v>6070778.0850158278</v>
      </c>
      <c r="H7" s="9">
        <v>1133515985.319104</v>
      </c>
      <c r="I7" s="10">
        <v>1151352653.675</v>
      </c>
      <c r="J7" s="8">
        <v>1014374039.3523374</v>
      </c>
      <c r="K7" s="8">
        <v>1292359215.3665249</v>
      </c>
      <c r="L7" s="8">
        <v>6448478.1492264783</v>
      </c>
      <c r="M7" s="8">
        <v>626674153.4208287</v>
      </c>
      <c r="N7" s="8">
        <v>11383265.324499279</v>
      </c>
      <c r="O7" s="9">
        <v>2951239151.6134171</v>
      </c>
      <c r="P7" s="8">
        <v>0</v>
      </c>
      <c r="Q7" s="8">
        <v>0</v>
      </c>
      <c r="R7" s="8">
        <v>47016888.300577782</v>
      </c>
      <c r="S7" s="8">
        <v>122186543.16332789</v>
      </c>
      <c r="T7" s="8">
        <v>475257417.98290008</v>
      </c>
      <c r="U7" s="8">
        <v>14792071.159334682</v>
      </c>
      <c r="V7" s="9">
        <v>659252920.60614038</v>
      </c>
      <c r="W7" s="11">
        <v>4744008057.538661</v>
      </c>
      <c r="X7" s="89">
        <v>210100</v>
      </c>
      <c r="Y7" s="89">
        <f t="shared" si="0"/>
        <v>22579.762291949839</v>
      </c>
    </row>
    <row r="8" spans="1:25" x14ac:dyDescent="0.3">
      <c r="A8" s="1"/>
      <c r="B8" s="12" t="s">
        <v>19</v>
      </c>
      <c r="C8" s="7">
        <v>25579185.71800001</v>
      </c>
      <c r="D8" s="8">
        <v>24092856.42555324</v>
      </c>
      <c r="E8" s="8">
        <v>35426.035968557109</v>
      </c>
      <c r="F8" s="8">
        <v>293106.02440378052</v>
      </c>
      <c r="G8" s="8">
        <v>81249.442650305617</v>
      </c>
      <c r="H8" s="9">
        <v>50081823.64657589</v>
      </c>
      <c r="I8" s="10">
        <v>1573440692.059</v>
      </c>
      <c r="J8" s="8">
        <v>1526834411.9279423</v>
      </c>
      <c r="K8" s="8">
        <v>654907798.28624368</v>
      </c>
      <c r="L8" s="8">
        <v>3872922.0181863448</v>
      </c>
      <c r="M8" s="8">
        <v>153229154.91806304</v>
      </c>
      <c r="N8" s="8">
        <v>6390979.7191848941</v>
      </c>
      <c r="O8" s="9">
        <v>2345235266.8696203</v>
      </c>
      <c r="P8" s="8">
        <v>829062.8892082395</v>
      </c>
      <c r="Q8" s="8">
        <v>16385690.191191146</v>
      </c>
      <c r="R8" s="8">
        <v>32808.019754453133</v>
      </c>
      <c r="S8" s="8">
        <v>39995269.272129118</v>
      </c>
      <c r="T8" s="8">
        <v>154204643.35090002</v>
      </c>
      <c r="U8" s="8">
        <v>6611010.8589287773</v>
      </c>
      <c r="V8" s="9">
        <v>218058484.58211175</v>
      </c>
      <c r="W8" s="11">
        <v>2613375575.0983081</v>
      </c>
      <c r="X8" s="89">
        <v>8600</v>
      </c>
      <c r="Y8" s="89">
        <f t="shared" si="0"/>
        <v>303880.88082538464</v>
      </c>
    </row>
    <row r="9" spans="1:25" x14ac:dyDescent="0.3">
      <c r="A9" s="1"/>
      <c r="B9" s="12" t="s">
        <v>20</v>
      </c>
      <c r="C9" s="7">
        <v>540050139.70999944</v>
      </c>
      <c r="D9" s="8">
        <v>1727173797.3810301</v>
      </c>
      <c r="E9" s="8">
        <v>14809139.351474699</v>
      </c>
      <c r="F9" s="8">
        <v>8580262.018533539</v>
      </c>
      <c r="G9" s="8">
        <v>52376009.9189981</v>
      </c>
      <c r="H9" s="9">
        <v>2342989348.3800364</v>
      </c>
      <c r="I9" s="10">
        <v>565409792.62199998</v>
      </c>
      <c r="J9" s="8">
        <v>437571824.98030812</v>
      </c>
      <c r="K9" s="8">
        <v>431716905.58326042</v>
      </c>
      <c r="L9" s="8">
        <v>3302529.4703759663</v>
      </c>
      <c r="M9" s="8">
        <v>134836649.26707041</v>
      </c>
      <c r="N9" s="8">
        <v>9842243.043706663</v>
      </c>
      <c r="O9" s="9">
        <v>1017270152.3447217</v>
      </c>
      <c r="P9" s="8">
        <v>1065531.9737249385</v>
      </c>
      <c r="Q9" s="8">
        <v>0</v>
      </c>
      <c r="R9" s="8">
        <v>15009412.279349983</v>
      </c>
      <c r="S9" s="8">
        <v>105504650.51570472</v>
      </c>
      <c r="T9" s="8">
        <v>1050364442.6124001</v>
      </c>
      <c r="U9" s="8">
        <v>22333317.125987113</v>
      </c>
      <c r="V9" s="9">
        <v>1194277354.5071669</v>
      </c>
      <c r="W9" s="11">
        <v>4554536855.231925</v>
      </c>
      <c r="X9" s="89">
        <v>390800</v>
      </c>
      <c r="Y9" s="89">
        <f t="shared" si="0"/>
        <v>11654.393181248528</v>
      </c>
    </row>
    <row r="10" spans="1:25" x14ac:dyDescent="0.3">
      <c r="A10" s="1"/>
      <c r="B10" s="12" t="s">
        <v>21</v>
      </c>
      <c r="C10" s="7">
        <v>453660782.38000739</v>
      </c>
      <c r="D10" s="8">
        <v>1401572485.727293</v>
      </c>
      <c r="E10" s="8">
        <v>10315833.553768577</v>
      </c>
      <c r="F10" s="8">
        <v>6122798.2476232387</v>
      </c>
      <c r="G10" s="8">
        <v>34518326.081984475</v>
      </c>
      <c r="H10" s="9">
        <v>1906190225.9906766</v>
      </c>
      <c r="I10" s="10">
        <v>908953528.22600067</v>
      </c>
      <c r="J10" s="8">
        <v>780032256.04912901</v>
      </c>
      <c r="K10" s="8">
        <v>619999968.73061502</v>
      </c>
      <c r="L10" s="8">
        <v>9882170.6662679743</v>
      </c>
      <c r="M10" s="8">
        <v>274828880.97592741</v>
      </c>
      <c r="N10" s="8">
        <v>23203776.49338245</v>
      </c>
      <c r="O10" s="9">
        <v>1707947052.9153218</v>
      </c>
      <c r="P10" s="8">
        <v>0</v>
      </c>
      <c r="Q10" s="8">
        <v>0</v>
      </c>
      <c r="R10" s="8">
        <v>17166640.41723153</v>
      </c>
      <c r="S10" s="8">
        <v>105377397.24895324</v>
      </c>
      <c r="T10" s="8">
        <v>1078547653.1752</v>
      </c>
      <c r="U10" s="8">
        <v>23543874.927918408</v>
      </c>
      <c r="V10" s="9">
        <v>1224635565.7693031</v>
      </c>
      <c r="W10" s="11">
        <v>4838772844.6753016</v>
      </c>
      <c r="X10" s="89">
        <v>367100</v>
      </c>
      <c r="Y10" s="89">
        <f t="shared" si="0"/>
        <v>13181.07557797685</v>
      </c>
    </row>
    <row r="11" spans="1:25" x14ac:dyDescent="0.3">
      <c r="A11" s="1"/>
      <c r="B11" s="12" t="s">
        <v>22</v>
      </c>
      <c r="C11" s="7">
        <v>437394689.49600267</v>
      </c>
      <c r="D11" s="8">
        <v>1318932002.554898</v>
      </c>
      <c r="E11" s="8">
        <v>12362139.979692778</v>
      </c>
      <c r="F11" s="8">
        <v>5975865.6276059765</v>
      </c>
      <c r="G11" s="8">
        <v>38553028.519235715</v>
      </c>
      <c r="H11" s="9">
        <v>1813217726.1774349</v>
      </c>
      <c r="I11" s="10">
        <v>479181770.94099981</v>
      </c>
      <c r="J11" s="8">
        <v>422179775.38808042</v>
      </c>
      <c r="K11" s="8">
        <v>469410203.37339556</v>
      </c>
      <c r="L11" s="8">
        <v>13955225.342895443</v>
      </c>
      <c r="M11" s="8">
        <v>151864054.39970133</v>
      </c>
      <c r="N11" s="8">
        <v>14804747.78664514</v>
      </c>
      <c r="O11" s="9">
        <v>1072214006.290718</v>
      </c>
      <c r="P11" s="8">
        <v>814055.86702375824</v>
      </c>
      <c r="Q11" s="8">
        <v>0</v>
      </c>
      <c r="R11" s="8">
        <v>4795865.5568538122</v>
      </c>
      <c r="S11" s="8">
        <v>30339833.594333746</v>
      </c>
      <c r="T11" s="8">
        <v>1525676981.0664999</v>
      </c>
      <c r="U11" s="8">
        <v>26662161.958585612</v>
      </c>
      <c r="V11" s="9">
        <v>1588288898.0432968</v>
      </c>
      <c r="W11" s="11">
        <v>4473720630.5114498</v>
      </c>
      <c r="X11" s="89">
        <v>330000</v>
      </c>
      <c r="Y11" s="89">
        <f t="shared" si="0"/>
        <v>13556.72918336803</v>
      </c>
    </row>
    <row r="12" spans="1:25" x14ac:dyDescent="0.3">
      <c r="A12" s="1"/>
      <c r="B12" s="12" t="s">
        <v>23</v>
      </c>
      <c r="C12" s="7">
        <v>351993125.12300414</v>
      </c>
      <c r="D12" s="8">
        <v>952799207.2998687</v>
      </c>
      <c r="E12" s="8">
        <v>9748368.1021548733</v>
      </c>
      <c r="F12" s="8">
        <v>4544905.7857881114</v>
      </c>
      <c r="G12" s="8">
        <v>31075547.609417103</v>
      </c>
      <c r="H12" s="9">
        <v>1350161153.920233</v>
      </c>
      <c r="I12" s="10">
        <v>431206389.7470001</v>
      </c>
      <c r="J12" s="8">
        <v>356628938.71655226</v>
      </c>
      <c r="K12" s="8">
        <v>497251427.92118365</v>
      </c>
      <c r="L12" s="8">
        <v>4277268.4813324837</v>
      </c>
      <c r="M12" s="8">
        <v>322176426.08919072</v>
      </c>
      <c r="N12" s="8">
        <v>15699830.593197996</v>
      </c>
      <c r="O12" s="9">
        <v>1196033891.8014572</v>
      </c>
      <c r="P12" s="8">
        <v>12504502.524964329</v>
      </c>
      <c r="Q12" s="8">
        <v>7651974.6097357571</v>
      </c>
      <c r="R12" s="8">
        <v>3043080.4872729611</v>
      </c>
      <c r="S12" s="8">
        <v>51284412.403830521</v>
      </c>
      <c r="T12" s="8">
        <v>967870588.17449999</v>
      </c>
      <c r="U12" s="8">
        <v>23293038.626617327</v>
      </c>
      <c r="V12" s="9">
        <v>1065647596.8269209</v>
      </c>
      <c r="W12" s="11">
        <v>3611842642.5486112</v>
      </c>
      <c r="X12" s="89">
        <v>289100</v>
      </c>
      <c r="Y12" s="89">
        <f t="shared" si="0"/>
        <v>12493.40243012318</v>
      </c>
    </row>
    <row r="13" spans="1:25" x14ac:dyDescent="0.3">
      <c r="A13" s="1"/>
      <c r="B13" s="12" t="s">
        <v>24</v>
      </c>
      <c r="C13" s="7">
        <v>327781771.15699959</v>
      </c>
      <c r="D13" s="8">
        <v>815239899.68554246</v>
      </c>
      <c r="E13" s="8">
        <v>3513485.2006031168</v>
      </c>
      <c r="F13" s="8">
        <v>2663991.6470680251</v>
      </c>
      <c r="G13" s="8">
        <v>8483352.9505774342</v>
      </c>
      <c r="H13" s="9">
        <v>1157682500.6407907</v>
      </c>
      <c r="I13" s="10">
        <v>523555518.83000046</v>
      </c>
      <c r="J13" s="8">
        <v>478164863.84000933</v>
      </c>
      <c r="K13" s="8">
        <v>354303440.47446656</v>
      </c>
      <c r="L13" s="8">
        <v>3551756.2267511724</v>
      </c>
      <c r="M13" s="8">
        <v>219974830.29161415</v>
      </c>
      <c r="N13" s="8">
        <v>6769782.9957738025</v>
      </c>
      <c r="O13" s="9">
        <v>1062764673.8286151</v>
      </c>
      <c r="P13" s="8">
        <v>0</v>
      </c>
      <c r="Q13" s="8">
        <v>0</v>
      </c>
      <c r="R13" s="8">
        <v>6565691.6246515838</v>
      </c>
      <c r="S13" s="8">
        <v>33177633.402004872</v>
      </c>
      <c r="T13" s="8">
        <v>455639549.54210007</v>
      </c>
      <c r="U13" s="8">
        <v>12213021.587986223</v>
      </c>
      <c r="V13" s="9">
        <v>507595896.15674275</v>
      </c>
      <c r="W13" s="11">
        <v>2728043070.6261482</v>
      </c>
      <c r="X13" s="89">
        <v>259200</v>
      </c>
      <c r="Y13" s="89">
        <f t="shared" si="0"/>
        <v>10524.857525563844</v>
      </c>
    </row>
    <row r="14" spans="1:25" x14ac:dyDescent="0.3">
      <c r="A14" s="1"/>
      <c r="B14" s="12" t="s">
        <v>25</v>
      </c>
      <c r="C14" s="7">
        <v>266684055.97400272</v>
      </c>
      <c r="D14" s="8">
        <v>732644314.37773526</v>
      </c>
      <c r="E14" s="8">
        <v>2965972.5880913828</v>
      </c>
      <c r="F14" s="8">
        <v>3217150.251648562</v>
      </c>
      <c r="G14" s="8">
        <v>7860019.1171377264</v>
      </c>
      <c r="H14" s="9">
        <v>1013371512.3086156</v>
      </c>
      <c r="I14" s="10">
        <v>611578418.20900035</v>
      </c>
      <c r="J14" s="8">
        <v>549023816.40487027</v>
      </c>
      <c r="K14" s="8">
        <v>517368752.2942878</v>
      </c>
      <c r="L14" s="8">
        <v>2201604.6050668326</v>
      </c>
      <c r="M14" s="8">
        <v>247417744.90362403</v>
      </c>
      <c r="N14" s="8">
        <v>5722763.3992822636</v>
      </c>
      <c r="O14" s="9">
        <v>1321734681.607131</v>
      </c>
      <c r="P14" s="8">
        <v>32006672.132496022</v>
      </c>
      <c r="Q14" s="8">
        <v>10288.806305145867</v>
      </c>
      <c r="R14" s="8">
        <v>6565458.1628905861</v>
      </c>
      <c r="S14" s="8">
        <v>50468008.174770646</v>
      </c>
      <c r="T14" s="8">
        <v>438250264.3957001</v>
      </c>
      <c r="U14" s="8">
        <v>12086593.629359432</v>
      </c>
      <c r="V14" s="9">
        <v>539387285.30152202</v>
      </c>
      <c r="W14" s="11">
        <v>2874493479.2172689</v>
      </c>
      <c r="X14" s="89">
        <v>183200</v>
      </c>
      <c r="Y14" s="89">
        <f t="shared" si="0"/>
        <v>15690.466589613914</v>
      </c>
    </row>
    <row r="15" spans="1:25" x14ac:dyDescent="0.3">
      <c r="A15" s="1"/>
      <c r="B15" s="12" t="s">
        <v>26</v>
      </c>
      <c r="C15" s="7">
        <v>333085013.60399598</v>
      </c>
      <c r="D15" s="8">
        <v>1047647928.2967529</v>
      </c>
      <c r="E15" s="8">
        <v>7305272.644010732</v>
      </c>
      <c r="F15" s="8">
        <v>2899477.6843598746</v>
      </c>
      <c r="G15" s="8">
        <v>20036430.967859868</v>
      </c>
      <c r="H15" s="9">
        <v>1410974123.1969795</v>
      </c>
      <c r="I15" s="10">
        <v>398366027.9969998</v>
      </c>
      <c r="J15" s="8">
        <v>319963351.28512901</v>
      </c>
      <c r="K15" s="8">
        <v>337955039.72109324</v>
      </c>
      <c r="L15" s="8">
        <v>3593198.1574319107</v>
      </c>
      <c r="M15" s="8">
        <v>238134945.27653888</v>
      </c>
      <c r="N15" s="8">
        <v>10595246.60022654</v>
      </c>
      <c r="O15" s="9">
        <v>910241781.04041958</v>
      </c>
      <c r="P15" s="8">
        <v>0</v>
      </c>
      <c r="Q15" s="8">
        <v>0</v>
      </c>
      <c r="R15" s="8">
        <v>7824758.2825533655</v>
      </c>
      <c r="S15" s="8">
        <v>66876728.470926657</v>
      </c>
      <c r="T15" s="8">
        <v>472189816.90189999</v>
      </c>
      <c r="U15" s="8">
        <v>11525948.240944138</v>
      </c>
      <c r="V15" s="9">
        <v>558417251.89632416</v>
      </c>
      <c r="W15" s="11">
        <v>2879633156.1337233</v>
      </c>
      <c r="X15" s="89">
        <v>264200</v>
      </c>
      <c r="Y15" s="89">
        <f t="shared" si="0"/>
        <v>10899.444194298725</v>
      </c>
    </row>
    <row r="16" spans="1:25" x14ac:dyDescent="0.3">
      <c r="A16" s="1"/>
      <c r="B16" s="12" t="s">
        <v>27</v>
      </c>
      <c r="C16" s="7">
        <v>323263638.0170005</v>
      </c>
      <c r="D16" s="8">
        <v>1206593808.5435989</v>
      </c>
      <c r="E16" s="8">
        <v>7049520.1349931378</v>
      </c>
      <c r="F16" s="8">
        <v>5316908.3047814295</v>
      </c>
      <c r="G16" s="8">
        <v>28777736.088698838</v>
      </c>
      <c r="H16" s="9">
        <v>1571001611.0890727</v>
      </c>
      <c r="I16" s="10">
        <v>191347987.03800002</v>
      </c>
      <c r="J16" s="8">
        <v>127549254.55117196</v>
      </c>
      <c r="K16" s="8">
        <v>213396859.48989859</v>
      </c>
      <c r="L16" s="8">
        <v>2429556.8803990795</v>
      </c>
      <c r="M16" s="8">
        <v>56966998.915257908</v>
      </c>
      <c r="N16" s="8">
        <v>5202930.3062018147</v>
      </c>
      <c r="O16" s="9">
        <v>405545600.14292943</v>
      </c>
      <c r="P16" s="8">
        <v>784297.46203339007</v>
      </c>
      <c r="Q16" s="8">
        <v>0</v>
      </c>
      <c r="R16" s="8">
        <v>16769037.579140779</v>
      </c>
      <c r="S16" s="8">
        <v>53392863.253143013</v>
      </c>
      <c r="T16" s="8">
        <v>496608199.94560003</v>
      </c>
      <c r="U16" s="8">
        <v>10405869.233685048</v>
      </c>
      <c r="V16" s="9">
        <v>577960267.47360229</v>
      </c>
      <c r="W16" s="11">
        <v>2554507478.7056046</v>
      </c>
      <c r="X16" s="89">
        <v>261300</v>
      </c>
      <c r="Y16" s="89">
        <f t="shared" si="0"/>
        <v>9776.1480241316676</v>
      </c>
    </row>
    <row r="17" spans="1:25" x14ac:dyDescent="0.3">
      <c r="A17" s="1"/>
      <c r="B17" s="12" t="s">
        <v>28</v>
      </c>
      <c r="C17" s="7">
        <v>361223906.03400034</v>
      </c>
      <c r="D17" s="8">
        <v>1112099123.661701</v>
      </c>
      <c r="E17" s="8">
        <v>9419822.0498311743</v>
      </c>
      <c r="F17" s="8">
        <v>7277049.4841862516</v>
      </c>
      <c r="G17" s="8">
        <v>37060465.252307907</v>
      </c>
      <c r="H17" s="9">
        <v>1527080366.4820266</v>
      </c>
      <c r="I17" s="10">
        <v>352058960.12300009</v>
      </c>
      <c r="J17" s="8">
        <v>259208389.26192501</v>
      </c>
      <c r="K17" s="8">
        <v>194856155.38580522</v>
      </c>
      <c r="L17" s="8">
        <v>7603846.9905648939</v>
      </c>
      <c r="M17" s="8">
        <v>122118977.19169049</v>
      </c>
      <c r="N17" s="8">
        <v>24095217.919307422</v>
      </c>
      <c r="O17" s="9">
        <v>607882586.74929309</v>
      </c>
      <c r="P17" s="8">
        <v>3238251.6643649247</v>
      </c>
      <c r="Q17" s="8">
        <v>837253.31567814271</v>
      </c>
      <c r="R17" s="8">
        <v>7902403.5946494881</v>
      </c>
      <c r="S17" s="8">
        <v>66172251.9748694</v>
      </c>
      <c r="T17" s="8">
        <v>1581863591.1937001</v>
      </c>
      <c r="U17" s="8">
        <v>26678318.886205655</v>
      </c>
      <c r="V17" s="9">
        <v>1686692070.6294677</v>
      </c>
      <c r="W17" s="11">
        <v>3821655023.8607874</v>
      </c>
      <c r="X17" s="89">
        <v>262000</v>
      </c>
      <c r="Y17" s="89">
        <f t="shared" si="0"/>
        <v>14586.469556720562</v>
      </c>
    </row>
    <row r="18" spans="1:25" x14ac:dyDescent="0.3">
      <c r="A18" s="1"/>
      <c r="B18" s="12" t="s">
        <v>29</v>
      </c>
      <c r="C18" s="7">
        <v>399743444.76119709</v>
      </c>
      <c r="D18" s="8">
        <v>1223668249.8293459</v>
      </c>
      <c r="E18" s="8">
        <v>9668293.2216181122</v>
      </c>
      <c r="F18" s="8">
        <v>8939420.1540212519</v>
      </c>
      <c r="G18" s="8">
        <v>43761882.993049607</v>
      </c>
      <c r="H18" s="9">
        <v>1685781290.9592321</v>
      </c>
      <c r="I18" s="10">
        <v>1328106239.757</v>
      </c>
      <c r="J18" s="8">
        <v>1188857397.3298903</v>
      </c>
      <c r="K18" s="8">
        <v>621712442.94042921</v>
      </c>
      <c r="L18" s="8">
        <v>12650539.398832003</v>
      </c>
      <c r="M18" s="8">
        <v>495661123.47115856</v>
      </c>
      <c r="N18" s="8">
        <v>17493351.228561357</v>
      </c>
      <c r="O18" s="9">
        <v>2336374854.3688717</v>
      </c>
      <c r="P18" s="8">
        <v>2613773451.0524402</v>
      </c>
      <c r="Q18" s="8">
        <v>0</v>
      </c>
      <c r="R18" s="8">
        <v>23389332.173859321</v>
      </c>
      <c r="S18" s="8">
        <v>100329631.25277326</v>
      </c>
      <c r="T18" s="8">
        <v>1701435261.7026999</v>
      </c>
      <c r="U18" s="8">
        <v>38919211.174336441</v>
      </c>
      <c r="V18" s="9">
        <v>4477846887.3561087</v>
      </c>
      <c r="W18" s="11">
        <v>8500003032.6842127</v>
      </c>
      <c r="X18" s="89">
        <v>305900</v>
      </c>
      <c r="Y18" s="89">
        <f t="shared" si="0"/>
        <v>27786.868364446593</v>
      </c>
    </row>
    <row r="19" spans="1:25" x14ac:dyDescent="0.3">
      <c r="A19" s="1"/>
      <c r="B19" s="12" t="s">
        <v>30</v>
      </c>
      <c r="C19" s="7">
        <v>364283918.93300021</v>
      </c>
      <c r="D19" s="8">
        <v>992464306.570158</v>
      </c>
      <c r="E19" s="8">
        <v>9763651.2735090479</v>
      </c>
      <c r="F19" s="8">
        <v>6683000.9765105546</v>
      </c>
      <c r="G19" s="8">
        <v>33923994.638686158</v>
      </c>
      <c r="H19" s="9">
        <v>1407118872.3918638</v>
      </c>
      <c r="I19" s="10">
        <v>802957629.30300069</v>
      </c>
      <c r="J19" s="8">
        <v>735730848.89179003</v>
      </c>
      <c r="K19" s="8">
        <v>499479289.38660669</v>
      </c>
      <c r="L19" s="8">
        <v>7251852.8078544708</v>
      </c>
      <c r="M19" s="8">
        <v>127242642.9780333</v>
      </c>
      <c r="N19" s="8">
        <v>5783085.5002977112</v>
      </c>
      <c r="O19" s="9">
        <v>1375487719.5645821</v>
      </c>
      <c r="P19" s="8">
        <v>416589676.62392712</v>
      </c>
      <c r="Q19" s="8">
        <v>0</v>
      </c>
      <c r="R19" s="8">
        <v>2169081.3447533324</v>
      </c>
      <c r="S19" s="8">
        <v>36460354.913945094</v>
      </c>
      <c r="T19" s="8">
        <v>1221522932.9084001</v>
      </c>
      <c r="U19" s="8">
        <v>30766425.4972656</v>
      </c>
      <c r="V19" s="9">
        <v>1707508471.2882912</v>
      </c>
      <c r="W19" s="11">
        <v>4490115063.2447367</v>
      </c>
      <c r="X19" s="89">
        <v>288200</v>
      </c>
      <c r="Y19" s="89">
        <f t="shared" si="0"/>
        <v>15579.85795712955</v>
      </c>
    </row>
    <row r="20" spans="1:25" x14ac:dyDescent="0.3">
      <c r="A20" s="1"/>
      <c r="B20" s="12" t="s">
        <v>31</v>
      </c>
      <c r="C20" s="7">
        <v>287049904.43800008</v>
      </c>
      <c r="D20" s="8">
        <v>743130129.69502473</v>
      </c>
      <c r="E20" s="8">
        <v>2510327.5728609092</v>
      </c>
      <c r="F20" s="8">
        <v>2767572.4736134005</v>
      </c>
      <c r="G20" s="8">
        <v>6065030.5389065873</v>
      </c>
      <c r="H20" s="9">
        <v>1041522964.7184057</v>
      </c>
      <c r="I20" s="10">
        <v>674786689.98100066</v>
      </c>
      <c r="J20" s="8">
        <v>588033781.05138779</v>
      </c>
      <c r="K20" s="8">
        <v>572754129.11321926</v>
      </c>
      <c r="L20" s="8">
        <v>3795145.1237784014</v>
      </c>
      <c r="M20" s="8">
        <v>255792618.86161476</v>
      </c>
      <c r="N20" s="8">
        <v>7839734.7563852472</v>
      </c>
      <c r="O20" s="9">
        <v>1428215408.9063854</v>
      </c>
      <c r="P20" s="8">
        <v>0</v>
      </c>
      <c r="Q20" s="8">
        <v>0</v>
      </c>
      <c r="R20" s="8">
        <v>9048318.0720035136</v>
      </c>
      <c r="S20" s="8">
        <v>74582703.199819848</v>
      </c>
      <c r="T20" s="8">
        <v>381897462.37240005</v>
      </c>
      <c r="U20" s="8">
        <v>12170205.729793124</v>
      </c>
      <c r="V20" s="9">
        <v>477698689.37401652</v>
      </c>
      <c r="W20" s="11">
        <v>2947437062.9988079</v>
      </c>
      <c r="X20" s="89">
        <v>216600</v>
      </c>
      <c r="Y20" s="89">
        <f t="shared" si="0"/>
        <v>13607.742673124691</v>
      </c>
    </row>
    <row r="21" spans="1:25" x14ac:dyDescent="0.3">
      <c r="A21" s="1"/>
      <c r="B21" s="12" t="s">
        <v>32</v>
      </c>
      <c r="C21" s="7">
        <v>321529345.74100161</v>
      </c>
      <c r="D21" s="8">
        <v>750630628.98613203</v>
      </c>
      <c r="E21" s="8">
        <v>1781000.2442365955</v>
      </c>
      <c r="F21" s="8">
        <v>6928548.7139633186</v>
      </c>
      <c r="G21" s="8">
        <v>4311730.1461603353</v>
      </c>
      <c r="H21" s="9">
        <v>1085181253.8314939</v>
      </c>
      <c r="I21" s="10">
        <v>900138868.69899976</v>
      </c>
      <c r="J21" s="8">
        <v>840949282.33222878</v>
      </c>
      <c r="K21" s="8">
        <v>761852044.59327626</v>
      </c>
      <c r="L21" s="8">
        <v>1033949.9702425083</v>
      </c>
      <c r="M21" s="8">
        <v>243913618.08354929</v>
      </c>
      <c r="N21" s="8">
        <v>1468017.3808646547</v>
      </c>
      <c r="O21" s="9">
        <v>1849216912.3601615</v>
      </c>
      <c r="P21" s="8">
        <v>0</v>
      </c>
      <c r="Q21" s="8">
        <v>25318.41273281107</v>
      </c>
      <c r="R21" s="8">
        <v>1150739.5305327249</v>
      </c>
      <c r="S21" s="8">
        <v>44226655.697854362</v>
      </c>
      <c r="T21" s="8">
        <v>496955258.05410004</v>
      </c>
      <c r="U21" s="8">
        <v>14962930.668916581</v>
      </c>
      <c r="V21" s="9">
        <v>557320902.36413658</v>
      </c>
      <c r="W21" s="11">
        <v>3491719068.5557919</v>
      </c>
      <c r="X21" s="89">
        <v>143400</v>
      </c>
      <c r="Y21" s="89">
        <f t="shared" si="0"/>
        <v>24349.505359524352</v>
      </c>
    </row>
    <row r="22" spans="1:25" x14ac:dyDescent="0.3">
      <c r="A22" s="1"/>
      <c r="B22" s="12" t="s">
        <v>76</v>
      </c>
      <c r="C22" s="7">
        <v>238723239.1799989</v>
      </c>
      <c r="D22" s="8">
        <v>739311132.41558456</v>
      </c>
      <c r="E22" s="8">
        <v>4810758.0134092188</v>
      </c>
      <c r="F22" s="8">
        <v>3292873.8476659702</v>
      </c>
      <c r="G22" s="8">
        <v>18660481.511390679</v>
      </c>
      <c r="H22" s="9">
        <v>1004798484.9680494</v>
      </c>
      <c r="I22" s="10">
        <v>285057536.94380462</v>
      </c>
      <c r="J22" s="8">
        <v>248499564.88597456</v>
      </c>
      <c r="K22" s="8">
        <v>213489526.4722034</v>
      </c>
      <c r="L22" s="8">
        <v>1082300.6694502237</v>
      </c>
      <c r="M22" s="8">
        <v>99512170.251803741</v>
      </c>
      <c r="N22" s="8">
        <v>2670645.0451433803</v>
      </c>
      <c r="O22" s="9">
        <v>565254207.3245753</v>
      </c>
      <c r="P22" s="8">
        <v>0</v>
      </c>
      <c r="Q22" s="8">
        <v>0</v>
      </c>
      <c r="R22" s="8">
        <v>2124034.6900884071</v>
      </c>
      <c r="S22" s="8">
        <v>21945646.718268305</v>
      </c>
      <c r="T22" s="8">
        <v>653801657.04089999</v>
      </c>
      <c r="U22" s="8">
        <v>14612325.339561768</v>
      </c>
      <c r="V22" s="9">
        <v>692483663.78881848</v>
      </c>
      <c r="W22" s="11">
        <v>2262536356.0814433</v>
      </c>
      <c r="X22" s="89">
        <v>168000</v>
      </c>
      <c r="Y22" s="89">
        <f t="shared" si="0"/>
        <v>13467.478310008592</v>
      </c>
    </row>
    <row r="23" spans="1:25" x14ac:dyDescent="0.3">
      <c r="A23" s="1"/>
      <c r="B23" s="12" t="s">
        <v>33</v>
      </c>
      <c r="C23" s="7">
        <v>404050649.31200397</v>
      </c>
      <c r="D23" s="8">
        <v>1140446035.2754512</v>
      </c>
      <c r="E23" s="8">
        <v>5867679.8795199785</v>
      </c>
      <c r="F23" s="8">
        <v>5488494.8547299942</v>
      </c>
      <c r="G23" s="8">
        <v>17966924.542160973</v>
      </c>
      <c r="H23" s="9">
        <v>1573819783.8638661</v>
      </c>
      <c r="I23" s="10">
        <v>555068611.32309794</v>
      </c>
      <c r="J23" s="8">
        <v>431533900.48156565</v>
      </c>
      <c r="K23" s="8">
        <v>770150385.13599813</v>
      </c>
      <c r="L23" s="8">
        <v>3186510.4257583003</v>
      </c>
      <c r="M23" s="8">
        <v>229020276.40748292</v>
      </c>
      <c r="N23" s="8">
        <v>9228331.1840043031</v>
      </c>
      <c r="O23" s="9">
        <v>1443119403.6348093</v>
      </c>
      <c r="P23" s="8">
        <v>0</v>
      </c>
      <c r="Q23" s="8">
        <v>52358.439522161701</v>
      </c>
      <c r="R23" s="8">
        <v>4946919.1645962857</v>
      </c>
      <c r="S23" s="8">
        <v>102828396.32688296</v>
      </c>
      <c r="T23" s="8">
        <v>730657438.81580007</v>
      </c>
      <c r="U23" s="8">
        <v>20706314.51464935</v>
      </c>
      <c r="V23" s="9">
        <v>859191427.26145089</v>
      </c>
      <c r="W23" s="11">
        <v>3876130614.7601261</v>
      </c>
      <c r="X23" s="89">
        <v>317600</v>
      </c>
      <c r="Y23" s="89">
        <f t="shared" si="0"/>
        <v>12204.441482242211</v>
      </c>
    </row>
    <row r="24" spans="1:25" x14ac:dyDescent="0.3">
      <c r="A24" s="1"/>
      <c r="B24" s="12" t="s">
        <v>34</v>
      </c>
      <c r="C24" s="7">
        <v>383076745.0630005</v>
      </c>
      <c r="D24" s="8">
        <v>1105303359.4757409</v>
      </c>
      <c r="E24" s="8">
        <v>9675293.7514163274</v>
      </c>
      <c r="F24" s="8">
        <v>4010367.6051026131</v>
      </c>
      <c r="G24" s="8">
        <v>29877066.229225852</v>
      </c>
      <c r="H24" s="9">
        <v>1531942832.1244862</v>
      </c>
      <c r="I24" s="10">
        <v>268144943.604</v>
      </c>
      <c r="J24" s="8">
        <v>154150758.23324606</v>
      </c>
      <c r="K24" s="8">
        <v>345444018.37888759</v>
      </c>
      <c r="L24" s="8">
        <v>2064362.8404749809</v>
      </c>
      <c r="M24" s="8">
        <v>113815222.90822625</v>
      </c>
      <c r="N24" s="8">
        <v>5364311.8360303286</v>
      </c>
      <c r="O24" s="9">
        <v>620838674.1968652</v>
      </c>
      <c r="P24" s="8">
        <v>0</v>
      </c>
      <c r="Q24" s="8">
        <v>1747767.6165309041</v>
      </c>
      <c r="R24" s="8">
        <v>8468868.8793931771</v>
      </c>
      <c r="S24" s="8">
        <v>97982266.176106453</v>
      </c>
      <c r="T24" s="8">
        <v>685688762.85270011</v>
      </c>
      <c r="U24" s="8">
        <v>16011919.194647502</v>
      </c>
      <c r="V24" s="9">
        <v>809899584.71937823</v>
      </c>
      <c r="W24" s="11">
        <v>2962681091.0407295</v>
      </c>
      <c r="X24" s="89">
        <v>300600</v>
      </c>
      <c r="Y24" s="89">
        <f t="shared" si="0"/>
        <v>9855.8918530962401</v>
      </c>
    </row>
    <row r="25" spans="1:25" x14ac:dyDescent="0.3">
      <c r="A25" s="1"/>
      <c r="B25" s="12" t="s">
        <v>35</v>
      </c>
      <c r="C25" s="7">
        <v>288868426.8749975</v>
      </c>
      <c r="D25" s="8">
        <v>901970475.94609499</v>
      </c>
      <c r="E25" s="8">
        <v>7923517.0935716489</v>
      </c>
      <c r="F25" s="8">
        <v>4281482.5976287108</v>
      </c>
      <c r="G25" s="8">
        <v>26934769.059747919</v>
      </c>
      <c r="H25" s="9">
        <v>1229978671.5720408</v>
      </c>
      <c r="I25" s="10">
        <v>433710316.0480001</v>
      </c>
      <c r="J25" s="8">
        <v>371888624.85277677</v>
      </c>
      <c r="K25" s="8">
        <v>279116381.4887954</v>
      </c>
      <c r="L25" s="8">
        <v>1523490.4985599001</v>
      </c>
      <c r="M25" s="8">
        <v>82346152.135525346</v>
      </c>
      <c r="N25" s="8">
        <v>5580059.7155204304</v>
      </c>
      <c r="O25" s="9">
        <v>740454708.69117785</v>
      </c>
      <c r="P25" s="8">
        <v>0</v>
      </c>
      <c r="Q25" s="8">
        <v>0</v>
      </c>
      <c r="R25" s="8">
        <v>2808529.8684300422</v>
      </c>
      <c r="S25" s="8">
        <v>50347849.045853809</v>
      </c>
      <c r="T25" s="8">
        <v>560827388.41419995</v>
      </c>
      <c r="U25" s="8">
        <v>11473842.149369517</v>
      </c>
      <c r="V25" s="9">
        <v>625457609.4778533</v>
      </c>
      <c r="W25" s="11">
        <v>2595890989.7410717</v>
      </c>
      <c r="X25" s="89">
        <v>215200</v>
      </c>
      <c r="Y25" s="89">
        <f t="shared" si="0"/>
        <v>12062.690472774497</v>
      </c>
    </row>
    <row r="26" spans="1:25" x14ac:dyDescent="0.3">
      <c r="A26" s="1"/>
      <c r="B26" s="12" t="s">
        <v>36</v>
      </c>
      <c r="C26" s="7">
        <v>373066621.62005788</v>
      </c>
      <c r="D26" s="8">
        <v>926281756.86484456</v>
      </c>
      <c r="E26" s="8">
        <v>13528487.044155691</v>
      </c>
      <c r="F26" s="8">
        <v>1821938.748333764</v>
      </c>
      <c r="G26" s="8">
        <v>30762266.484423321</v>
      </c>
      <c r="H26" s="9">
        <v>1345461070.7618151</v>
      </c>
      <c r="I26" s="10">
        <v>962836964.58999979</v>
      </c>
      <c r="J26" s="8">
        <v>821814086.84784818</v>
      </c>
      <c r="K26" s="8">
        <v>983212202.79863143</v>
      </c>
      <c r="L26" s="8">
        <v>5475448.0966745773</v>
      </c>
      <c r="M26" s="8">
        <v>400165753.61498791</v>
      </c>
      <c r="N26" s="8">
        <v>185929411.94075307</v>
      </c>
      <c r="O26" s="9">
        <v>2396596903.2988954</v>
      </c>
      <c r="P26" s="8">
        <v>60519862.339071818</v>
      </c>
      <c r="Q26" s="8">
        <v>6278626.8933379091</v>
      </c>
      <c r="R26" s="8">
        <v>8414465.1477778275</v>
      </c>
      <c r="S26" s="8">
        <v>121696768.76944402</v>
      </c>
      <c r="T26" s="8">
        <v>735145505.18529999</v>
      </c>
      <c r="U26" s="8">
        <v>19326108.972707663</v>
      </c>
      <c r="V26" s="9">
        <v>951381337.30763924</v>
      </c>
      <c r="W26" s="11">
        <v>4693439311.36835</v>
      </c>
      <c r="X26" s="89">
        <v>351100</v>
      </c>
      <c r="Y26" s="89">
        <f t="shared" si="0"/>
        <v>13367.813475842637</v>
      </c>
    </row>
    <row r="27" spans="1:25" x14ac:dyDescent="0.3">
      <c r="A27" s="1"/>
      <c r="B27" s="12" t="s">
        <v>37</v>
      </c>
      <c r="C27" s="7">
        <v>370299869.18377769</v>
      </c>
      <c r="D27" s="8">
        <v>1225135270.4236519</v>
      </c>
      <c r="E27" s="8">
        <v>11500941.753429724</v>
      </c>
      <c r="F27" s="8">
        <v>4567661.0480534146</v>
      </c>
      <c r="G27" s="8">
        <v>34351446.224419773</v>
      </c>
      <c r="H27" s="9">
        <v>1645855188.6333325</v>
      </c>
      <c r="I27" s="10">
        <v>225865681.9920001</v>
      </c>
      <c r="J27" s="8">
        <v>156444446.94163591</v>
      </c>
      <c r="K27" s="8">
        <v>214667703.48492429</v>
      </c>
      <c r="L27" s="8">
        <v>5128226.0100160632</v>
      </c>
      <c r="M27" s="8">
        <v>160643643.13592228</v>
      </c>
      <c r="N27" s="8">
        <v>18068222.829870705</v>
      </c>
      <c r="O27" s="9">
        <v>554952242.40236926</v>
      </c>
      <c r="P27" s="8">
        <v>1396506.0377285772</v>
      </c>
      <c r="Q27" s="8">
        <v>0</v>
      </c>
      <c r="R27" s="8">
        <v>2589792.8177529722</v>
      </c>
      <c r="S27" s="8">
        <v>50482892.340537436</v>
      </c>
      <c r="T27" s="8">
        <v>823629478.08260012</v>
      </c>
      <c r="U27" s="8">
        <v>18938342.709826764</v>
      </c>
      <c r="V27" s="9">
        <v>897037011.98844576</v>
      </c>
      <c r="W27" s="11">
        <v>3097844443.0241475</v>
      </c>
      <c r="X27" s="89">
        <v>310300</v>
      </c>
      <c r="Y27" s="89">
        <f t="shared" si="0"/>
        <v>9983.3852498361175</v>
      </c>
    </row>
    <row r="28" spans="1:25" x14ac:dyDescent="0.3">
      <c r="A28" s="1"/>
      <c r="B28" s="12" t="s">
        <v>90</v>
      </c>
      <c r="C28" s="7">
        <v>300392179.03999996</v>
      </c>
      <c r="D28" s="8">
        <v>978894280.13808846</v>
      </c>
      <c r="E28" s="8">
        <v>4925495.3286592374</v>
      </c>
      <c r="F28" s="8">
        <v>6100898.9055361785</v>
      </c>
      <c r="G28" s="8">
        <v>22941481.774472538</v>
      </c>
      <c r="H28" s="9">
        <v>1313254335.1867564</v>
      </c>
      <c r="I28" s="10">
        <v>280582898.88600016</v>
      </c>
      <c r="J28" s="8">
        <v>242159187.57772821</v>
      </c>
      <c r="K28" s="8">
        <v>265176286.85767567</v>
      </c>
      <c r="L28" s="8">
        <v>5154492.5421109721</v>
      </c>
      <c r="M28" s="8">
        <v>60680414.649643593</v>
      </c>
      <c r="N28" s="8">
        <v>19612791.834947988</v>
      </c>
      <c r="O28" s="9">
        <v>592783173.46210635</v>
      </c>
      <c r="P28" s="8">
        <v>148913770.41513532</v>
      </c>
      <c r="Q28" s="8">
        <v>0</v>
      </c>
      <c r="R28" s="8">
        <v>1486617.43221818</v>
      </c>
      <c r="S28" s="8">
        <v>23938217.85052748</v>
      </c>
      <c r="T28" s="8">
        <v>628860899.72920012</v>
      </c>
      <c r="U28" s="8">
        <v>14485493.457744475</v>
      </c>
      <c r="V28" s="9">
        <v>817684998.88482559</v>
      </c>
      <c r="W28" s="11">
        <v>2723722507.5336885</v>
      </c>
      <c r="X28" s="89">
        <v>195200</v>
      </c>
      <c r="Y28" s="89">
        <f t="shared" si="0"/>
        <v>13953.496452529142</v>
      </c>
    </row>
    <row r="29" spans="1:25" x14ac:dyDescent="0.3">
      <c r="A29" s="1"/>
      <c r="B29" s="12" t="s">
        <v>38</v>
      </c>
      <c r="C29" s="7">
        <v>415165844.04299802</v>
      </c>
      <c r="D29" s="8">
        <v>866283661.45322013</v>
      </c>
      <c r="E29" s="8">
        <v>4921001.0064363852</v>
      </c>
      <c r="F29" s="8">
        <v>7367278.664534362</v>
      </c>
      <c r="G29" s="8">
        <v>14988749.707767794</v>
      </c>
      <c r="H29" s="9">
        <v>1308726534.8749566</v>
      </c>
      <c r="I29" s="10">
        <v>818873714.15500081</v>
      </c>
      <c r="J29" s="8">
        <v>696199028.62909663</v>
      </c>
      <c r="K29" s="8">
        <v>829809975.33319509</v>
      </c>
      <c r="L29" s="8">
        <v>4074928.8825114821</v>
      </c>
      <c r="M29" s="8">
        <v>414860588.3188017</v>
      </c>
      <c r="N29" s="8">
        <v>11048585.171356492</v>
      </c>
      <c r="O29" s="9">
        <v>1955993106.3349612</v>
      </c>
      <c r="P29" s="8">
        <v>5066433.8989448184</v>
      </c>
      <c r="Q29" s="8">
        <v>13839172.861442367</v>
      </c>
      <c r="R29" s="8">
        <v>3908748.8867141698</v>
      </c>
      <c r="S29" s="8">
        <v>101796299.73210149</v>
      </c>
      <c r="T29" s="8">
        <v>704004880.56760001</v>
      </c>
      <c r="U29" s="8">
        <v>20878385.793802746</v>
      </c>
      <c r="V29" s="9">
        <v>849493921.74060559</v>
      </c>
      <c r="W29" s="11">
        <v>4114213562.9505234</v>
      </c>
      <c r="X29" s="89">
        <v>307700</v>
      </c>
      <c r="Y29" s="89">
        <f t="shared" si="0"/>
        <v>13370.859808093999</v>
      </c>
    </row>
    <row r="30" spans="1:25" x14ac:dyDescent="0.3">
      <c r="A30" s="1"/>
      <c r="B30" s="12" t="s">
        <v>39</v>
      </c>
      <c r="C30" s="7">
        <v>287692084.73699832</v>
      </c>
      <c r="D30" s="8">
        <v>861381822.2690407</v>
      </c>
      <c r="E30" s="8">
        <v>6312964.2097978126</v>
      </c>
      <c r="F30" s="8">
        <v>5009678.479804459</v>
      </c>
      <c r="G30" s="8">
        <v>25820548.795822207</v>
      </c>
      <c r="H30" s="9">
        <v>1186217098.4914637</v>
      </c>
      <c r="I30" s="10">
        <v>330205638.6929999</v>
      </c>
      <c r="J30" s="8">
        <v>301663513.78777647</v>
      </c>
      <c r="K30" s="8">
        <v>252785561.53018841</v>
      </c>
      <c r="L30" s="8">
        <v>10716943.626749145</v>
      </c>
      <c r="M30" s="8">
        <v>63564233.517272145</v>
      </c>
      <c r="N30" s="8">
        <v>38774018.583457798</v>
      </c>
      <c r="O30" s="9">
        <v>667504271.04544401</v>
      </c>
      <c r="P30" s="8">
        <v>248302.83362998589</v>
      </c>
      <c r="Q30" s="8">
        <v>0</v>
      </c>
      <c r="R30" s="8">
        <v>520259.43424015265</v>
      </c>
      <c r="S30" s="8">
        <v>16306483.618569128</v>
      </c>
      <c r="T30" s="8">
        <v>562788404.81580007</v>
      </c>
      <c r="U30" s="8">
        <v>12235641.286654277</v>
      </c>
      <c r="V30" s="9">
        <v>592099091.98889363</v>
      </c>
      <c r="W30" s="11">
        <v>2445820461.5258012</v>
      </c>
      <c r="X30" s="89">
        <v>209600</v>
      </c>
      <c r="Y30" s="89">
        <f t="shared" si="0"/>
        <v>11668.990751554395</v>
      </c>
    </row>
    <row r="31" spans="1:25" x14ac:dyDescent="0.3">
      <c r="A31" s="1"/>
      <c r="B31" s="12" t="s">
        <v>40</v>
      </c>
      <c r="C31" s="7">
        <v>422928342.80100644</v>
      </c>
      <c r="D31" s="8">
        <v>595836553.4634403</v>
      </c>
      <c r="E31" s="8">
        <v>3004127.3607228021</v>
      </c>
      <c r="F31" s="8">
        <v>3979336.0966110574</v>
      </c>
      <c r="G31" s="8">
        <v>7753142.3694149824</v>
      </c>
      <c r="H31" s="9">
        <v>1033501502.0911955</v>
      </c>
      <c r="I31" s="10">
        <v>1914032563.9879999</v>
      </c>
      <c r="J31" s="8">
        <v>1785313509.2848406</v>
      </c>
      <c r="K31" s="8">
        <v>812046059.84540462</v>
      </c>
      <c r="L31" s="8">
        <v>3770642.2434191033</v>
      </c>
      <c r="M31" s="8">
        <v>431385876.45014143</v>
      </c>
      <c r="N31" s="8">
        <v>7808638.4152789209</v>
      </c>
      <c r="O31" s="9">
        <v>3040324726.2390847</v>
      </c>
      <c r="P31" s="8">
        <v>36797603.003102779</v>
      </c>
      <c r="Q31" s="8">
        <v>26883928.143279321</v>
      </c>
      <c r="R31" s="8">
        <v>271749.30779459031</v>
      </c>
      <c r="S31" s="8">
        <v>106969810.51063666</v>
      </c>
      <c r="T31" s="8">
        <v>755552746.62960005</v>
      </c>
      <c r="U31" s="8">
        <v>21749244.192522764</v>
      </c>
      <c r="V31" s="9">
        <v>948225081.78693616</v>
      </c>
      <c r="W31" s="11">
        <v>5022051310.1172161</v>
      </c>
      <c r="X31" s="89">
        <v>310300</v>
      </c>
      <c r="Y31" s="89">
        <f t="shared" si="0"/>
        <v>16184.503094157964</v>
      </c>
    </row>
    <row r="32" spans="1:25" x14ac:dyDescent="0.3">
      <c r="A32" s="1"/>
      <c r="B32" s="12" t="s">
        <v>41</v>
      </c>
      <c r="C32" s="7">
        <v>317919207.17499816</v>
      </c>
      <c r="D32" s="8">
        <v>986882410.17023408</v>
      </c>
      <c r="E32" s="8">
        <v>11133554.249339655</v>
      </c>
      <c r="F32" s="8">
        <v>2816746.9629734252</v>
      </c>
      <c r="G32" s="8">
        <v>28996112.905289017</v>
      </c>
      <c r="H32" s="9">
        <v>1347748031.4628341</v>
      </c>
      <c r="I32" s="10">
        <v>296796124.21099979</v>
      </c>
      <c r="J32" s="8">
        <v>255772310.0579856</v>
      </c>
      <c r="K32" s="8">
        <v>275117282.62143999</v>
      </c>
      <c r="L32" s="8">
        <v>3945105.1637483188</v>
      </c>
      <c r="M32" s="8">
        <v>214343999.49618855</v>
      </c>
      <c r="N32" s="8">
        <v>11334351.956637027</v>
      </c>
      <c r="O32" s="9">
        <v>760513049.29599953</v>
      </c>
      <c r="P32" s="8">
        <v>1112463.455400358</v>
      </c>
      <c r="Q32" s="8">
        <v>0</v>
      </c>
      <c r="R32" s="8">
        <v>4679293.8115034383</v>
      </c>
      <c r="S32" s="8">
        <v>25955055.608186342</v>
      </c>
      <c r="T32" s="8">
        <v>631142248.63189995</v>
      </c>
      <c r="U32" s="8">
        <v>15068758.544827826</v>
      </c>
      <c r="V32" s="9">
        <v>677957820.05181789</v>
      </c>
      <c r="W32" s="11">
        <v>2786218900.8106518</v>
      </c>
      <c r="X32" s="89">
        <v>278400</v>
      </c>
      <c r="Y32" s="89">
        <f t="shared" si="0"/>
        <v>10007.970189693433</v>
      </c>
    </row>
    <row r="33" spans="1:25" x14ac:dyDescent="0.3">
      <c r="A33" s="1"/>
      <c r="B33" s="12" t="s">
        <v>42</v>
      </c>
      <c r="C33" s="7">
        <v>472903515.78900284</v>
      </c>
      <c r="D33" s="8">
        <v>1263201930.7032831</v>
      </c>
      <c r="E33" s="8">
        <v>5718724.1918214075</v>
      </c>
      <c r="F33" s="8">
        <v>5113416.1215107962</v>
      </c>
      <c r="G33" s="8">
        <v>17978911.006658036</v>
      </c>
      <c r="H33" s="9">
        <v>1764916497.8122761</v>
      </c>
      <c r="I33" s="10">
        <v>478210740.63200098</v>
      </c>
      <c r="J33" s="8">
        <v>355815159.92616731</v>
      </c>
      <c r="K33" s="8">
        <v>633659865.20575571</v>
      </c>
      <c r="L33" s="8">
        <v>2314425.6776624899</v>
      </c>
      <c r="M33" s="8">
        <v>174656677.48618662</v>
      </c>
      <c r="N33" s="8">
        <v>7626838.167291237</v>
      </c>
      <c r="O33" s="9">
        <v>1174072966.4630632</v>
      </c>
      <c r="P33" s="8">
        <v>17910103.089828264</v>
      </c>
      <c r="Q33" s="8">
        <v>6239.1590447836534</v>
      </c>
      <c r="R33" s="8">
        <v>8424906.1537050493</v>
      </c>
      <c r="S33" s="8">
        <v>107256539.5258587</v>
      </c>
      <c r="T33" s="8">
        <v>649470307.88340008</v>
      </c>
      <c r="U33" s="8">
        <v>15139041.179974984</v>
      </c>
      <c r="V33" s="9">
        <v>798207136.99181187</v>
      </c>
      <c r="W33" s="11">
        <v>3737196601.2671509</v>
      </c>
      <c r="X33" s="89">
        <v>327500</v>
      </c>
      <c r="Y33" s="89">
        <f t="shared" si="0"/>
        <v>11411.287332113438</v>
      </c>
    </row>
    <row r="34" spans="1:25" x14ac:dyDescent="0.3">
      <c r="A34" s="1"/>
      <c r="B34" s="12" t="s">
        <v>43</v>
      </c>
      <c r="C34" s="7">
        <v>452598930.26300049</v>
      </c>
      <c r="D34" s="8">
        <v>820044194.29254627</v>
      </c>
      <c r="E34" s="8">
        <v>2559806.2844220172</v>
      </c>
      <c r="F34" s="8">
        <v>10118474.092005618</v>
      </c>
      <c r="G34" s="8">
        <v>6132693.5236587701</v>
      </c>
      <c r="H34" s="9">
        <v>1291454098.4556332</v>
      </c>
      <c r="I34" s="10">
        <v>2748745155.9859991</v>
      </c>
      <c r="J34" s="8">
        <v>2572434606.1788492</v>
      </c>
      <c r="K34" s="8">
        <v>2091507311.9336381</v>
      </c>
      <c r="L34" s="8">
        <v>7235374.1800627178</v>
      </c>
      <c r="M34" s="8">
        <v>943023439.00323474</v>
      </c>
      <c r="N34" s="8">
        <v>10129110.676877771</v>
      </c>
      <c r="O34" s="9">
        <v>5624329841.9726629</v>
      </c>
      <c r="P34" s="8">
        <v>0</v>
      </c>
      <c r="Q34" s="8">
        <v>11015048.416313777</v>
      </c>
      <c r="R34" s="8">
        <v>5413523.1241788482</v>
      </c>
      <c r="S34" s="8">
        <v>145508982.99231058</v>
      </c>
      <c r="T34" s="8">
        <v>757556016.52920008</v>
      </c>
      <c r="U34" s="8">
        <v>30801566.814839177</v>
      </c>
      <c r="V34" s="9">
        <v>950295137.87684238</v>
      </c>
      <c r="W34" s="11">
        <v>7866079078.3051386</v>
      </c>
      <c r="X34" s="89">
        <v>204300</v>
      </c>
      <c r="Y34" s="89">
        <f t="shared" si="0"/>
        <v>38502.589712702589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D19F-F458-487E-AA4D-7F31CE9F7EDE}">
  <dimension ref="A1:AG42"/>
  <sheetViews>
    <sheetView topLeftCell="L1" workbookViewId="0">
      <selection activeCell="AG1" sqref="AG1"/>
    </sheetView>
  </sheetViews>
  <sheetFormatPr defaultRowHeight="14.4" x14ac:dyDescent="0.3"/>
  <cols>
    <col min="2" max="2" width="17.109375" customWidth="1"/>
    <col min="32" max="32" width="11.5546875" customWidth="1"/>
    <col min="33" max="33" width="11.88671875" customWidth="1"/>
  </cols>
  <sheetData>
    <row r="1" spans="1:33" ht="55.2" x14ac:dyDescent="0.3">
      <c r="A1" s="2"/>
      <c r="B1" s="91" t="s">
        <v>93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3" t="s">
        <v>0</v>
      </c>
      <c r="J1" s="3" t="s">
        <v>44</v>
      </c>
      <c r="K1" s="3" t="s">
        <v>1</v>
      </c>
      <c r="L1" s="3" t="s">
        <v>2</v>
      </c>
      <c r="M1" s="3" t="s">
        <v>3</v>
      </c>
      <c r="N1" s="5" t="s">
        <v>4</v>
      </c>
      <c r="O1" s="3" t="s">
        <v>5</v>
      </c>
      <c r="P1" s="3" t="s">
        <v>7</v>
      </c>
      <c r="Q1" s="3" t="s">
        <v>8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5</v>
      </c>
      <c r="W1" s="28" t="s">
        <v>49</v>
      </c>
      <c r="X1" s="3" t="s">
        <v>50</v>
      </c>
      <c r="Y1" s="3" t="s">
        <v>51</v>
      </c>
      <c r="Z1" s="3" t="s">
        <v>5</v>
      </c>
      <c r="AA1" s="99"/>
      <c r="AB1" s="100"/>
      <c r="AC1" s="100"/>
      <c r="AD1" s="100"/>
      <c r="AE1" s="98"/>
      <c r="AF1" s="97" t="s">
        <v>91</v>
      </c>
      <c r="AG1" s="97" t="s">
        <v>94</v>
      </c>
    </row>
    <row r="2" spans="1:33" x14ac:dyDescent="0.3">
      <c r="A2" s="27"/>
      <c r="B2" s="12" t="s">
        <v>13</v>
      </c>
      <c r="C2" s="29">
        <v>47.547246930348102</v>
      </c>
      <c r="D2" s="8">
        <v>119.18018969522474</v>
      </c>
      <c r="E2" s="8">
        <v>3.9152817441415455</v>
      </c>
      <c r="F2" s="8">
        <v>0.65420045600221</v>
      </c>
      <c r="G2" s="8">
        <v>4.1547867783487611</v>
      </c>
      <c r="H2" s="13">
        <v>175.4517056040653</v>
      </c>
      <c r="I2" s="8">
        <v>62.968493311669491</v>
      </c>
      <c r="J2" s="8">
        <v>51.162156029175407</v>
      </c>
      <c r="K2" s="8">
        <v>41.659224809714374</v>
      </c>
      <c r="L2" s="8">
        <v>1.0076706826002939</v>
      </c>
      <c r="M2" s="30">
        <v>44.018182022224792</v>
      </c>
      <c r="N2" s="30">
        <v>1.2964782454597303</v>
      </c>
      <c r="O2" s="13">
        <v>139.1437117891746</v>
      </c>
      <c r="P2" s="30">
        <v>0</v>
      </c>
      <c r="Q2" s="30">
        <v>2.592149193792098</v>
      </c>
      <c r="R2" s="30">
        <v>2.6371667022599241</v>
      </c>
      <c r="S2" s="30">
        <v>9.4293396640137974</v>
      </c>
      <c r="T2" s="30">
        <v>142.71902354076602</v>
      </c>
      <c r="U2" s="31">
        <v>2.3769976184802775</v>
      </c>
      <c r="V2" s="32">
        <v>159.75467671931213</v>
      </c>
      <c r="W2" s="30">
        <v>0.64300977585032726</v>
      </c>
      <c r="X2" s="30">
        <v>1.9980312041142001</v>
      </c>
      <c r="Y2" s="33">
        <v>0</v>
      </c>
      <c r="Z2" s="34">
        <v>2.6410409799645276</v>
      </c>
      <c r="AA2" s="35"/>
      <c r="AB2" s="36"/>
      <c r="AC2" s="36"/>
      <c r="AD2" s="36"/>
      <c r="AE2" s="37">
        <v>476.99113509251657</v>
      </c>
      <c r="AF2">
        <v>218900</v>
      </c>
      <c r="AG2">
        <f>(AE2*1000)/AF2</f>
        <v>2.1790367066812086</v>
      </c>
    </row>
    <row r="3" spans="1:33" x14ac:dyDescent="0.3">
      <c r="A3" s="27"/>
      <c r="B3" s="12" t="s">
        <v>14</v>
      </c>
      <c r="C3" s="29">
        <v>114.6454476267288</v>
      </c>
      <c r="D3" s="8">
        <v>336.19932145003787</v>
      </c>
      <c r="E3" s="8">
        <v>2.9969535873294944</v>
      </c>
      <c r="F3" s="8">
        <v>2.1483126371611676</v>
      </c>
      <c r="G3" s="8">
        <v>5.3892102798209649</v>
      </c>
      <c r="H3" s="13">
        <v>461.37924558107829</v>
      </c>
      <c r="I3" s="8">
        <v>89.191468244090828</v>
      </c>
      <c r="J3" s="8">
        <v>63.721778227867745</v>
      </c>
      <c r="K3" s="8">
        <v>87.908175430389875</v>
      </c>
      <c r="L3" s="8">
        <v>2.2035781687477147</v>
      </c>
      <c r="M3" s="30">
        <v>85.002291770042447</v>
      </c>
      <c r="N3" s="30">
        <v>2.2797130763158537</v>
      </c>
      <c r="O3" s="13">
        <v>241.11553667336366</v>
      </c>
      <c r="P3" s="30">
        <v>0.11619416904860767</v>
      </c>
      <c r="Q3" s="30">
        <v>0</v>
      </c>
      <c r="R3" s="30">
        <v>10.081621020127052</v>
      </c>
      <c r="S3" s="30">
        <v>20.000265491068653</v>
      </c>
      <c r="T3" s="30">
        <v>336.27297245214902</v>
      </c>
      <c r="U3" s="31">
        <v>5.4694245251544213</v>
      </c>
      <c r="V3" s="32">
        <v>371.94047765754772</v>
      </c>
      <c r="W3" s="30">
        <v>0.50874661900221885</v>
      </c>
      <c r="X3" s="30">
        <v>13.866050686884527</v>
      </c>
      <c r="Y3" s="33">
        <v>0</v>
      </c>
      <c r="Z3" s="32">
        <v>14.374797305886746</v>
      </c>
      <c r="AA3" s="35"/>
      <c r="AB3" s="35"/>
      <c r="AC3" s="35"/>
      <c r="AD3" s="35"/>
      <c r="AE3" s="37">
        <v>1088.8100572178764</v>
      </c>
      <c r="AF3">
        <v>389300</v>
      </c>
      <c r="AG3">
        <f t="shared" ref="AG3:AG34" si="0">(AE3*1000)/AF3</f>
        <v>2.7968406298943655</v>
      </c>
    </row>
    <row r="4" spans="1:33" x14ac:dyDescent="0.3">
      <c r="A4" s="27"/>
      <c r="B4" s="12" t="s">
        <v>15</v>
      </c>
      <c r="C4" s="29">
        <v>65.772431138217584</v>
      </c>
      <c r="D4" s="8">
        <v>185.02712198808999</v>
      </c>
      <c r="E4" s="8">
        <v>3.6044927709882675</v>
      </c>
      <c r="F4" s="8">
        <v>1.5144273581828154</v>
      </c>
      <c r="G4" s="8">
        <v>5.2297778235056951</v>
      </c>
      <c r="H4" s="13">
        <v>261.14825107898434</v>
      </c>
      <c r="I4" s="8">
        <v>77.6734062451537</v>
      </c>
      <c r="J4" s="8">
        <v>67.338823405753928</v>
      </c>
      <c r="K4" s="8">
        <v>121.36112289088555</v>
      </c>
      <c r="L4" s="8">
        <v>2.114865718579682</v>
      </c>
      <c r="M4" s="30">
        <v>27.784675430273722</v>
      </c>
      <c r="N4" s="30">
        <v>5.3663222597233391</v>
      </c>
      <c r="O4" s="13">
        <v>223.96580970521626</v>
      </c>
      <c r="P4" s="30">
        <v>5.7374734628047097</v>
      </c>
      <c r="Q4" s="30">
        <v>1.1875295164333368</v>
      </c>
      <c r="R4" s="30">
        <v>1.2089515582460995</v>
      </c>
      <c r="S4" s="30">
        <v>7.2123792886928397</v>
      </c>
      <c r="T4" s="30">
        <v>194.69885440273001</v>
      </c>
      <c r="U4" s="31">
        <v>3.1222035507069412</v>
      </c>
      <c r="V4" s="32">
        <v>213.16739177961392</v>
      </c>
      <c r="W4" s="30">
        <v>0.48912058971466249</v>
      </c>
      <c r="X4" s="30">
        <v>3.4807462524882267</v>
      </c>
      <c r="Y4" s="33">
        <v>0</v>
      </c>
      <c r="Z4" s="32">
        <v>3.9698668422028893</v>
      </c>
      <c r="AA4" s="35"/>
      <c r="AB4" s="35"/>
      <c r="AC4" s="35"/>
      <c r="AD4" s="35"/>
      <c r="AE4" s="37">
        <v>702.2513194060175</v>
      </c>
      <c r="AF4">
        <v>246500</v>
      </c>
      <c r="AG4">
        <f t="shared" si="0"/>
        <v>2.8488897338986514</v>
      </c>
    </row>
    <row r="5" spans="1:33" x14ac:dyDescent="0.3">
      <c r="A5" s="27"/>
      <c r="B5" s="12" t="s">
        <v>16</v>
      </c>
      <c r="C5" s="29">
        <v>78.762467558305943</v>
      </c>
      <c r="D5" s="8">
        <v>237.83451262629083</v>
      </c>
      <c r="E5" s="8">
        <v>3.1187493636843207</v>
      </c>
      <c r="F5" s="8">
        <v>1.2525882836499607</v>
      </c>
      <c r="G5" s="8">
        <v>3.9971025685827613</v>
      </c>
      <c r="H5" s="13">
        <v>324.96542040051384</v>
      </c>
      <c r="I5" s="8">
        <v>140.33207028521852</v>
      </c>
      <c r="J5" s="8">
        <v>114.77823109129385</v>
      </c>
      <c r="K5" s="8">
        <v>100.35764971926407</v>
      </c>
      <c r="L5" s="8">
        <v>2.6178258440568558</v>
      </c>
      <c r="M5" s="30">
        <v>46.605225137352086</v>
      </c>
      <c r="N5" s="30">
        <v>3.6114777170610979</v>
      </c>
      <c r="O5" s="13">
        <v>267.970409509028</v>
      </c>
      <c r="P5" s="30">
        <v>0.19534923452218608</v>
      </c>
      <c r="Q5" s="30">
        <v>0</v>
      </c>
      <c r="R5" s="30">
        <v>12.104215523167873</v>
      </c>
      <c r="S5" s="30">
        <v>21.889100449951691</v>
      </c>
      <c r="T5" s="30">
        <v>216.30287602840696</v>
      </c>
      <c r="U5" s="31">
        <v>3.6647387439729666</v>
      </c>
      <c r="V5" s="32">
        <v>254.15627998002168</v>
      </c>
      <c r="W5" s="30">
        <v>0.99829726620744264</v>
      </c>
      <c r="X5" s="30">
        <v>13.208565368765999</v>
      </c>
      <c r="Y5" s="33">
        <v>0</v>
      </c>
      <c r="Z5" s="32">
        <v>14.206862634973442</v>
      </c>
      <c r="AA5" s="35"/>
      <c r="AB5" s="35"/>
      <c r="AC5" s="35"/>
      <c r="AD5" s="35"/>
      <c r="AE5" s="37">
        <v>861.29897252453691</v>
      </c>
      <c r="AF5">
        <v>339800</v>
      </c>
      <c r="AG5">
        <f t="shared" si="0"/>
        <v>2.5347232858285369</v>
      </c>
    </row>
    <row r="6" spans="1:33" x14ac:dyDescent="0.3">
      <c r="A6" s="27"/>
      <c r="B6" s="12" t="s">
        <v>17</v>
      </c>
      <c r="C6" s="29">
        <v>96.345395934984197</v>
      </c>
      <c r="D6" s="8">
        <v>307.32998199264921</v>
      </c>
      <c r="E6" s="8">
        <v>2.9674663890441333</v>
      </c>
      <c r="F6" s="8">
        <v>3.3150525914144806</v>
      </c>
      <c r="G6" s="8">
        <v>6.1316881148816149</v>
      </c>
      <c r="H6" s="13">
        <v>416.08958502297367</v>
      </c>
      <c r="I6" s="8">
        <v>70.01993598588426</v>
      </c>
      <c r="J6" s="8">
        <v>50.876337687719904</v>
      </c>
      <c r="K6" s="8">
        <v>53.729172817966379</v>
      </c>
      <c r="L6" s="8">
        <v>1.1694734553452819</v>
      </c>
      <c r="M6" s="30">
        <v>31.958403313180913</v>
      </c>
      <c r="N6" s="30">
        <v>1.2884276354592648</v>
      </c>
      <c r="O6" s="13">
        <v>139.02181490967175</v>
      </c>
      <c r="P6" s="30">
        <v>5.6540628824635926</v>
      </c>
      <c r="Q6" s="30">
        <v>0</v>
      </c>
      <c r="R6" s="30">
        <v>1.4792362599245421</v>
      </c>
      <c r="S6" s="30">
        <v>14.787915039605403</v>
      </c>
      <c r="T6" s="30">
        <v>272.16389304238402</v>
      </c>
      <c r="U6" s="31">
        <v>4.35568325855896</v>
      </c>
      <c r="V6" s="32">
        <v>298.44079048293651</v>
      </c>
      <c r="W6" s="30">
        <v>0.30421171495622856</v>
      </c>
      <c r="X6" s="30">
        <v>2.4699008920736309</v>
      </c>
      <c r="Y6" s="33">
        <v>0</v>
      </c>
      <c r="Z6" s="32">
        <v>2.7741126070298594</v>
      </c>
      <c r="AA6" s="35"/>
      <c r="AB6" s="35"/>
      <c r="AC6" s="35"/>
      <c r="AD6" s="35"/>
      <c r="AE6" s="37">
        <v>856.3263030226118</v>
      </c>
      <c r="AF6">
        <v>330000</v>
      </c>
      <c r="AG6">
        <f t="shared" si="0"/>
        <v>2.5949281909776114</v>
      </c>
    </row>
    <row r="7" spans="1:33" x14ac:dyDescent="0.3">
      <c r="A7" s="27"/>
      <c r="B7" s="12" t="s">
        <v>18</v>
      </c>
      <c r="C7" s="29">
        <v>62.140177066698307</v>
      </c>
      <c r="D7" s="8">
        <v>146.25303957906317</v>
      </c>
      <c r="E7" s="8">
        <v>0.74410095946929333</v>
      </c>
      <c r="F7" s="8">
        <v>2.0886563511261818</v>
      </c>
      <c r="G7" s="8">
        <v>0.84208715322485039</v>
      </c>
      <c r="H7" s="13">
        <v>212.06806110958181</v>
      </c>
      <c r="I7" s="8">
        <v>225.13549789960948</v>
      </c>
      <c r="J7" s="8">
        <v>198.35069965495603</v>
      </c>
      <c r="K7" s="8">
        <v>236.4500420434594</v>
      </c>
      <c r="L7" s="8">
        <v>2.2389760981929254</v>
      </c>
      <c r="M7" s="30">
        <v>160.74192035244255</v>
      </c>
      <c r="N7" s="30">
        <v>1.5789905935073822</v>
      </c>
      <c r="O7" s="13">
        <v>599.36062874255822</v>
      </c>
      <c r="P7" s="30">
        <v>0</v>
      </c>
      <c r="Q7" s="30">
        <v>0</v>
      </c>
      <c r="R7" s="30">
        <v>12.062941550882641</v>
      </c>
      <c r="S7" s="30">
        <v>23.892356650157133</v>
      </c>
      <c r="T7" s="30">
        <v>121.66650088617901</v>
      </c>
      <c r="U7" s="31">
        <v>2.892441594496304</v>
      </c>
      <c r="V7" s="32">
        <v>160.51424068171508</v>
      </c>
      <c r="W7" s="30">
        <v>1.2431013331327376</v>
      </c>
      <c r="X7" s="30">
        <v>66.101336475861089</v>
      </c>
      <c r="Y7" s="33">
        <v>0</v>
      </c>
      <c r="Z7" s="32">
        <v>67.344437808993831</v>
      </c>
      <c r="AA7" s="35"/>
      <c r="AB7" s="35"/>
      <c r="AC7" s="35"/>
      <c r="AD7" s="35"/>
      <c r="AE7" s="37">
        <v>1039.287368342849</v>
      </c>
      <c r="AF7">
        <v>210100</v>
      </c>
      <c r="AG7">
        <f t="shared" si="0"/>
        <v>4.9466319292853358</v>
      </c>
    </row>
    <row r="8" spans="1:33" x14ac:dyDescent="0.3">
      <c r="A8" s="27"/>
      <c r="B8" s="12" t="s">
        <v>19</v>
      </c>
      <c r="C8" s="29">
        <v>5.0017539752977225</v>
      </c>
      <c r="D8" s="8">
        <v>4.4080290116192211</v>
      </c>
      <c r="E8" s="8">
        <v>1.2300273948642715E-2</v>
      </c>
      <c r="F8" s="8">
        <v>7.5181695259569706E-2</v>
      </c>
      <c r="G8" s="8">
        <v>1.1270237670419347E-2</v>
      </c>
      <c r="H8" s="13">
        <v>9.5085351937955771</v>
      </c>
      <c r="I8" s="8">
        <v>307.67059292521685</v>
      </c>
      <c r="J8" s="8">
        <v>298.5572009083898</v>
      </c>
      <c r="K8" s="8">
        <v>119.82193077445115</v>
      </c>
      <c r="L8" s="8">
        <v>1.3447172539344809</v>
      </c>
      <c r="M8" s="30">
        <v>39.303278236483173</v>
      </c>
      <c r="N8" s="30">
        <v>0.88650282429688421</v>
      </c>
      <c r="O8" s="13">
        <v>459.91362999755546</v>
      </c>
      <c r="P8" s="30">
        <v>0.20351952697302286</v>
      </c>
      <c r="Q8" s="30">
        <v>10.333671105849122</v>
      </c>
      <c r="R8" s="30">
        <v>8.424771392746019E-3</v>
      </c>
      <c r="S8" s="30">
        <v>7.8206749534721265</v>
      </c>
      <c r="T8" s="30">
        <v>39.488596723722999</v>
      </c>
      <c r="U8" s="31">
        <v>1.2927170633549334</v>
      </c>
      <c r="V8" s="32">
        <v>59.147604144764955</v>
      </c>
      <c r="W8" s="30">
        <v>0.66633497693379795</v>
      </c>
      <c r="X8" s="30">
        <v>2.0789932219872824</v>
      </c>
      <c r="Y8" s="33">
        <v>0</v>
      </c>
      <c r="Z8" s="32">
        <v>2.7453281989210803</v>
      </c>
      <c r="AA8" s="35"/>
      <c r="AB8" s="35"/>
      <c r="AC8" s="35"/>
      <c r="AD8" s="35"/>
      <c r="AE8" s="37">
        <v>531.31509753503713</v>
      </c>
      <c r="AF8">
        <v>8600</v>
      </c>
      <c r="AG8">
        <f t="shared" si="0"/>
        <v>61.780825294771752</v>
      </c>
    </row>
    <row r="9" spans="1:33" x14ac:dyDescent="0.3">
      <c r="A9" s="27"/>
      <c r="B9" s="12" t="s">
        <v>20</v>
      </c>
      <c r="C9" s="29">
        <v>105.60140431889329</v>
      </c>
      <c r="D9" s="8">
        <v>316.00371796883326</v>
      </c>
      <c r="E9" s="8">
        <v>5.14188127422553</v>
      </c>
      <c r="F9" s="8">
        <v>2.2008372077538527</v>
      </c>
      <c r="G9" s="8">
        <v>7.2651585138366412</v>
      </c>
      <c r="H9" s="13">
        <v>436.21299928354256</v>
      </c>
      <c r="I9" s="8">
        <v>110.56023084930587</v>
      </c>
      <c r="J9" s="8">
        <v>85.562794656649444</v>
      </c>
      <c r="K9" s="8">
        <v>78.986925045513331</v>
      </c>
      <c r="L9" s="8">
        <v>1.1466712574092395</v>
      </c>
      <c r="M9" s="30">
        <v>34.585600537003565</v>
      </c>
      <c r="N9" s="30">
        <v>1.3652329750743017</v>
      </c>
      <c r="O9" s="13">
        <v>201.64722447164988</v>
      </c>
      <c r="P9" s="30">
        <v>0.26147969645835395</v>
      </c>
      <c r="Q9" s="30">
        <v>0</v>
      </c>
      <c r="R9" s="30">
        <v>3.8515302592797953</v>
      </c>
      <c r="S9" s="30">
        <v>20.630379361840902</v>
      </c>
      <c r="T9" s="30">
        <v>269.58936365965792</v>
      </c>
      <c r="U9" s="31">
        <v>4.3670568308155193</v>
      </c>
      <c r="V9" s="32">
        <v>298.69980980805246</v>
      </c>
      <c r="W9" s="30">
        <v>0.1765706169246842</v>
      </c>
      <c r="X9" s="30">
        <v>13.521725867705651</v>
      </c>
      <c r="Y9" s="33">
        <v>0</v>
      </c>
      <c r="Z9" s="32">
        <v>13.698296484630335</v>
      </c>
      <c r="AA9" s="35"/>
      <c r="AB9" s="35"/>
      <c r="AC9" s="35"/>
      <c r="AD9" s="35"/>
      <c r="AE9" s="37">
        <v>950.25833004787523</v>
      </c>
      <c r="AF9">
        <v>390800</v>
      </c>
      <c r="AG9">
        <f t="shared" si="0"/>
        <v>2.4315719806752178</v>
      </c>
    </row>
    <row r="10" spans="1:33" x14ac:dyDescent="0.3">
      <c r="A10" s="27"/>
      <c r="B10" s="12" t="s">
        <v>21</v>
      </c>
      <c r="C10" s="29">
        <v>88.708829386586643</v>
      </c>
      <c r="D10" s="8">
        <v>256.43170198866557</v>
      </c>
      <c r="E10" s="8">
        <v>3.5817605682039879</v>
      </c>
      <c r="F10" s="8">
        <v>1.5704977505153608</v>
      </c>
      <c r="G10" s="8">
        <v>4.7880911700941589</v>
      </c>
      <c r="H10" s="13">
        <v>355.0808808640657</v>
      </c>
      <c r="I10" s="8">
        <v>177.73677290931215</v>
      </c>
      <c r="J10" s="8">
        <v>152.52750734784669</v>
      </c>
      <c r="K10" s="8">
        <v>113.43519427895333</v>
      </c>
      <c r="L10" s="8">
        <v>3.4311884770349037</v>
      </c>
      <c r="M10" s="30">
        <v>70.493607970325385</v>
      </c>
      <c r="N10" s="30">
        <v>3.2186322441280915</v>
      </c>
      <c r="O10" s="13">
        <v>343.10613031828842</v>
      </c>
      <c r="P10" s="30">
        <v>0</v>
      </c>
      <c r="Q10" s="30">
        <v>0</v>
      </c>
      <c r="R10" s="30">
        <v>4.4069736480503545</v>
      </c>
      <c r="S10" s="30">
        <v>20.605496258060317</v>
      </c>
      <c r="T10" s="30">
        <v>276.85204550103401</v>
      </c>
      <c r="U10" s="31">
        <v>4.6037693034051657</v>
      </c>
      <c r="V10" s="32">
        <v>306.46828471054982</v>
      </c>
      <c r="W10" s="30">
        <v>0.70290514667514026</v>
      </c>
      <c r="X10" s="30">
        <v>20.21141882981653</v>
      </c>
      <c r="Y10" s="33">
        <v>0</v>
      </c>
      <c r="Z10" s="32">
        <v>20.914323976491669</v>
      </c>
      <c r="AA10" s="35"/>
      <c r="AB10" s="35"/>
      <c r="AC10" s="35"/>
      <c r="AD10" s="35"/>
      <c r="AE10" s="37">
        <v>1025.5696198693956</v>
      </c>
      <c r="AF10">
        <v>367100</v>
      </c>
      <c r="AG10">
        <f t="shared" si="0"/>
        <v>2.7937064011696968</v>
      </c>
    </row>
    <row r="11" spans="1:33" x14ac:dyDescent="0.3">
      <c r="A11" s="27"/>
      <c r="B11" s="12" t="s">
        <v>22</v>
      </c>
      <c r="C11" s="29">
        <v>85.528157584048358</v>
      </c>
      <c r="D11" s="8">
        <v>241.31179918744414</v>
      </c>
      <c r="E11" s="8">
        <v>4.2922586223491299</v>
      </c>
      <c r="F11" s="8">
        <v>1.5328095334809329</v>
      </c>
      <c r="G11" s="8">
        <v>5.3477510756143927</v>
      </c>
      <c r="H11" s="13">
        <v>338.01277600293696</v>
      </c>
      <c r="I11" s="8">
        <v>93.699203489803097</v>
      </c>
      <c r="J11" s="8">
        <v>82.553033279385232</v>
      </c>
      <c r="K11" s="8">
        <v>85.883290809196453</v>
      </c>
      <c r="L11" s="8">
        <v>4.8453937913067264</v>
      </c>
      <c r="M11" s="30">
        <v>38.953129953523387</v>
      </c>
      <c r="N11" s="30">
        <v>2.0535897941384573</v>
      </c>
      <c r="O11" s="13">
        <v>214.28843762755022</v>
      </c>
      <c r="P11" s="30">
        <v>0.20045596224541587</v>
      </c>
      <c r="Q11" s="30">
        <v>0</v>
      </c>
      <c r="R11" s="30">
        <v>1.2313566704902712</v>
      </c>
      <c r="S11" s="30">
        <v>5.9326510610360206</v>
      </c>
      <c r="T11" s="30">
        <v>392.41618947044304</v>
      </c>
      <c r="U11" s="31">
        <v>5.2135191493818311</v>
      </c>
      <c r="V11" s="32">
        <v>404.99417231359661</v>
      </c>
      <c r="W11" s="30">
        <v>0.77301009862711179</v>
      </c>
      <c r="X11" s="30">
        <v>13.352637508044966</v>
      </c>
      <c r="Y11" s="33">
        <v>0</v>
      </c>
      <c r="Z11" s="32">
        <v>14.125647606672077</v>
      </c>
      <c r="AA11" s="35"/>
      <c r="AB11" s="35"/>
      <c r="AC11" s="35"/>
      <c r="AD11" s="35"/>
      <c r="AE11" s="37">
        <v>971.42103355075585</v>
      </c>
      <c r="AF11">
        <v>330000</v>
      </c>
      <c r="AG11">
        <f t="shared" si="0"/>
        <v>2.943700101668957</v>
      </c>
    </row>
    <row r="12" spans="1:33" x14ac:dyDescent="0.3">
      <c r="A12" s="27"/>
      <c r="B12" s="12" t="s">
        <v>23</v>
      </c>
      <c r="C12" s="29">
        <v>68.828735686552221</v>
      </c>
      <c r="D12" s="8">
        <v>174.32414296758398</v>
      </c>
      <c r="E12" s="8">
        <v>3.384730888749194</v>
      </c>
      <c r="F12" s="8">
        <v>1.1657683340546505</v>
      </c>
      <c r="G12" s="8">
        <v>4.3105379664440706</v>
      </c>
      <c r="H12" s="13">
        <v>252.01391584338413</v>
      </c>
      <c r="I12" s="8">
        <v>84.318097451128395</v>
      </c>
      <c r="J12" s="8">
        <v>69.735222676634621</v>
      </c>
      <c r="K12" s="8">
        <v>90.977121252459767</v>
      </c>
      <c r="L12" s="8">
        <v>1.4851103894034516</v>
      </c>
      <c r="M12" s="30">
        <v>82.638253291877419</v>
      </c>
      <c r="N12" s="30">
        <v>2.1777481346205469</v>
      </c>
      <c r="O12" s="13">
        <v>247.01345574499581</v>
      </c>
      <c r="P12" s="30">
        <v>3.0691225762503551</v>
      </c>
      <c r="Q12" s="30">
        <v>5.0199104717727172</v>
      </c>
      <c r="R12" s="30">
        <v>0.78143263832682353</v>
      </c>
      <c r="S12" s="30">
        <v>10.028154001445023</v>
      </c>
      <c r="T12" s="30">
        <v>248.410071427719</v>
      </c>
      <c r="U12" s="31">
        <v>4.5547207730487518</v>
      </c>
      <c r="V12" s="32">
        <v>271.86341188856267</v>
      </c>
      <c r="W12" s="30">
        <v>0.4860584211313847</v>
      </c>
      <c r="X12" s="30">
        <v>6.5119165548084545</v>
      </c>
      <c r="Y12" s="33">
        <v>0</v>
      </c>
      <c r="Z12" s="32">
        <v>6.9979749759398393</v>
      </c>
      <c r="AA12" s="35"/>
      <c r="AB12" s="35"/>
      <c r="AC12" s="35"/>
      <c r="AD12" s="35"/>
      <c r="AE12" s="37">
        <v>777.88875845288248</v>
      </c>
      <c r="AF12">
        <v>289100</v>
      </c>
      <c r="AG12">
        <f t="shared" si="0"/>
        <v>2.6907255567377466</v>
      </c>
    </row>
    <row r="13" spans="1:33" x14ac:dyDescent="0.3">
      <c r="A13" s="27"/>
      <c r="B13" s="12" t="s">
        <v>24</v>
      </c>
      <c r="C13" s="29">
        <v>64.094447532039695</v>
      </c>
      <c r="D13" s="8">
        <v>149.15629204646686</v>
      </c>
      <c r="E13" s="8">
        <v>1.2199171965014082</v>
      </c>
      <c r="F13" s="8">
        <v>0.68331385747294848</v>
      </c>
      <c r="G13" s="8">
        <v>1.1767391981574569</v>
      </c>
      <c r="H13" s="13">
        <v>216.33070983063837</v>
      </c>
      <c r="I13" s="8">
        <v>102.37604615201828</v>
      </c>
      <c r="J13" s="8">
        <v>93.500357475275422</v>
      </c>
      <c r="K13" s="8">
        <v>64.823357469208403</v>
      </c>
      <c r="L13" s="8">
        <v>1.2332052794902746</v>
      </c>
      <c r="M13" s="30">
        <v>56.423543969799027</v>
      </c>
      <c r="N13" s="30">
        <v>0.93904722113496553</v>
      </c>
      <c r="O13" s="13">
        <v>216.91951141490807</v>
      </c>
      <c r="P13" s="30">
        <v>0</v>
      </c>
      <c r="Q13" s="30">
        <v>0</v>
      </c>
      <c r="R13" s="30">
        <v>1.68600395229428</v>
      </c>
      <c r="S13" s="30">
        <v>6.4875544354280317</v>
      </c>
      <c r="T13" s="30">
        <v>116.92931039734901</v>
      </c>
      <c r="U13" s="31">
        <v>2.3881342413148259</v>
      </c>
      <c r="V13" s="32">
        <v>127.49100302638615</v>
      </c>
      <c r="W13" s="30">
        <v>0.38012551656217741</v>
      </c>
      <c r="X13" s="30">
        <v>12.084060609105455</v>
      </c>
      <c r="Y13" s="33">
        <v>0</v>
      </c>
      <c r="Z13" s="32">
        <v>12.464186125667633</v>
      </c>
      <c r="AA13" s="35"/>
      <c r="AB13" s="35"/>
      <c r="AC13" s="35"/>
      <c r="AD13" s="35"/>
      <c r="AE13" s="37">
        <v>573.20541039760019</v>
      </c>
      <c r="AF13">
        <v>259200</v>
      </c>
      <c r="AG13">
        <f t="shared" si="0"/>
        <v>2.211440626533951</v>
      </c>
    </row>
    <row r="14" spans="1:33" x14ac:dyDescent="0.3">
      <c r="A14" s="27"/>
      <c r="B14" s="12" t="s">
        <v>25</v>
      </c>
      <c r="C14" s="29">
        <v>52.147400305156495</v>
      </c>
      <c r="D14" s="8">
        <v>134.04460375855044</v>
      </c>
      <c r="E14" s="8">
        <v>1.0298153423112091</v>
      </c>
      <c r="F14" s="8">
        <v>0.82519903954785623</v>
      </c>
      <c r="G14" s="8">
        <v>1.0902755841100975</v>
      </c>
      <c r="H14" s="13">
        <v>189.13729402967607</v>
      </c>
      <c r="I14" s="8">
        <v>119.58804389658792</v>
      </c>
      <c r="J14" s="8">
        <v>107.35611705980833</v>
      </c>
      <c r="K14" s="8">
        <v>94.657786919762913</v>
      </c>
      <c r="L14" s="8">
        <v>0.76441913492525493</v>
      </c>
      <c r="M14" s="30">
        <v>63.462651567779567</v>
      </c>
      <c r="N14" s="30">
        <v>0.79381349013162039</v>
      </c>
      <c r="O14" s="13">
        <v>267.03478817240767</v>
      </c>
      <c r="P14" s="30">
        <v>7.8664076267423741</v>
      </c>
      <c r="Q14" s="30">
        <v>6.9014007031033822E-3</v>
      </c>
      <c r="R14" s="30">
        <v>1.6855721000633168</v>
      </c>
      <c r="S14" s="30">
        <v>9.8685143184946504</v>
      </c>
      <c r="T14" s="30">
        <v>112.23810964162101</v>
      </c>
      <c r="U14" s="31">
        <v>2.3634125182849428</v>
      </c>
      <c r="V14" s="32">
        <v>134.02891760590941</v>
      </c>
      <c r="W14" s="30">
        <v>0.34299503124534636</v>
      </c>
      <c r="X14" s="30">
        <v>31.502092882254782</v>
      </c>
      <c r="Y14" s="33">
        <v>0</v>
      </c>
      <c r="Z14" s="32">
        <v>31.84508791350013</v>
      </c>
      <c r="AA14" s="35"/>
      <c r="AB14" s="35"/>
      <c r="AC14" s="35"/>
      <c r="AD14" s="35"/>
      <c r="AE14" s="37">
        <v>622.04608772149334</v>
      </c>
      <c r="AF14">
        <v>183200</v>
      </c>
      <c r="AG14">
        <f t="shared" si="0"/>
        <v>3.3954480770823872</v>
      </c>
    </row>
    <row r="15" spans="1:33" x14ac:dyDescent="0.3">
      <c r="A15" s="27"/>
      <c r="B15" s="12" t="s">
        <v>26</v>
      </c>
      <c r="C15" s="29">
        <v>65.131443560125376</v>
      </c>
      <c r="D15" s="8">
        <v>191.67766496117392</v>
      </c>
      <c r="E15" s="8">
        <v>2.5364637147269664</v>
      </c>
      <c r="F15" s="8">
        <v>0.74371602603830778</v>
      </c>
      <c r="G15" s="8">
        <v>2.7792847767169473</v>
      </c>
      <c r="H15" s="13">
        <v>262.86857303878156</v>
      </c>
      <c r="I15" s="8">
        <v>77.896493114533328</v>
      </c>
      <c r="J15" s="8">
        <v>62.565633710294129</v>
      </c>
      <c r="K15" s="8">
        <v>61.832254067371217</v>
      </c>
      <c r="L15" s="8">
        <v>1.2475943322419338</v>
      </c>
      <c r="M15" s="30">
        <v>61.08161346343222</v>
      </c>
      <c r="N15" s="30">
        <v>1.4696832798619388</v>
      </c>
      <c r="O15" s="13">
        <v>188.19677885320144</v>
      </c>
      <c r="P15" s="30">
        <v>0</v>
      </c>
      <c r="Q15" s="30">
        <v>0</v>
      </c>
      <c r="R15" s="30">
        <v>2.0086978039434347</v>
      </c>
      <c r="S15" s="30">
        <v>13.077075485204997</v>
      </c>
      <c r="T15" s="30">
        <v>121.08849026845903</v>
      </c>
      <c r="U15" s="31">
        <v>2.2537839190342166</v>
      </c>
      <c r="V15" s="32">
        <v>138.42804747664167</v>
      </c>
      <c r="W15" s="30">
        <v>0.27602017309664717</v>
      </c>
      <c r="X15" s="30">
        <v>5.1943098608109661</v>
      </c>
      <c r="Y15" s="33">
        <v>0</v>
      </c>
      <c r="Z15" s="32">
        <v>5.4703300339076133</v>
      </c>
      <c r="AA15" s="35"/>
      <c r="AB15" s="35"/>
      <c r="AC15" s="35"/>
      <c r="AD15" s="35"/>
      <c r="AE15" s="37">
        <v>594.96372940253241</v>
      </c>
      <c r="AF15">
        <v>264200</v>
      </c>
      <c r="AG15">
        <f t="shared" si="0"/>
        <v>2.2519444716220001</v>
      </c>
    </row>
    <row r="16" spans="1:33" x14ac:dyDescent="0.3">
      <c r="A16" s="27"/>
      <c r="B16" s="12" t="s">
        <v>27</v>
      </c>
      <c r="C16" s="29">
        <v>63.210971777844271</v>
      </c>
      <c r="D16" s="8">
        <v>220.75840321113688</v>
      </c>
      <c r="E16" s="8">
        <v>2.4476638860709676</v>
      </c>
      <c r="F16" s="8">
        <v>1.3637869801764366</v>
      </c>
      <c r="G16" s="8">
        <v>3.9918049251383998</v>
      </c>
      <c r="H16" s="13">
        <v>291.77263078036697</v>
      </c>
      <c r="I16" s="8">
        <v>37.416185385410522</v>
      </c>
      <c r="J16" s="8">
        <v>24.940981234936164</v>
      </c>
      <c r="K16" s="8">
        <v>39.043089412271847</v>
      </c>
      <c r="L16" s="8">
        <v>0.84356644444336437</v>
      </c>
      <c r="M16" s="30">
        <v>14.612035221763653</v>
      </c>
      <c r="N16" s="30">
        <v>0.72170662617218073</v>
      </c>
      <c r="O16" s="13">
        <v>80.161378939587209</v>
      </c>
      <c r="P16" s="30">
        <v>0.19252970285018928</v>
      </c>
      <c r="Q16" s="30">
        <v>0</v>
      </c>
      <c r="R16" s="30">
        <v>4.3031207624776311</v>
      </c>
      <c r="S16" s="30">
        <v>10.440440480519584</v>
      </c>
      <c r="T16" s="30">
        <v>127.30421559681599</v>
      </c>
      <c r="U16" s="31">
        <v>2.0347636699547738</v>
      </c>
      <c r="V16" s="32">
        <v>144.27507021261817</v>
      </c>
      <c r="W16" s="30">
        <v>0.20279114829502545</v>
      </c>
      <c r="X16" s="30">
        <v>5.4976000045178655</v>
      </c>
      <c r="Y16" s="33">
        <v>0</v>
      </c>
      <c r="Z16" s="32">
        <v>5.700391152812891</v>
      </c>
      <c r="AA16" s="35"/>
      <c r="AB16" s="35"/>
      <c r="AC16" s="35"/>
      <c r="AD16" s="35"/>
      <c r="AE16" s="37">
        <v>521.90947108538535</v>
      </c>
      <c r="AF16">
        <v>261300</v>
      </c>
      <c r="AG16">
        <f t="shared" si="0"/>
        <v>1.997357332894701</v>
      </c>
    </row>
    <row r="17" spans="1:33" x14ac:dyDescent="0.3">
      <c r="A17" s="27"/>
      <c r="B17" s="12" t="s">
        <v>28</v>
      </c>
      <c r="C17" s="29">
        <v>70.633722585888421</v>
      </c>
      <c r="D17" s="8">
        <v>203.46965566514484</v>
      </c>
      <c r="E17" s="8">
        <v>3.2706564139218823</v>
      </c>
      <c r="F17" s="8">
        <v>1.8665631926937736</v>
      </c>
      <c r="G17" s="8">
        <v>5.1407152830267036</v>
      </c>
      <c r="H17" s="13">
        <v>284.38131314067562</v>
      </c>
      <c r="I17" s="8">
        <v>68.84160906245144</v>
      </c>
      <c r="J17" s="8">
        <v>50.685608436276816</v>
      </c>
      <c r="K17" s="8">
        <v>35.650882189386927</v>
      </c>
      <c r="L17" s="8">
        <v>2.640131713594037</v>
      </c>
      <c r="M17" s="30">
        <v>31.323517649668613</v>
      </c>
      <c r="N17" s="30">
        <v>3.34228548298996</v>
      </c>
      <c r="O17" s="13">
        <v>123.64242547191635</v>
      </c>
      <c r="P17" s="30">
        <v>0.79460213460589246</v>
      </c>
      <c r="Q17" s="30">
        <v>0.56017251156955961</v>
      </c>
      <c r="R17" s="30">
        <v>2.0292582190700417</v>
      </c>
      <c r="S17" s="30">
        <v>12.939322151165966</v>
      </c>
      <c r="T17" s="30">
        <v>407.32677028789499</v>
      </c>
      <c r="U17" s="31">
        <v>5.2166784750086528</v>
      </c>
      <c r="V17" s="32">
        <v>428.86680377931515</v>
      </c>
      <c r="W17" s="30">
        <v>0.75092994089602705</v>
      </c>
      <c r="X17" s="30">
        <v>4.867312659859568</v>
      </c>
      <c r="Y17" s="33">
        <v>0</v>
      </c>
      <c r="Z17" s="32">
        <v>5.618242600755595</v>
      </c>
      <c r="AA17" s="35"/>
      <c r="AB17" s="35"/>
      <c r="AC17" s="35"/>
      <c r="AD17" s="35"/>
      <c r="AE17" s="37">
        <v>842.50878499266264</v>
      </c>
      <c r="AF17">
        <v>262000</v>
      </c>
      <c r="AG17">
        <f t="shared" si="0"/>
        <v>3.215682385468178</v>
      </c>
    </row>
    <row r="18" spans="1:33" x14ac:dyDescent="0.3">
      <c r="A18" s="27"/>
      <c r="B18" s="12" t="s">
        <v>29</v>
      </c>
      <c r="C18" s="29">
        <v>78.165833188604481</v>
      </c>
      <c r="D18" s="8">
        <v>223.88234298877717</v>
      </c>
      <c r="E18" s="8">
        <v>3.3569280894780249</v>
      </c>
      <c r="F18" s="8">
        <v>2.2929612695064514</v>
      </c>
      <c r="G18" s="8">
        <v>6.0702794523710644</v>
      </c>
      <c r="H18" s="13">
        <v>313.76834498873717</v>
      </c>
      <c r="I18" s="8">
        <v>259.69789412208377</v>
      </c>
      <c r="J18" s="8">
        <v>232.46917547388674</v>
      </c>
      <c r="K18" s="8">
        <v>113.74850856038094</v>
      </c>
      <c r="L18" s="8">
        <v>4.3923937846684593</v>
      </c>
      <c r="M18" s="30">
        <v>127.13707817035218</v>
      </c>
      <c r="N18" s="30">
        <v>2.4265301959861159</v>
      </c>
      <c r="O18" s="13">
        <v>480.17368618527445</v>
      </c>
      <c r="P18" s="30">
        <v>617.85613628054466</v>
      </c>
      <c r="Q18" s="30">
        <v>0</v>
      </c>
      <c r="R18" s="30">
        <v>6.0010660452923164</v>
      </c>
      <c r="S18" s="30">
        <v>19.618456095167282</v>
      </c>
      <c r="T18" s="30">
        <v>436.19126174598495</v>
      </c>
      <c r="U18" s="31">
        <v>7.6102625530297461</v>
      </c>
      <c r="V18" s="32">
        <v>1087.277182720019</v>
      </c>
      <c r="W18" s="30">
        <v>0.66285487126713549</v>
      </c>
      <c r="X18" s="30">
        <v>28.10736263429926</v>
      </c>
      <c r="Y18" s="33">
        <v>31.297488760216979</v>
      </c>
      <c r="Z18" s="32">
        <v>60.067706265783372</v>
      </c>
      <c r="AA18" s="35"/>
      <c r="AB18" s="35"/>
      <c r="AC18" s="35"/>
      <c r="AD18" s="35"/>
      <c r="AE18" s="37">
        <v>1941.2869201598139</v>
      </c>
      <c r="AF18">
        <v>305900</v>
      </c>
      <c r="AG18">
        <f t="shared" si="0"/>
        <v>6.346148807322046</v>
      </c>
    </row>
    <row r="19" spans="1:33" x14ac:dyDescent="0.3">
      <c r="A19" s="27"/>
      <c r="B19" s="12" t="s">
        <v>30</v>
      </c>
      <c r="C19" s="29">
        <v>71.232077508158866</v>
      </c>
      <c r="D19" s="8">
        <v>181.58126953007613</v>
      </c>
      <c r="E19" s="8">
        <v>3.3900373586750767</v>
      </c>
      <c r="F19" s="8">
        <v>1.7141897504749573</v>
      </c>
      <c r="G19" s="8">
        <v>4.7056505230880683</v>
      </c>
      <c r="H19" s="13">
        <v>262.62322467047312</v>
      </c>
      <c r="I19" s="8">
        <v>157.01033483390873</v>
      </c>
      <c r="J19" s="8">
        <v>143.86481019230061</v>
      </c>
      <c r="K19" s="8">
        <v>91.384730786173563</v>
      </c>
      <c r="L19" s="8">
        <v>2.5179158134151511</v>
      </c>
      <c r="M19" s="30">
        <v>32.637737923865544</v>
      </c>
      <c r="N19" s="30">
        <v>0.80218086340886452</v>
      </c>
      <c r="O19" s="13">
        <v>271.20737557916374</v>
      </c>
      <c r="P19" s="30">
        <v>102.21586564566893</v>
      </c>
      <c r="Q19" s="30">
        <v>0</v>
      </c>
      <c r="R19" s="30">
        <v>0.55698334661197846</v>
      </c>
      <c r="S19" s="30">
        <v>7.1294577998728235</v>
      </c>
      <c r="T19" s="30">
        <v>312.73424896761202</v>
      </c>
      <c r="U19" s="31">
        <v>6.0160668417353156</v>
      </c>
      <c r="V19" s="32">
        <v>428.65262260150109</v>
      </c>
      <c r="W19" s="30">
        <v>0.8337558783324529</v>
      </c>
      <c r="X19" s="30">
        <v>4.8182140894383618</v>
      </c>
      <c r="Y19" s="33">
        <v>8.7025046837897873E-6</v>
      </c>
      <c r="Z19" s="32">
        <v>5.6519786702754988</v>
      </c>
      <c r="AA19" s="35"/>
      <c r="AB19" s="35"/>
      <c r="AC19" s="35"/>
      <c r="AD19" s="35"/>
      <c r="AE19" s="37">
        <v>968.13520152141348</v>
      </c>
      <c r="AF19">
        <v>288200</v>
      </c>
      <c r="AG19">
        <f t="shared" si="0"/>
        <v>3.3592477499008102</v>
      </c>
    </row>
    <row r="20" spans="1:33" x14ac:dyDescent="0.3">
      <c r="A20" s="27"/>
      <c r="B20" s="12" t="s">
        <v>31</v>
      </c>
      <c r="C20" s="29">
        <v>56.129738313806534</v>
      </c>
      <c r="D20" s="8">
        <v>135.96308852900174</v>
      </c>
      <c r="E20" s="8">
        <v>0.87161083657303629</v>
      </c>
      <c r="F20" s="8">
        <v>0.70988233948183721</v>
      </c>
      <c r="G20" s="8">
        <v>0.84128990208613641</v>
      </c>
      <c r="H20" s="13">
        <v>194.51560992094932</v>
      </c>
      <c r="I20" s="8">
        <v>131.94778935888488</v>
      </c>
      <c r="J20" s="8">
        <v>114.98412554678836</v>
      </c>
      <c r="K20" s="8">
        <v>104.79109546255461</v>
      </c>
      <c r="L20" s="8">
        <v>1.317712338427099</v>
      </c>
      <c r="M20" s="30">
        <v>65.610806738004186</v>
      </c>
      <c r="N20" s="30">
        <v>1.0874619086039541</v>
      </c>
      <c r="O20" s="13">
        <v>287.79120199437818</v>
      </c>
      <c r="P20" s="30">
        <v>0</v>
      </c>
      <c r="Q20" s="30">
        <v>0</v>
      </c>
      <c r="R20" s="30">
        <v>2.3231424973934929</v>
      </c>
      <c r="S20" s="30">
        <v>14.583901783692774</v>
      </c>
      <c r="T20" s="30">
        <v>97.852010244259986</v>
      </c>
      <c r="U20" s="31">
        <v>2.3797620284037473</v>
      </c>
      <c r="V20" s="32">
        <v>117.13881655375</v>
      </c>
      <c r="W20" s="30">
        <v>0.5318856238181997</v>
      </c>
      <c r="X20" s="30">
        <v>112.42362821093982</v>
      </c>
      <c r="Y20" s="33">
        <v>0</v>
      </c>
      <c r="Z20" s="32">
        <v>112.95551383475802</v>
      </c>
      <c r="AA20" s="35"/>
      <c r="AB20" s="35"/>
      <c r="AC20" s="35"/>
      <c r="AD20" s="35"/>
      <c r="AE20" s="37">
        <v>712.40114230383551</v>
      </c>
      <c r="AF20">
        <v>216600</v>
      </c>
      <c r="AG20">
        <f t="shared" si="0"/>
        <v>3.2890172774876985</v>
      </c>
    </row>
    <row r="21" spans="1:33" x14ac:dyDescent="0.3">
      <c r="A21" s="27"/>
      <c r="B21" s="12" t="s">
        <v>32</v>
      </c>
      <c r="C21" s="29">
        <v>62.871848266195457</v>
      </c>
      <c r="D21" s="8">
        <v>137.33537987930271</v>
      </c>
      <c r="E21" s="8">
        <v>0.61838109480138836</v>
      </c>
      <c r="F21" s="8">
        <v>1.7771727451315913</v>
      </c>
      <c r="G21" s="8">
        <v>0.59808685367955738</v>
      </c>
      <c r="H21" s="13">
        <v>203.20086883911068</v>
      </c>
      <c r="I21" s="8">
        <v>176.0131543854024</v>
      </c>
      <c r="J21" s="8">
        <v>164.43922266724402</v>
      </c>
      <c r="K21" s="8">
        <v>139.38845007878584</v>
      </c>
      <c r="L21" s="8">
        <v>0.35899776916790138</v>
      </c>
      <c r="M21" s="30">
        <v>62.563843038430392</v>
      </c>
      <c r="N21" s="30">
        <v>0.20363099421936701</v>
      </c>
      <c r="O21" s="13">
        <v>366.95414454784753</v>
      </c>
      <c r="P21" s="30">
        <v>0</v>
      </c>
      <c r="Q21" s="30">
        <v>1.6817116178682111E-2</v>
      </c>
      <c r="R21" s="30">
        <v>0.29542252469489233</v>
      </c>
      <c r="S21" s="30">
        <v>8.6480802551584421</v>
      </c>
      <c r="T21" s="30">
        <v>127.13664869303301</v>
      </c>
      <c r="U21" s="31">
        <v>2.9258514629999475</v>
      </c>
      <c r="V21" s="32">
        <v>139.02282005206499</v>
      </c>
      <c r="W21" s="30">
        <v>0.65245421802137593</v>
      </c>
      <c r="X21" s="30">
        <v>9.7107342995537653</v>
      </c>
      <c r="Y21" s="33">
        <v>0</v>
      </c>
      <c r="Z21" s="32">
        <v>10.363188517575141</v>
      </c>
      <c r="AA21" s="35"/>
      <c r="AB21" s="35"/>
      <c r="AC21" s="35"/>
      <c r="AD21" s="35"/>
      <c r="AE21" s="37">
        <v>719.54102195659834</v>
      </c>
      <c r="AF21">
        <v>143400</v>
      </c>
      <c r="AG21">
        <f t="shared" si="0"/>
        <v>5.017719818386321</v>
      </c>
    </row>
    <row r="22" spans="1:33" x14ac:dyDescent="0.3">
      <c r="A22" s="27"/>
      <c r="B22" s="12" t="s">
        <v>76</v>
      </c>
      <c r="C22" s="29">
        <v>46.679942189256984</v>
      </c>
      <c r="D22" s="8">
        <v>135.26436478675535</v>
      </c>
      <c r="E22" s="8">
        <v>1.6703432898358148</v>
      </c>
      <c r="F22" s="8">
        <v>0.84462214192632146</v>
      </c>
      <c r="G22" s="8">
        <v>2.5884246687450712</v>
      </c>
      <c r="H22" s="13">
        <v>187.04769707651954</v>
      </c>
      <c r="I22" s="8">
        <v>55.740150773991552</v>
      </c>
      <c r="J22" s="8">
        <v>48.591604917803465</v>
      </c>
      <c r="K22" s="8">
        <v>39.060043763354336</v>
      </c>
      <c r="L22" s="8">
        <v>0.3757856154398122</v>
      </c>
      <c r="M22" s="30">
        <v>25.524871669587661</v>
      </c>
      <c r="N22" s="30">
        <v>0.37044936445456939</v>
      </c>
      <c r="O22" s="13">
        <v>113.92275533063986</v>
      </c>
      <c r="P22" s="30">
        <v>0</v>
      </c>
      <c r="Q22" s="30">
        <v>0</v>
      </c>
      <c r="R22" s="30">
        <v>0.54496190971215619</v>
      </c>
      <c r="S22" s="30">
        <v>4.2912517592901844</v>
      </c>
      <c r="T22" s="30">
        <v>167.46558503913297</v>
      </c>
      <c r="U22" s="31">
        <v>2.8572940968979079</v>
      </c>
      <c r="V22" s="32">
        <v>175.15909280503323</v>
      </c>
      <c r="W22" s="30">
        <v>0.22835354081502951</v>
      </c>
      <c r="X22" s="30">
        <v>7.6878014114762223</v>
      </c>
      <c r="Y22" s="33">
        <v>0</v>
      </c>
      <c r="Z22" s="32">
        <v>7.9161549522912518</v>
      </c>
      <c r="AA22" s="35"/>
      <c r="AB22" s="35"/>
      <c r="AC22" s="35"/>
      <c r="AD22" s="35"/>
      <c r="AE22" s="37">
        <v>484.04570016448389</v>
      </c>
      <c r="AF22">
        <v>168000</v>
      </c>
      <c r="AG22">
        <f t="shared" si="0"/>
        <v>2.8812244057409755</v>
      </c>
    </row>
    <row r="23" spans="1:33" x14ac:dyDescent="0.3">
      <c r="A23" s="27"/>
      <c r="B23" s="12" t="s">
        <v>33</v>
      </c>
      <c r="C23" s="29">
        <v>79.008063966469251</v>
      </c>
      <c r="D23" s="8">
        <v>208.65600661399657</v>
      </c>
      <c r="E23" s="8">
        <v>2.0373171309681317</v>
      </c>
      <c r="F23" s="8">
        <v>1.4077989302382437</v>
      </c>
      <c r="G23" s="8">
        <v>2.492220293352164</v>
      </c>
      <c r="H23" s="13">
        <v>293.60140693502433</v>
      </c>
      <c r="I23" s="8">
        <v>108.53811625811856</v>
      </c>
      <c r="J23" s="8">
        <v>84.382138900165344</v>
      </c>
      <c r="K23" s="8">
        <v>140.90671446448221</v>
      </c>
      <c r="L23" s="8">
        <v>1.1063882849275395</v>
      </c>
      <c r="M23" s="30">
        <v>58.743700898519371</v>
      </c>
      <c r="N23" s="30">
        <v>1.2800762977871289</v>
      </c>
      <c r="O23" s="13">
        <v>286.41901884588157</v>
      </c>
      <c r="P23" s="30">
        <v>0</v>
      </c>
      <c r="Q23" s="30">
        <v>3.5175438543029278E-2</v>
      </c>
      <c r="R23" s="30">
        <v>1.2699390387016178</v>
      </c>
      <c r="S23" s="30">
        <v>20.107064617758688</v>
      </c>
      <c r="T23" s="30">
        <v>187.48823141976197</v>
      </c>
      <c r="U23" s="31">
        <v>4.0489127401945337</v>
      </c>
      <c r="V23" s="32">
        <v>212.94932325495984</v>
      </c>
      <c r="W23" s="30">
        <v>0.48240300503408229</v>
      </c>
      <c r="X23" s="30">
        <v>11.771424899095631</v>
      </c>
      <c r="Y23" s="33">
        <v>0</v>
      </c>
      <c r="Z23" s="32">
        <v>12.253827904129714</v>
      </c>
      <c r="AA23" s="35"/>
      <c r="AB23" s="35"/>
      <c r="AC23" s="35"/>
      <c r="AD23" s="35"/>
      <c r="AE23" s="37">
        <v>805.2235769399955</v>
      </c>
      <c r="AF23">
        <v>317600</v>
      </c>
      <c r="AG23">
        <f t="shared" si="0"/>
        <v>2.535338718324923</v>
      </c>
    </row>
    <row r="24" spans="1:33" x14ac:dyDescent="0.3">
      <c r="A24" s="27"/>
      <c r="B24" s="12" t="s">
        <v>34</v>
      </c>
      <c r="C24" s="29">
        <v>74.906826729619112</v>
      </c>
      <c r="D24" s="8">
        <v>202.22630264968157</v>
      </c>
      <c r="E24" s="8">
        <v>3.3593587434292633</v>
      </c>
      <c r="F24" s="8">
        <v>1.0286592907088203</v>
      </c>
      <c r="G24" s="8">
        <v>4.1442947337801623</v>
      </c>
      <c r="H24" s="13">
        <v>285.66544214721893</v>
      </c>
      <c r="I24" s="8">
        <v>52.433062272326154</v>
      </c>
      <c r="J24" s="8">
        <v>30.142639264928935</v>
      </c>
      <c r="K24" s="8">
        <v>63.202437602601272</v>
      </c>
      <c r="L24" s="8">
        <v>0.71676742184131814</v>
      </c>
      <c r="M24" s="30">
        <v>29.193604675960035</v>
      </c>
      <c r="N24" s="30">
        <v>0.74409211138235387</v>
      </c>
      <c r="O24" s="13">
        <v>123.99954107671391</v>
      </c>
      <c r="P24" s="30">
        <v>0</v>
      </c>
      <c r="Q24" s="30">
        <v>1.1500723854676504</v>
      </c>
      <c r="R24" s="30">
        <v>2.1736089622223704</v>
      </c>
      <c r="S24" s="30">
        <v>19.159452328075854</v>
      </c>
      <c r="T24" s="30">
        <v>176.08929082330303</v>
      </c>
      <c r="U24" s="31">
        <v>3.1309706793213721</v>
      </c>
      <c r="V24" s="32">
        <v>201.70339517839028</v>
      </c>
      <c r="W24" s="30">
        <v>0.19913711384100638</v>
      </c>
      <c r="X24" s="30">
        <v>5.9149352229500467</v>
      </c>
      <c r="Y24" s="33">
        <v>0</v>
      </c>
      <c r="Z24" s="32">
        <v>6.114072336791053</v>
      </c>
      <c r="AA24" s="35"/>
      <c r="AB24" s="35"/>
      <c r="AC24" s="35"/>
      <c r="AD24" s="35"/>
      <c r="AE24" s="37">
        <v>617.48245073911414</v>
      </c>
      <c r="AF24">
        <v>300600</v>
      </c>
      <c r="AG24">
        <f t="shared" si="0"/>
        <v>2.0541665027914644</v>
      </c>
    </row>
    <row r="25" spans="1:33" x14ac:dyDescent="0.3">
      <c r="A25" s="27"/>
      <c r="B25" s="12" t="s">
        <v>35</v>
      </c>
      <c r="C25" s="29">
        <v>56.485332191137012</v>
      </c>
      <c r="D25" s="8">
        <v>165.02451827909755</v>
      </c>
      <c r="E25" s="8">
        <v>2.7511243700590122</v>
      </c>
      <c r="F25" s="8">
        <v>1.0982002862917644</v>
      </c>
      <c r="G25" s="8">
        <v>3.7361640769368973</v>
      </c>
      <c r="H25" s="13">
        <v>229.09533920352223</v>
      </c>
      <c r="I25" s="8">
        <v>84.807715200025925</v>
      </c>
      <c r="J25" s="8">
        <v>72.719101703711971</v>
      </c>
      <c r="K25" s="8">
        <v>51.067133157190007</v>
      </c>
      <c r="L25" s="8">
        <v>0.52897113600498302</v>
      </c>
      <c r="M25" s="30">
        <v>21.121788022762249</v>
      </c>
      <c r="N25" s="30">
        <v>0.7740188382549017</v>
      </c>
      <c r="O25" s="13">
        <v>146.21101285792412</v>
      </c>
      <c r="P25" s="30">
        <v>0</v>
      </c>
      <c r="Q25" s="30">
        <v>0</v>
      </c>
      <c r="R25" s="30">
        <v>0.72068474629704127</v>
      </c>
      <c r="S25" s="30">
        <v>9.8450184024262537</v>
      </c>
      <c r="T25" s="30">
        <v>144.00389963325799</v>
      </c>
      <c r="U25" s="31">
        <v>2.2435950938877145</v>
      </c>
      <c r="V25" s="32">
        <v>156.81319787586898</v>
      </c>
      <c r="W25" s="30">
        <v>0.32832206928564295</v>
      </c>
      <c r="X25" s="30">
        <v>5.7575256361713736</v>
      </c>
      <c r="Y25" s="33">
        <v>0</v>
      </c>
      <c r="Z25" s="32">
        <v>6.0858477054570166</v>
      </c>
      <c r="AA25" s="35"/>
      <c r="AB25" s="35"/>
      <c r="AC25" s="35"/>
      <c r="AD25" s="35"/>
      <c r="AE25" s="37">
        <v>538.20539764277225</v>
      </c>
      <c r="AF25">
        <v>215200</v>
      </c>
      <c r="AG25">
        <f t="shared" si="0"/>
        <v>2.5009544500128826</v>
      </c>
    </row>
    <row r="26" spans="1:33" x14ac:dyDescent="0.3">
      <c r="A26" s="27"/>
      <c r="B26" s="12" t="s">
        <v>36</v>
      </c>
      <c r="C26" s="29">
        <v>72.949447191586117</v>
      </c>
      <c r="D26" s="8">
        <v>169.47251023599199</v>
      </c>
      <c r="E26" s="8">
        <v>4.697225986601298</v>
      </c>
      <c r="F26" s="8">
        <v>0.4673272889476105</v>
      </c>
      <c r="G26" s="8">
        <v>4.2670822500580208</v>
      </c>
      <c r="H26" s="13">
        <v>251.85359295318503</v>
      </c>
      <c r="I26" s="8">
        <v>188.27314005592856</v>
      </c>
      <c r="J26" s="8">
        <v>160.69752654222822</v>
      </c>
      <c r="K26" s="8">
        <v>179.88850462403764</v>
      </c>
      <c r="L26" s="8">
        <v>1.9011303336463801</v>
      </c>
      <c r="M26" s="30">
        <v>102.64251580224439</v>
      </c>
      <c r="N26" s="30">
        <v>25.790560453594814</v>
      </c>
      <c r="O26" s="13">
        <v>470.92023775575149</v>
      </c>
      <c r="P26" s="30">
        <v>14.897268848070436</v>
      </c>
      <c r="Q26" s="30">
        <v>4.1281163236319545</v>
      </c>
      <c r="R26" s="30">
        <v>2.1607505052978682</v>
      </c>
      <c r="S26" s="30">
        <v>23.796586165177079</v>
      </c>
      <c r="T26" s="30">
        <v>188.49618998984099</v>
      </c>
      <c r="U26" s="31">
        <v>3.7790273485232562</v>
      </c>
      <c r="V26" s="32">
        <v>237.25793918054157</v>
      </c>
      <c r="W26" s="30">
        <v>0.4993552356902054</v>
      </c>
      <c r="X26" s="30">
        <v>8.2973239557613887</v>
      </c>
      <c r="Y26" s="33">
        <v>0.16338765913347722</v>
      </c>
      <c r="Z26" s="32">
        <v>8.9600668505850702</v>
      </c>
      <c r="AA26" s="35"/>
      <c r="AB26" s="35"/>
      <c r="AC26" s="35"/>
      <c r="AD26" s="35"/>
      <c r="AE26" s="37">
        <v>968.99183674006326</v>
      </c>
      <c r="AF26">
        <v>351100</v>
      </c>
      <c r="AG26">
        <f t="shared" si="0"/>
        <v>2.7598742145829203</v>
      </c>
    </row>
    <row r="27" spans="1:33" x14ac:dyDescent="0.3">
      <c r="A27" s="27"/>
      <c r="B27" s="12" t="s">
        <v>37</v>
      </c>
      <c r="C27" s="29">
        <v>72.408436420195898</v>
      </c>
      <c r="D27" s="8">
        <v>224.15074907671138</v>
      </c>
      <c r="E27" s="8">
        <v>3.9932419862083344</v>
      </c>
      <c r="F27" s="8">
        <v>1.1716050588257008</v>
      </c>
      <c r="G27" s="8">
        <v>4.7649430032168221</v>
      </c>
      <c r="H27" s="13">
        <v>306.48897554515816</v>
      </c>
      <c r="I27" s="8">
        <v>44.165775456715693</v>
      </c>
      <c r="J27" s="8">
        <v>30.591147154967484</v>
      </c>
      <c r="K27" s="8">
        <v>39.275603029601754</v>
      </c>
      <c r="L27" s="8">
        <v>1.7805713529376774</v>
      </c>
      <c r="M27" s="30">
        <v>41.205094464364066</v>
      </c>
      <c r="N27" s="30">
        <v>2.506271537777419</v>
      </c>
      <c r="O27" s="13">
        <v>115.3586875396484</v>
      </c>
      <c r="P27" s="30">
        <v>0.34359977508267003</v>
      </c>
      <c r="Q27" s="30">
        <v>0</v>
      </c>
      <c r="R27" s="30">
        <v>0.66503289767078555</v>
      </c>
      <c r="S27" s="30">
        <v>9.8714247682686906</v>
      </c>
      <c r="T27" s="30">
        <v>211.07615703904</v>
      </c>
      <c r="U27" s="31">
        <v>3.7032035334795257</v>
      </c>
      <c r="V27" s="32">
        <v>225.65941801354168</v>
      </c>
      <c r="W27" s="30">
        <v>0.25835829954651512</v>
      </c>
      <c r="X27" s="30">
        <v>12.682779990747429</v>
      </c>
      <c r="Y27" s="33">
        <v>0</v>
      </c>
      <c r="Z27" s="32">
        <v>12.941138290293944</v>
      </c>
      <c r="AA27" s="35"/>
      <c r="AB27" s="35"/>
      <c r="AC27" s="35"/>
      <c r="AD27" s="35"/>
      <c r="AE27" s="37">
        <v>660.44821938864209</v>
      </c>
      <c r="AF27">
        <v>310300</v>
      </c>
      <c r="AG27">
        <f t="shared" si="0"/>
        <v>2.1284183673497972</v>
      </c>
    </row>
    <row r="28" spans="1:33" x14ac:dyDescent="0.3">
      <c r="A28" s="27"/>
      <c r="B28" s="12" t="s">
        <v>90</v>
      </c>
      <c r="C28" s="29">
        <v>58.738686689481597</v>
      </c>
      <c r="D28" s="8">
        <v>179.0984974940647</v>
      </c>
      <c r="E28" s="8">
        <v>1.710181233063774</v>
      </c>
      <c r="F28" s="8">
        <v>1.5648805692700298</v>
      </c>
      <c r="G28" s="8">
        <v>3.1822489321276191</v>
      </c>
      <c r="H28" s="13">
        <v>244.2944949180077</v>
      </c>
      <c r="I28" s="8">
        <v>54.865180048168469</v>
      </c>
      <c r="J28" s="8">
        <v>47.351807538948975</v>
      </c>
      <c r="K28" s="8">
        <v>48.516653443480344</v>
      </c>
      <c r="L28" s="8">
        <v>1.7896913555463507</v>
      </c>
      <c r="M28" s="30">
        <v>15.564526357633582</v>
      </c>
      <c r="N28" s="30">
        <v>2.7205211279008368</v>
      </c>
      <c r="O28" s="13">
        <v>115.9431998235101</v>
      </c>
      <c r="P28" s="30">
        <v>36.551532369948944</v>
      </c>
      <c r="Q28" s="30">
        <v>0</v>
      </c>
      <c r="R28" s="30">
        <v>0.38173363228949508</v>
      </c>
      <c r="S28" s="30">
        <v>4.6808791184921441</v>
      </c>
      <c r="T28" s="30">
        <v>161.30761518200003</v>
      </c>
      <c r="U28" s="31">
        <v>2.8324933907273544</v>
      </c>
      <c r="V28" s="32">
        <v>205.75425369345797</v>
      </c>
      <c r="W28" s="30">
        <v>0.14904032938406606</v>
      </c>
      <c r="X28" s="30">
        <v>5.5550452648618132</v>
      </c>
      <c r="Y28" s="33">
        <v>0</v>
      </c>
      <c r="Z28" s="32">
        <v>5.7040855942458792</v>
      </c>
      <c r="AA28" s="35"/>
      <c r="AB28" s="35"/>
      <c r="AC28" s="35"/>
      <c r="AD28" s="35"/>
      <c r="AE28" s="37">
        <v>571.69603402922155</v>
      </c>
      <c r="AF28">
        <v>195200</v>
      </c>
      <c r="AG28">
        <f t="shared" si="0"/>
        <v>2.9287706661333068</v>
      </c>
    </row>
    <row r="29" spans="1:33" x14ac:dyDescent="0.3">
      <c r="A29" s="27"/>
      <c r="B29" s="12" t="s">
        <v>38</v>
      </c>
      <c r="C29" s="29">
        <v>81.181529144167826</v>
      </c>
      <c r="D29" s="8">
        <v>158.49525869948116</v>
      </c>
      <c r="E29" s="8">
        <v>1.7086207594447773</v>
      </c>
      <c r="F29" s="8">
        <v>1.8897069774530639</v>
      </c>
      <c r="G29" s="8">
        <v>2.0791129893164402</v>
      </c>
      <c r="H29" s="13">
        <v>245.35422856986327</v>
      </c>
      <c r="I29" s="8">
        <v>160.12256606586885</v>
      </c>
      <c r="J29" s="8">
        <v>136.13475805813354</v>
      </c>
      <c r="K29" s="8">
        <v>151.8220330869614</v>
      </c>
      <c r="L29" s="8">
        <v>1.4148560572968119</v>
      </c>
      <c r="M29" s="30">
        <v>106.41174090377264</v>
      </c>
      <c r="N29" s="30">
        <v>1.5325665843517038</v>
      </c>
      <c r="O29" s="13">
        <v>397.31595469051604</v>
      </c>
      <c r="P29" s="30">
        <v>1.2434328394838976</v>
      </c>
      <c r="Q29" s="30">
        <v>9.1001075994307552</v>
      </c>
      <c r="R29" s="30">
        <v>1.0032520370924671</v>
      </c>
      <c r="S29" s="30">
        <v>19.905248449615119</v>
      </c>
      <c r="T29" s="30">
        <v>180.55058298900795</v>
      </c>
      <c r="U29" s="31">
        <v>4.082559558120189</v>
      </c>
      <c r="V29" s="32">
        <v>215.88518347275038</v>
      </c>
      <c r="W29" s="30">
        <v>0.98298786660968485</v>
      </c>
      <c r="X29" s="30">
        <v>12.675922963358955</v>
      </c>
      <c r="Y29" s="33">
        <v>0</v>
      </c>
      <c r="Z29" s="32">
        <v>13.65891082996864</v>
      </c>
      <c r="AA29" s="35"/>
      <c r="AB29" s="35"/>
      <c r="AC29" s="35"/>
      <c r="AD29" s="35"/>
      <c r="AE29" s="37">
        <v>872.21427756309822</v>
      </c>
      <c r="AF29">
        <v>307700</v>
      </c>
      <c r="AG29">
        <f t="shared" si="0"/>
        <v>2.8346255364416582</v>
      </c>
    </row>
    <row r="30" spans="1:33" x14ac:dyDescent="0.3">
      <c r="A30" s="27"/>
      <c r="B30" s="12" t="s">
        <v>39</v>
      </c>
      <c r="C30" s="29">
        <v>56.25531024947265</v>
      </c>
      <c r="D30" s="8">
        <v>157.59841820234371</v>
      </c>
      <c r="E30" s="8">
        <v>2.1919243032838986</v>
      </c>
      <c r="F30" s="8">
        <v>1.2849825300698439</v>
      </c>
      <c r="G30" s="8">
        <v>3.5816088359158944</v>
      </c>
      <c r="H30" s="13">
        <v>220.91224412108599</v>
      </c>
      <c r="I30" s="8">
        <v>64.568410590029188</v>
      </c>
      <c r="J30" s="8">
        <v>58.987283486061813</v>
      </c>
      <c r="K30" s="8">
        <v>46.249646337563277</v>
      </c>
      <c r="L30" s="8">
        <v>3.7210299966435709</v>
      </c>
      <c r="M30" s="30">
        <v>16.304225897180306</v>
      </c>
      <c r="N30" s="30">
        <v>5.3784049541561023</v>
      </c>
      <c r="O30" s="13">
        <v>130.64059067160505</v>
      </c>
      <c r="P30" s="30">
        <v>6.0942310057785561E-2</v>
      </c>
      <c r="Q30" s="30">
        <v>0</v>
      </c>
      <c r="R30" s="30">
        <v>0.13359719565153266</v>
      </c>
      <c r="S30" s="30">
        <v>3.1885698067750075</v>
      </c>
      <c r="T30" s="30">
        <v>144.41835567375401</v>
      </c>
      <c r="U30" s="31">
        <v>2.392557297192377</v>
      </c>
      <c r="V30" s="32">
        <v>150.19402228343071</v>
      </c>
      <c r="W30" s="30">
        <v>0.32018555940989712</v>
      </c>
      <c r="X30" s="30">
        <v>2.7658950677748524</v>
      </c>
      <c r="Y30" s="33">
        <v>0</v>
      </c>
      <c r="Z30" s="32">
        <v>3.0860806271847494</v>
      </c>
      <c r="AA30" s="35"/>
      <c r="AB30" s="35"/>
      <c r="AC30" s="35"/>
      <c r="AD30" s="35"/>
      <c r="AE30" s="37">
        <v>504.83293770330647</v>
      </c>
      <c r="AF30">
        <v>209600</v>
      </c>
      <c r="AG30">
        <f t="shared" si="0"/>
        <v>2.4085540920959279</v>
      </c>
    </row>
    <row r="31" spans="1:33" x14ac:dyDescent="0.3">
      <c r="A31" s="27"/>
      <c r="B31" s="12" t="s">
        <v>40</v>
      </c>
      <c r="C31" s="29">
        <v>82.699408151308788</v>
      </c>
      <c r="D31" s="8">
        <v>109.01425582167104</v>
      </c>
      <c r="E31" s="8">
        <v>1.0430630609165641</v>
      </c>
      <c r="F31" s="8">
        <v>1.0206997087807361</v>
      </c>
      <c r="G31" s="8">
        <v>1.0754505427438321</v>
      </c>
      <c r="H31" s="13">
        <v>194.85287728542093</v>
      </c>
      <c r="I31" s="8">
        <v>374.26992756221347</v>
      </c>
      <c r="J31" s="8">
        <v>349.10020360555774</v>
      </c>
      <c r="K31" s="8">
        <v>148.57194710931523</v>
      </c>
      <c r="L31" s="8">
        <v>1.309204693337547</v>
      </c>
      <c r="M31" s="30">
        <v>110.65047730946128</v>
      </c>
      <c r="N31" s="30">
        <v>1.0831484863389287</v>
      </c>
      <c r="O31" s="13">
        <v>610.71498120401077</v>
      </c>
      <c r="P31" s="30">
        <v>9.0298052685785528</v>
      </c>
      <c r="Q31" s="30">
        <v>17.515889146338793</v>
      </c>
      <c r="R31" s="30">
        <v>6.9782504748572838E-2</v>
      </c>
      <c r="S31" s="30">
        <v>20.916876747249887</v>
      </c>
      <c r="T31" s="30">
        <v>193.72828423399599</v>
      </c>
      <c r="U31" s="31">
        <v>4.2528472094059007</v>
      </c>
      <c r="V31" s="32">
        <v>245.5134851103177</v>
      </c>
      <c r="W31" s="30">
        <v>0.86915774504656274</v>
      </c>
      <c r="X31" s="30">
        <v>11.32963972769163</v>
      </c>
      <c r="Y31" s="33">
        <v>0</v>
      </c>
      <c r="Z31" s="32">
        <v>12.198797472738192</v>
      </c>
      <c r="AA31" s="35"/>
      <c r="AB31" s="35"/>
      <c r="AC31" s="35"/>
      <c r="AD31" s="35"/>
      <c r="AE31" s="37">
        <v>1063.2801410724878</v>
      </c>
      <c r="AF31">
        <v>310300</v>
      </c>
      <c r="AG31">
        <f t="shared" si="0"/>
        <v>3.4266198552126585</v>
      </c>
    </row>
    <row r="32" spans="1:33" x14ac:dyDescent="0.3">
      <c r="A32" s="27"/>
      <c r="B32" s="12" t="s">
        <v>41</v>
      </c>
      <c r="C32" s="29">
        <v>62.165921770999141</v>
      </c>
      <c r="D32" s="8">
        <v>180.56000576474605</v>
      </c>
      <c r="E32" s="8">
        <v>3.8656813709132218</v>
      </c>
      <c r="F32" s="8">
        <v>0.72249559600268365</v>
      </c>
      <c r="G32" s="8">
        <v>4.0220963160009022</v>
      </c>
      <c r="H32" s="13">
        <v>251.33620081866201</v>
      </c>
      <c r="I32" s="8">
        <v>58.0355141282189</v>
      </c>
      <c r="J32" s="8">
        <v>50.013717508738502</v>
      </c>
      <c r="K32" s="8">
        <v>50.335458028418671</v>
      </c>
      <c r="L32" s="8">
        <v>1.3697799639050539</v>
      </c>
      <c r="M32" s="30">
        <v>54.979235870772364</v>
      </c>
      <c r="N32" s="30">
        <v>1.5722057435061232</v>
      </c>
      <c r="O32" s="13">
        <v>158.27039711534073</v>
      </c>
      <c r="P32" s="30">
        <v>0.27373307493684734</v>
      </c>
      <c r="Q32" s="30">
        <v>0</v>
      </c>
      <c r="R32" s="30">
        <v>1.2015958578559678</v>
      </c>
      <c r="S32" s="30">
        <v>5.0752515736247572</v>
      </c>
      <c r="T32" s="30">
        <v>161.80754141221095</v>
      </c>
      <c r="U32" s="31">
        <v>2.9465450458556326</v>
      </c>
      <c r="V32" s="32">
        <v>171.30466696448414</v>
      </c>
      <c r="W32" s="30">
        <v>0.38745682759394784</v>
      </c>
      <c r="X32" s="30">
        <v>5.7572570338565168</v>
      </c>
      <c r="Y32" s="33">
        <v>0</v>
      </c>
      <c r="Z32" s="32">
        <v>6.1447138614504642</v>
      </c>
      <c r="AA32" s="35"/>
      <c r="AB32" s="35"/>
      <c r="AC32" s="35"/>
      <c r="AD32" s="35"/>
      <c r="AE32" s="37">
        <v>587.05597875993726</v>
      </c>
      <c r="AF32">
        <v>278400</v>
      </c>
      <c r="AG32">
        <f t="shared" si="0"/>
        <v>2.1086780846262112</v>
      </c>
    </row>
    <row r="33" spans="1:33" x14ac:dyDescent="0.3">
      <c r="A33" s="27"/>
      <c r="B33" s="12" t="s">
        <v>42</v>
      </c>
      <c r="C33" s="29">
        <v>92.471553477381619</v>
      </c>
      <c r="D33" s="8">
        <v>231.11542524147268</v>
      </c>
      <c r="E33" s="8">
        <v>1.9855982266423111</v>
      </c>
      <c r="F33" s="8">
        <v>1.3115912351675192</v>
      </c>
      <c r="G33" s="8">
        <v>2.4938829546493171</v>
      </c>
      <c r="H33" s="13">
        <v>329.37805113531346</v>
      </c>
      <c r="I33" s="8">
        <v>93.50932822318147</v>
      </c>
      <c r="J33" s="8">
        <v>69.576096371962763</v>
      </c>
      <c r="K33" s="8">
        <v>115.93440893804507</v>
      </c>
      <c r="L33" s="8">
        <v>0.80359173954119312</v>
      </c>
      <c r="M33" s="30">
        <v>44.799437775206869</v>
      </c>
      <c r="N33" s="30">
        <v>1.0579306886959234</v>
      </c>
      <c r="O33" s="13">
        <v>232.17146551345184</v>
      </c>
      <c r="P33" s="30">
        <v>4.4086295298263387</v>
      </c>
      <c r="Q33" s="30">
        <v>4.271105876932111E-3</v>
      </c>
      <c r="R33" s="30">
        <v>2.162489406420474</v>
      </c>
      <c r="S33" s="30">
        <v>20.972943738886411</v>
      </c>
      <c r="T33" s="30">
        <v>166.62768407343395</v>
      </c>
      <c r="U33" s="31">
        <v>2.9602881123323082</v>
      </c>
      <c r="V33" s="32">
        <v>197.13630596677643</v>
      </c>
      <c r="W33" s="30">
        <v>0.5861819531045882</v>
      </c>
      <c r="X33" s="30">
        <v>10.922511462890636</v>
      </c>
      <c r="Y33" s="33">
        <v>0</v>
      </c>
      <c r="Z33" s="32">
        <v>11.508693415995225</v>
      </c>
      <c r="AA33" s="35"/>
      <c r="AB33" s="35"/>
      <c r="AC33" s="35"/>
      <c r="AD33" s="35"/>
      <c r="AE33" s="37">
        <v>770.19451603153709</v>
      </c>
      <c r="AF33">
        <v>327500</v>
      </c>
      <c r="AG33">
        <f t="shared" si="0"/>
        <v>2.3517389802489683</v>
      </c>
    </row>
    <row r="34" spans="1:33" x14ac:dyDescent="0.3">
      <c r="A34" s="27"/>
      <c r="B34" s="12" t="s">
        <v>43</v>
      </c>
      <c r="C34" s="29">
        <v>88.501194823627117</v>
      </c>
      <c r="D34" s="8">
        <v>150.03528578776428</v>
      </c>
      <c r="E34" s="8">
        <v>0.88879034001416868</v>
      </c>
      <c r="F34" s="8">
        <v>2.595388604599441</v>
      </c>
      <c r="G34" s="8">
        <v>0.85067554086435149</v>
      </c>
      <c r="H34" s="13">
        <v>242.87133509686936</v>
      </c>
      <c r="I34" s="8">
        <v>537.48962780150225</v>
      </c>
      <c r="J34" s="8">
        <v>503.01386289221216</v>
      </c>
      <c r="K34" s="8">
        <v>382.66217779137844</v>
      </c>
      <c r="L34" s="8">
        <v>2.5121942690595764</v>
      </c>
      <c r="M34" s="30">
        <v>241.88551210432971</v>
      </c>
      <c r="N34" s="30">
        <v>1.405024834566853</v>
      </c>
      <c r="O34" s="13">
        <v>1131.4787718915468</v>
      </c>
      <c r="P34" s="30">
        <v>0</v>
      </c>
      <c r="Q34" s="30">
        <v>7.1851260285828342</v>
      </c>
      <c r="R34" s="30">
        <v>1.3886109934208644</v>
      </c>
      <c r="S34" s="30">
        <v>28.452826534316408</v>
      </c>
      <c r="T34" s="30">
        <v>193.71981283588801</v>
      </c>
      <c r="U34" s="31">
        <v>6.0229383749736529</v>
      </c>
      <c r="V34" s="32">
        <v>236.76931476718175</v>
      </c>
      <c r="W34" s="30">
        <v>2.0740797600697145</v>
      </c>
      <c r="X34" s="30">
        <v>20.984128151999034</v>
      </c>
      <c r="Y34" s="33">
        <v>0</v>
      </c>
      <c r="Z34" s="32">
        <v>23.058207912068749</v>
      </c>
      <c r="AA34" s="35"/>
      <c r="AB34" s="35"/>
      <c r="AC34" s="35"/>
      <c r="AD34" s="35"/>
      <c r="AE34" s="37">
        <v>1634.1776296676669</v>
      </c>
      <c r="AF34">
        <v>204300</v>
      </c>
      <c r="AG34">
        <f t="shared" si="0"/>
        <v>7.9989115500130543</v>
      </c>
    </row>
    <row r="35" spans="1:33" x14ac:dyDescent="0.3">
      <c r="A35" s="27"/>
      <c r="B35" s="1"/>
      <c r="C35" s="1"/>
      <c r="D35" s="3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8"/>
      <c r="W35" s="1"/>
      <c r="X35" s="1"/>
      <c r="Y35" s="1"/>
      <c r="Z35" s="1"/>
      <c r="AA35" s="1"/>
      <c r="AB35" s="1"/>
      <c r="AC35" s="1"/>
      <c r="AD35" s="1"/>
      <c r="AE35" s="27"/>
    </row>
    <row r="36" spans="1:33" x14ac:dyDescent="0.3">
      <c r="A36" s="2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38"/>
      <c r="V36" s="1"/>
      <c r="W36" s="1"/>
      <c r="X36" s="1"/>
      <c r="Y36" s="1"/>
      <c r="Z36" s="1"/>
      <c r="AA36" s="1"/>
      <c r="AB36" s="1"/>
      <c r="AC36" s="1"/>
      <c r="AD36" s="1"/>
      <c r="AE36" s="27"/>
    </row>
    <row r="37" spans="1:33" x14ac:dyDescent="0.3">
      <c r="A37" s="2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27"/>
    </row>
    <row r="38" spans="1:33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spans="1:33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</row>
    <row r="40" spans="1:33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 spans="1:33" x14ac:dyDescent="0.3">
      <c r="A41" s="27"/>
      <c r="B41" s="27"/>
      <c r="C41" s="27"/>
      <c r="D41" s="39"/>
      <c r="E41" s="39"/>
      <c r="F41" s="39"/>
      <c r="G41" s="39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</row>
    <row r="42" spans="1:33" x14ac:dyDescent="0.3">
      <c r="A42" s="27"/>
      <c r="B42" s="27"/>
      <c r="C42" s="27"/>
      <c r="D42" s="39"/>
      <c r="E42" s="39"/>
      <c r="F42" s="39"/>
      <c r="G42" s="39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B73B-6313-47BF-BDE9-6F1924BCDA4F}">
  <dimension ref="A1:AW43"/>
  <sheetViews>
    <sheetView topLeftCell="K1" zoomScaleNormal="100" workbookViewId="0">
      <selection activeCell="Y3" sqref="Y3"/>
    </sheetView>
  </sheetViews>
  <sheetFormatPr defaultRowHeight="14.4" x14ac:dyDescent="0.3"/>
  <cols>
    <col min="2" max="2" width="20.21875" customWidth="1"/>
    <col min="3" max="3" width="14.5546875" customWidth="1"/>
    <col min="4" max="4" width="10.6640625" customWidth="1"/>
    <col min="6" max="6" width="13.88671875" customWidth="1"/>
    <col min="7" max="7" width="12" customWidth="1"/>
    <col min="8" max="8" width="12.33203125" customWidth="1"/>
    <col min="9" max="9" width="14.6640625" customWidth="1"/>
    <col min="10" max="10" width="13.33203125" customWidth="1"/>
    <col min="11" max="11" width="12.88671875" customWidth="1"/>
    <col min="12" max="13" width="13.33203125" customWidth="1"/>
    <col min="14" max="14" width="14.44140625" customWidth="1"/>
    <col min="15" max="15" width="10.6640625" customWidth="1"/>
    <col min="17" max="17" width="10.88671875" customWidth="1"/>
    <col min="18" max="18" width="10.77734375" customWidth="1"/>
    <col min="19" max="19" width="11.6640625" customWidth="1"/>
    <col min="20" max="20" width="13.21875" customWidth="1"/>
    <col min="22" max="22" width="11.77734375" customWidth="1"/>
    <col min="23" max="23" width="20.5546875" customWidth="1"/>
    <col min="24" max="24" width="20.6640625" customWidth="1"/>
    <col min="25" max="25" width="13.5546875" customWidth="1"/>
    <col min="26" max="26" width="11.44140625" customWidth="1"/>
    <col min="27" max="27" width="10.5546875" customWidth="1"/>
    <col min="28" max="28" width="11.6640625" customWidth="1"/>
    <col min="29" max="29" width="11.21875" customWidth="1"/>
    <col min="30" max="30" width="13.77734375" customWidth="1"/>
    <col min="36" max="36" width="12.21875" customWidth="1"/>
    <col min="37" max="37" width="15.44140625" customWidth="1"/>
  </cols>
  <sheetData>
    <row r="1" spans="1:49" ht="28.2" thickBot="1" x14ac:dyDescent="0.35">
      <c r="A1" s="27"/>
      <c r="B1" s="92" t="s">
        <v>93</v>
      </c>
      <c r="C1" s="43"/>
      <c r="D1" s="44"/>
      <c r="E1" s="45" t="s">
        <v>52</v>
      </c>
      <c r="F1" s="45" t="s">
        <v>53</v>
      </c>
      <c r="G1" s="93"/>
      <c r="H1" s="94"/>
      <c r="I1" s="44"/>
      <c r="J1" s="45" t="s">
        <v>52</v>
      </c>
      <c r="K1" s="45" t="s">
        <v>53</v>
      </c>
      <c r="L1" s="93"/>
      <c r="M1" s="81" t="s">
        <v>8</v>
      </c>
      <c r="N1" s="95"/>
      <c r="O1" s="44" t="s">
        <v>54</v>
      </c>
      <c r="P1" s="46" t="s">
        <v>55</v>
      </c>
      <c r="Q1" s="47" t="s">
        <v>54</v>
      </c>
      <c r="R1" s="46" t="s">
        <v>55</v>
      </c>
      <c r="S1" s="47" t="s">
        <v>54</v>
      </c>
      <c r="T1" s="45" t="s">
        <v>55</v>
      </c>
      <c r="U1" s="47" t="s">
        <v>54</v>
      </c>
      <c r="V1" s="67" t="s">
        <v>55</v>
      </c>
      <c r="W1" s="101" t="s">
        <v>91</v>
      </c>
      <c r="X1" s="102" t="s">
        <v>92</v>
      </c>
      <c r="Y1" s="48"/>
      <c r="Z1" s="49"/>
      <c r="AA1" s="40"/>
      <c r="AB1" s="40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</row>
    <row r="2" spans="1:49" ht="15.6" x14ac:dyDescent="0.3">
      <c r="A2" s="27"/>
      <c r="B2" s="50" t="s">
        <v>13</v>
      </c>
      <c r="C2" s="51" t="s">
        <v>56</v>
      </c>
      <c r="D2" s="52">
        <v>145096.02115924627</v>
      </c>
      <c r="E2" s="53">
        <v>2637.166702259924</v>
      </c>
      <c r="F2" s="53">
        <v>9429.339664013798</v>
      </c>
      <c r="G2" s="53">
        <v>0</v>
      </c>
      <c r="H2" s="54">
        <v>2592.1491937920978</v>
      </c>
      <c r="I2" s="52">
        <v>567627061.61372566</v>
      </c>
      <c r="J2" s="55">
        <v>10281526.851315835</v>
      </c>
      <c r="K2" s="55">
        <v>48222050.035868868</v>
      </c>
      <c r="L2" s="56">
        <v>0</v>
      </c>
      <c r="M2" s="82">
        <v>3896822.6611414813</v>
      </c>
      <c r="N2" s="83">
        <v>630027461.16205192</v>
      </c>
      <c r="O2" s="57">
        <v>609.33840776839986</v>
      </c>
      <c r="P2" s="56">
        <v>1972.4680722920723</v>
      </c>
      <c r="Q2" s="58">
        <v>0.23571199074018409</v>
      </c>
      <c r="R2" s="58">
        <v>1.1459423606099198E-2</v>
      </c>
      <c r="S2" s="58">
        <v>9.3216672192694069E-2</v>
      </c>
      <c r="T2" s="58">
        <v>8.4820960509983945E-2</v>
      </c>
      <c r="U2" s="55">
        <v>643.00977585032729</v>
      </c>
      <c r="V2" s="86">
        <v>1998.0312041142001</v>
      </c>
      <c r="W2" s="88">
        <v>218900</v>
      </c>
      <c r="X2" s="87">
        <v>2878.1519468344081</v>
      </c>
      <c r="Y2" s="59"/>
      <c r="Z2" s="49"/>
      <c r="AA2" s="40"/>
      <c r="AB2" s="60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</row>
    <row r="3" spans="1:49" ht="15.6" x14ac:dyDescent="0.3">
      <c r="A3" s="27"/>
      <c r="B3" s="50" t="s">
        <v>14</v>
      </c>
      <c r="C3" s="51" t="s">
        <v>57</v>
      </c>
      <c r="D3" s="52">
        <v>341742.39697730343</v>
      </c>
      <c r="E3" s="53">
        <v>10081.621020127051</v>
      </c>
      <c r="F3" s="53">
        <v>20000.265491068654</v>
      </c>
      <c r="G3" s="53">
        <v>116.19416904860768</v>
      </c>
      <c r="H3" s="54">
        <v>0</v>
      </c>
      <c r="I3" s="52">
        <v>1339116063.9493086</v>
      </c>
      <c r="J3" s="55">
        <v>39301737.303441517</v>
      </c>
      <c r="K3" s="55">
        <v>102282220.9832702</v>
      </c>
      <c r="L3" s="53">
        <v>473086.03001758811</v>
      </c>
      <c r="M3" s="82">
        <v>0</v>
      </c>
      <c r="N3" s="83">
        <v>1481173108.2660379</v>
      </c>
      <c r="O3" s="61">
        <v>482.10597478152016</v>
      </c>
      <c r="P3" s="53">
        <v>13688.845305772253</v>
      </c>
      <c r="Q3" s="62">
        <v>0.18649433158114878</v>
      </c>
      <c r="R3" s="62">
        <v>8.4773851492049204E-2</v>
      </c>
      <c r="S3" s="62">
        <v>7.3752637352919592E-2</v>
      </c>
      <c r="T3" s="62">
        <v>0.58753702961400267</v>
      </c>
      <c r="U3" s="55">
        <v>508.74661900221889</v>
      </c>
      <c r="V3" s="55">
        <v>13866.050686884528</v>
      </c>
      <c r="W3" s="88">
        <v>389300</v>
      </c>
      <c r="X3" s="87">
        <v>3804.7087291704033</v>
      </c>
      <c r="Y3" s="59"/>
      <c r="Z3" s="49"/>
      <c r="AA3" s="40"/>
      <c r="AB3" s="40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</row>
    <row r="4" spans="1:49" ht="15.6" x14ac:dyDescent="0.3">
      <c r="A4" s="27"/>
      <c r="B4" s="50" t="s">
        <v>15</v>
      </c>
      <c r="C4" s="51" t="s">
        <v>58</v>
      </c>
      <c r="D4" s="52">
        <v>197821.05795343695</v>
      </c>
      <c r="E4" s="53">
        <v>1208.9515582460995</v>
      </c>
      <c r="F4" s="53">
        <v>7212.3792886928395</v>
      </c>
      <c r="G4" s="53">
        <v>5737.4734628047099</v>
      </c>
      <c r="H4" s="54">
        <v>1187.5295164333368</v>
      </c>
      <c r="I4" s="52">
        <v>774724288.3383019</v>
      </c>
      <c r="J4" s="55">
        <v>4707938.6200634744</v>
      </c>
      <c r="K4" s="55">
        <v>36884418.986871436</v>
      </c>
      <c r="L4" s="53">
        <v>23379055.690543462</v>
      </c>
      <c r="M4" s="82">
        <v>1769215.5977708308</v>
      </c>
      <c r="N4" s="83">
        <v>841464917.23355103</v>
      </c>
      <c r="O4" s="61">
        <v>463.50766743684414</v>
      </c>
      <c r="P4" s="53">
        <v>3436.344694061997</v>
      </c>
      <c r="Q4" s="62">
        <v>0.17929989907415092</v>
      </c>
      <c r="R4" s="62">
        <v>2.1355154215778795E-2</v>
      </c>
      <c r="S4" s="62">
        <v>7.0907465775048875E-2</v>
      </c>
      <c r="T4" s="62">
        <v>0.14720697842562117</v>
      </c>
      <c r="U4" s="55">
        <v>489.12058971466251</v>
      </c>
      <c r="V4" s="55">
        <v>3480.7462524882267</v>
      </c>
      <c r="W4" s="88">
        <v>246500</v>
      </c>
      <c r="X4" s="87">
        <v>3413.6507798521338</v>
      </c>
      <c r="Y4" s="59"/>
      <c r="Z4" s="49"/>
      <c r="AA4" s="40"/>
      <c r="AB4" s="40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</row>
    <row r="5" spans="1:49" ht="15.6" x14ac:dyDescent="0.3">
      <c r="A5" s="27"/>
      <c r="B5" s="50" t="s">
        <v>16</v>
      </c>
      <c r="C5" s="51" t="s">
        <v>59</v>
      </c>
      <c r="D5" s="52">
        <v>219967.61477237992</v>
      </c>
      <c r="E5" s="53">
        <v>12104.215523167873</v>
      </c>
      <c r="F5" s="53">
        <v>21889.100449951689</v>
      </c>
      <c r="G5" s="53">
        <v>195.34923452218609</v>
      </c>
      <c r="H5" s="54">
        <v>0</v>
      </c>
      <c r="I5" s="52">
        <v>861252741.44955277</v>
      </c>
      <c r="J5" s="55">
        <v>47170370.70313333</v>
      </c>
      <c r="K5" s="55">
        <v>111941804.48988284</v>
      </c>
      <c r="L5" s="53">
        <v>795739.37369420077</v>
      </c>
      <c r="M5" s="82">
        <v>0</v>
      </c>
      <c r="N5" s="83">
        <v>1021160656.0162631</v>
      </c>
      <c r="O5" s="61">
        <v>946.02117964063893</v>
      </c>
      <c r="P5" s="53">
        <v>13039.758958022203</v>
      </c>
      <c r="Q5" s="62">
        <v>0.36595187943614227</v>
      </c>
      <c r="R5" s="62">
        <v>8.4190760111911719E-2</v>
      </c>
      <c r="S5" s="62">
        <v>0.14472244825805408</v>
      </c>
      <c r="T5" s="62">
        <v>0.55940148235234655</v>
      </c>
      <c r="U5" s="55">
        <v>998.29726620744259</v>
      </c>
      <c r="V5" s="55">
        <v>13208.565368766</v>
      </c>
      <c r="W5" s="88">
        <v>339800</v>
      </c>
      <c r="X5" s="87">
        <v>3005.1814479583963</v>
      </c>
      <c r="Y5" s="59"/>
      <c r="Z5" s="49"/>
      <c r="AA5" s="40"/>
      <c r="AB5" s="40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</row>
    <row r="6" spans="1:49" ht="15.6" x14ac:dyDescent="0.3">
      <c r="A6" s="27"/>
      <c r="B6" s="50" t="s">
        <v>17</v>
      </c>
      <c r="C6" s="51" t="s">
        <v>60</v>
      </c>
      <c r="D6" s="52">
        <v>276519.57630094298</v>
      </c>
      <c r="E6" s="53">
        <v>1479.2362599245421</v>
      </c>
      <c r="F6" s="53">
        <v>14787.915039605403</v>
      </c>
      <c r="G6" s="53">
        <v>5654.0628824635924</v>
      </c>
      <c r="H6" s="54">
        <v>0</v>
      </c>
      <c r="I6" s="52">
        <v>1083097681.4563551</v>
      </c>
      <c r="J6" s="55">
        <v>5761664.9311558595</v>
      </c>
      <c r="K6" s="55">
        <v>75626035.796284154</v>
      </c>
      <c r="L6" s="53">
        <v>22968811.30303362</v>
      </c>
      <c r="M6" s="82">
        <v>0</v>
      </c>
      <c r="N6" s="83">
        <v>1187454193.4868288</v>
      </c>
      <c r="O6" s="61">
        <v>288.28159225229342</v>
      </c>
      <c r="P6" s="53">
        <v>2438.3763423226683</v>
      </c>
      <c r="Q6" s="62">
        <v>0.11151673214297916</v>
      </c>
      <c r="R6" s="62">
        <v>1.5996767425894544E-2</v>
      </c>
      <c r="S6" s="62">
        <v>4.4101357048190161E-2</v>
      </c>
      <c r="T6" s="62">
        <v>0.10444506901112509</v>
      </c>
      <c r="U6" s="55">
        <v>304.21171495622855</v>
      </c>
      <c r="V6" s="55">
        <v>2469.900892073631</v>
      </c>
      <c r="W6" s="88">
        <v>330000</v>
      </c>
      <c r="X6" s="87">
        <v>3598.3460408691781</v>
      </c>
      <c r="Y6" s="59"/>
      <c r="Z6" s="49"/>
      <c r="AA6" s="40"/>
      <c r="AB6" s="40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</row>
    <row r="7" spans="1:49" ht="15.6" x14ac:dyDescent="0.3">
      <c r="A7" s="27"/>
      <c r="B7" s="50" t="s">
        <v>18</v>
      </c>
      <c r="C7" s="51" t="s">
        <v>61</v>
      </c>
      <c r="D7" s="52">
        <v>124558.94248067532</v>
      </c>
      <c r="E7" s="53">
        <v>12062.941550882641</v>
      </c>
      <c r="F7" s="53">
        <v>23892.356650157133</v>
      </c>
      <c r="G7" s="53">
        <v>0</v>
      </c>
      <c r="H7" s="54">
        <v>0</v>
      </c>
      <c r="I7" s="52">
        <v>490049489.14223474</v>
      </c>
      <c r="J7" s="55">
        <v>47016888.300577782</v>
      </c>
      <c r="K7" s="55">
        <v>122186543.16332789</v>
      </c>
      <c r="L7" s="53">
        <v>0</v>
      </c>
      <c r="M7" s="82">
        <v>0</v>
      </c>
      <c r="N7" s="83">
        <v>659252920.60614049</v>
      </c>
      <c r="O7" s="61">
        <v>1178.0060202415848</v>
      </c>
      <c r="P7" s="53">
        <v>65245.288002062676</v>
      </c>
      <c r="Q7" s="62">
        <v>0.45569118997764579</v>
      </c>
      <c r="R7" s="62">
        <v>0.28361092512209141</v>
      </c>
      <c r="S7" s="62">
        <v>0.18021152060977097</v>
      </c>
      <c r="T7" s="62">
        <v>2.84885302238377</v>
      </c>
      <c r="U7" s="55">
        <v>1243.1013331327376</v>
      </c>
      <c r="V7" s="55">
        <v>66101.336475861084</v>
      </c>
      <c r="W7" s="88">
        <v>210100</v>
      </c>
      <c r="X7" s="87">
        <v>3137.8054288726344</v>
      </c>
      <c r="Y7" s="59"/>
      <c r="Z7" s="49"/>
      <c r="AA7" s="40"/>
      <c r="AB7" s="40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</row>
    <row r="8" spans="1:49" ht="15.6" x14ac:dyDescent="0.3">
      <c r="A8" s="27"/>
      <c r="B8" s="50" t="s">
        <v>19</v>
      </c>
      <c r="C8" s="51" t="s">
        <v>62</v>
      </c>
      <c r="D8" s="52">
        <v>40781.313787077932</v>
      </c>
      <c r="E8" s="53">
        <v>8.4247713927460186</v>
      </c>
      <c r="F8" s="53">
        <v>7820.6749534721266</v>
      </c>
      <c r="G8" s="53">
        <v>203.51952697302286</v>
      </c>
      <c r="H8" s="54">
        <v>10333.671105849122</v>
      </c>
      <c r="I8" s="52">
        <v>160815654.20982879</v>
      </c>
      <c r="J8" s="55">
        <v>32808.019754453133</v>
      </c>
      <c r="K8" s="55">
        <v>39995269.272129118</v>
      </c>
      <c r="L8" s="53">
        <v>829062.8892082395</v>
      </c>
      <c r="M8" s="82">
        <v>16385690.191191146</v>
      </c>
      <c r="N8" s="83">
        <v>218058484.58211172</v>
      </c>
      <c r="O8" s="61">
        <v>631.44217885070475</v>
      </c>
      <c r="P8" s="53">
        <v>2052.3311646097568</v>
      </c>
      <c r="Q8" s="62">
        <v>0.24426245107265596</v>
      </c>
      <c r="R8" s="62">
        <v>1.2026285751891779E-2</v>
      </c>
      <c r="S8" s="62">
        <v>9.6598110088177466E-2</v>
      </c>
      <c r="T8" s="62">
        <v>8.8461074609826607E-2</v>
      </c>
      <c r="U8" s="55">
        <v>666.33497693379798</v>
      </c>
      <c r="V8" s="55">
        <v>2078.9932219872826</v>
      </c>
      <c r="W8" s="88">
        <v>8600</v>
      </c>
      <c r="X8" s="87">
        <v>25355.637742106013</v>
      </c>
      <c r="Y8" s="59"/>
      <c r="Z8" s="49"/>
      <c r="AA8" s="40"/>
      <c r="AB8" s="40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</row>
    <row r="9" spans="1:49" ht="15.6" x14ac:dyDescent="0.3">
      <c r="A9" s="27"/>
      <c r="B9" s="50" t="s">
        <v>20</v>
      </c>
      <c r="C9" s="51" t="s">
        <v>63</v>
      </c>
      <c r="D9" s="52">
        <v>273956.42049047345</v>
      </c>
      <c r="E9" s="53">
        <v>3851.5302592797952</v>
      </c>
      <c r="F9" s="53">
        <v>20630.3793618409</v>
      </c>
      <c r="G9" s="53">
        <v>261.47969645835394</v>
      </c>
      <c r="H9" s="54">
        <v>0</v>
      </c>
      <c r="I9" s="52">
        <v>1072697759.7383871</v>
      </c>
      <c r="J9" s="55">
        <v>15009412.279349983</v>
      </c>
      <c r="K9" s="55">
        <v>105504650.51570472</v>
      </c>
      <c r="L9" s="53">
        <v>1065531.9737249385</v>
      </c>
      <c r="M9" s="82">
        <v>0</v>
      </c>
      <c r="N9" s="83">
        <v>1194277354.5071666</v>
      </c>
      <c r="O9" s="61">
        <v>167.32445231223832</v>
      </c>
      <c r="P9" s="53">
        <v>13349.126788727775</v>
      </c>
      <c r="Q9" s="62">
        <v>6.4726561219852444E-2</v>
      </c>
      <c r="R9" s="62">
        <v>8.3023115046210391E-2</v>
      </c>
      <c r="S9" s="62">
        <v>2.5597317389092503E-2</v>
      </c>
      <c r="T9" s="62">
        <v>0.57222651376415612</v>
      </c>
      <c r="U9" s="55">
        <v>176.5706169246842</v>
      </c>
      <c r="V9" s="55">
        <v>13521.725867705651</v>
      </c>
      <c r="W9" s="88">
        <v>390800</v>
      </c>
      <c r="X9" s="87">
        <v>3055.9809480736094</v>
      </c>
      <c r="Y9" s="59"/>
      <c r="Z9" s="49"/>
      <c r="AA9" s="40"/>
      <c r="AB9" s="40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</row>
    <row r="10" spans="1:49" ht="15.6" x14ac:dyDescent="0.3">
      <c r="A10" s="27"/>
      <c r="B10" s="50" t="s">
        <v>21</v>
      </c>
      <c r="C10" s="51" t="s">
        <v>64</v>
      </c>
      <c r="D10" s="52">
        <v>281455.8148044392</v>
      </c>
      <c r="E10" s="53">
        <v>4406.9736480503543</v>
      </c>
      <c r="F10" s="53">
        <v>20605.496258060317</v>
      </c>
      <c r="G10" s="53">
        <v>0</v>
      </c>
      <c r="H10" s="54">
        <v>0</v>
      </c>
      <c r="I10" s="52">
        <v>1102091528.1031184</v>
      </c>
      <c r="J10" s="55">
        <v>17166640.41723153</v>
      </c>
      <c r="K10" s="55">
        <v>105377397.24895324</v>
      </c>
      <c r="L10" s="53">
        <v>0</v>
      </c>
      <c r="M10" s="82">
        <v>0</v>
      </c>
      <c r="N10" s="83">
        <v>1224635565.7693033</v>
      </c>
      <c r="O10" s="61">
        <v>666.0973424872783</v>
      </c>
      <c r="P10" s="53">
        <v>19952.324068782273</v>
      </c>
      <c r="Q10" s="62">
        <v>0.25766819984224354</v>
      </c>
      <c r="R10" s="62">
        <v>0.12024548030951314</v>
      </c>
      <c r="S10" s="62">
        <v>0.10189966171746936</v>
      </c>
      <c r="T10" s="62">
        <v>0.8593577987467147</v>
      </c>
      <c r="U10" s="55">
        <v>702.90514667514026</v>
      </c>
      <c r="V10" s="55">
        <v>20211.418829816532</v>
      </c>
      <c r="W10" s="88">
        <v>367100</v>
      </c>
      <c r="X10" s="87">
        <v>3335.97266621984</v>
      </c>
      <c r="Y10" s="59"/>
      <c r="Z10" s="49"/>
      <c r="AA10" s="40"/>
      <c r="AB10" s="40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</row>
    <row r="11" spans="1:49" ht="15.6" x14ac:dyDescent="0.3">
      <c r="A11" s="27"/>
      <c r="B11" s="50" t="s">
        <v>22</v>
      </c>
      <c r="C11" s="51" t="s">
        <v>65</v>
      </c>
      <c r="D11" s="52">
        <v>397629.7086198249</v>
      </c>
      <c r="E11" s="53">
        <v>1231.3566704902712</v>
      </c>
      <c r="F11" s="53">
        <v>5932.651061036021</v>
      </c>
      <c r="G11" s="53">
        <v>200.45596224541586</v>
      </c>
      <c r="H11" s="54">
        <v>0</v>
      </c>
      <c r="I11" s="52">
        <v>1552339143.0250854</v>
      </c>
      <c r="J11" s="55">
        <v>4795865.5568538122</v>
      </c>
      <c r="K11" s="55">
        <v>30339833.594333746</v>
      </c>
      <c r="L11" s="53">
        <v>814055.86702375824</v>
      </c>
      <c r="M11" s="82">
        <v>0</v>
      </c>
      <c r="N11" s="83">
        <v>1588288898.0432966</v>
      </c>
      <c r="O11" s="61">
        <v>732.53123105857412</v>
      </c>
      <c r="P11" s="53">
        <v>13182.158801132842</v>
      </c>
      <c r="Q11" s="62">
        <v>0.28336699697715834</v>
      </c>
      <c r="R11" s="62">
        <v>8.0033024797224017E-2</v>
      </c>
      <c r="S11" s="62">
        <v>0.11206272699365361</v>
      </c>
      <c r="T11" s="62">
        <v>0.56536201775903572</v>
      </c>
      <c r="U11" s="55">
        <v>773.0100986271118</v>
      </c>
      <c r="V11" s="55">
        <v>13352.637508044965</v>
      </c>
      <c r="W11" s="88">
        <v>330000</v>
      </c>
      <c r="X11" s="87">
        <v>4812.9966607372626</v>
      </c>
      <c r="Y11" s="59"/>
      <c r="Z11" s="49"/>
      <c r="AA11" s="40"/>
      <c r="AB11" s="40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</row>
    <row r="12" spans="1:49" ht="15.6" x14ac:dyDescent="0.3">
      <c r="A12" s="27"/>
      <c r="B12" s="50" t="s">
        <v>23</v>
      </c>
      <c r="C12" s="51" t="s">
        <v>66</v>
      </c>
      <c r="D12" s="52">
        <v>252964.79220076776</v>
      </c>
      <c r="E12" s="53">
        <v>781.43263832682351</v>
      </c>
      <c r="F12" s="53">
        <v>10028.154001445022</v>
      </c>
      <c r="G12" s="53">
        <v>3069.122576250355</v>
      </c>
      <c r="H12" s="54">
        <v>5019.9104717727168</v>
      </c>
      <c r="I12" s="52">
        <v>991163626.8011173</v>
      </c>
      <c r="J12" s="55">
        <v>3043080.4872729611</v>
      </c>
      <c r="K12" s="55">
        <v>51284412.403830521</v>
      </c>
      <c r="L12" s="53">
        <v>12504502.524964329</v>
      </c>
      <c r="M12" s="82">
        <v>7651974.6097357571</v>
      </c>
      <c r="N12" s="83">
        <v>1065647596.8269209</v>
      </c>
      <c r="O12" s="61">
        <v>460.6058500789581</v>
      </c>
      <c r="P12" s="53">
        <v>6428.676330566198</v>
      </c>
      <c r="Q12" s="62">
        <v>0.17817738137713471</v>
      </c>
      <c r="R12" s="62">
        <v>4.0568138201487899E-2</v>
      </c>
      <c r="S12" s="62">
        <v>7.0463545362410285E-2</v>
      </c>
      <c r="T12" s="62">
        <v>0.27592624425241391</v>
      </c>
      <c r="U12" s="55">
        <v>486.0584211313847</v>
      </c>
      <c r="V12" s="55">
        <v>6511.9165548084547</v>
      </c>
      <c r="W12" s="88">
        <v>289100</v>
      </c>
      <c r="X12" s="87">
        <v>3686.0864642923584</v>
      </c>
      <c r="Y12" s="59"/>
      <c r="Z12" s="49"/>
      <c r="AA12" s="40"/>
      <c r="AB12" s="40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</row>
    <row r="13" spans="1:49" ht="15.6" x14ac:dyDescent="0.3">
      <c r="A13" s="27"/>
      <c r="B13" s="50" t="s">
        <v>24</v>
      </c>
      <c r="C13" s="51" t="s">
        <v>67</v>
      </c>
      <c r="D13" s="52">
        <v>119317.44463866383</v>
      </c>
      <c r="E13" s="53">
        <v>1686.00395229428</v>
      </c>
      <c r="F13" s="53">
        <v>6487.5544354280319</v>
      </c>
      <c r="G13" s="53">
        <v>0</v>
      </c>
      <c r="H13" s="54">
        <v>0</v>
      </c>
      <c r="I13" s="52">
        <v>467852571.1300863</v>
      </c>
      <c r="J13" s="55">
        <v>6565691.6246515838</v>
      </c>
      <c r="K13" s="55">
        <v>33177633.402004872</v>
      </c>
      <c r="L13" s="53">
        <v>0</v>
      </c>
      <c r="M13" s="82">
        <v>0</v>
      </c>
      <c r="N13" s="83">
        <v>507595896.15674281</v>
      </c>
      <c r="O13" s="61">
        <v>360.22014860945569</v>
      </c>
      <c r="P13" s="53">
        <v>11929.546208874181</v>
      </c>
      <c r="Q13" s="62">
        <v>0.13934491450230746</v>
      </c>
      <c r="R13" s="62">
        <v>6.666524108217875E-2</v>
      </c>
      <c r="S13" s="62">
        <v>5.510652714820153E-2</v>
      </c>
      <c r="T13" s="62">
        <v>0.51291197719537018</v>
      </c>
      <c r="U13" s="55">
        <v>380.12551656217744</v>
      </c>
      <c r="V13" s="55">
        <v>12084.060609105454</v>
      </c>
      <c r="W13" s="88">
        <v>259200</v>
      </c>
      <c r="X13" s="87">
        <v>1958.3175006047177</v>
      </c>
      <c r="Y13" s="59"/>
      <c r="Z13" s="49"/>
      <c r="AA13" s="40"/>
      <c r="AB13" s="40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</row>
    <row r="14" spans="1:49" ht="15.6" x14ac:dyDescent="0.3">
      <c r="A14" s="27"/>
      <c r="B14" s="50" t="s">
        <v>25</v>
      </c>
      <c r="C14" s="51" t="s">
        <v>68</v>
      </c>
      <c r="D14" s="52">
        <v>114601.52215990594</v>
      </c>
      <c r="E14" s="53">
        <v>1685.5721000633168</v>
      </c>
      <c r="F14" s="53">
        <v>9868.5143184946501</v>
      </c>
      <c r="G14" s="53">
        <v>7866.4076267423743</v>
      </c>
      <c r="H14" s="54">
        <v>6.9014007031033824</v>
      </c>
      <c r="I14" s="52">
        <v>450336858.02505952</v>
      </c>
      <c r="J14" s="55">
        <v>6565458.1628905861</v>
      </c>
      <c r="K14" s="55">
        <v>50468008.174770646</v>
      </c>
      <c r="L14" s="53">
        <v>32006672.132496022</v>
      </c>
      <c r="M14" s="82">
        <v>10288.806305145867</v>
      </c>
      <c r="N14" s="83">
        <v>539387285.30152202</v>
      </c>
      <c r="O14" s="61">
        <v>325.03401046294607</v>
      </c>
      <c r="P14" s="53">
        <v>31094.517174646986</v>
      </c>
      <c r="Q14" s="62">
        <v>0.12573376745620615</v>
      </c>
      <c r="R14" s="62">
        <v>0.13890040596783021</v>
      </c>
      <c r="S14" s="62">
        <v>4.9723746966426625E-2</v>
      </c>
      <c r="T14" s="62">
        <v>1.3560509981832227</v>
      </c>
      <c r="U14" s="55">
        <v>342.99503124534635</v>
      </c>
      <c r="V14" s="55">
        <v>31502.092882254783</v>
      </c>
      <c r="W14" s="88">
        <v>183200</v>
      </c>
      <c r="X14" s="87">
        <v>2944.2537407288319</v>
      </c>
      <c r="Y14" s="59"/>
      <c r="Z14" s="49"/>
      <c r="AA14" s="40"/>
      <c r="AB14" s="40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</row>
    <row r="15" spans="1:49" ht="15.6" x14ac:dyDescent="0.3">
      <c r="A15" s="27"/>
      <c r="B15" s="50" t="s">
        <v>26</v>
      </c>
      <c r="C15" s="51" t="s">
        <v>69</v>
      </c>
      <c r="D15" s="52">
        <v>123342.27418749324</v>
      </c>
      <c r="E15" s="53">
        <v>2008.6978039434346</v>
      </c>
      <c r="F15" s="53">
        <v>13077.075485204998</v>
      </c>
      <c r="G15" s="53">
        <v>0</v>
      </c>
      <c r="H15" s="54">
        <v>0</v>
      </c>
      <c r="I15" s="52">
        <v>483715765.14284414</v>
      </c>
      <c r="J15" s="55">
        <v>7824758.2825533655</v>
      </c>
      <c r="K15" s="55">
        <v>66876728.470926657</v>
      </c>
      <c r="L15" s="53">
        <v>0</v>
      </c>
      <c r="M15" s="82">
        <v>0</v>
      </c>
      <c r="N15" s="83">
        <v>558417251.89632416</v>
      </c>
      <c r="O15" s="61">
        <v>261.56630754836061</v>
      </c>
      <c r="P15" s="53">
        <v>5127.9456694284254</v>
      </c>
      <c r="Q15" s="62">
        <v>0.10118238777788849</v>
      </c>
      <c r="R15" s="62">
        <v>3.1519740537157184E-2</v>
      </c>
      <c r="S15" s="62">
        <v>4.0014449173957703E-2</v>
      </c>
      <c r="T15" s="62">
        <v>0.22005435526547587</v>
      </c>
      <c r="U15" s="55">
        <v>276.02017309664717</v>
      </c>
      <c r="V15" s="55">
        <v>5194.3098608109658</v>
      </c>
      <c r="W15" s="88">
        <v>264200</v>
      </c>
      <c r="X15" s="87">
        <v>2113.6156392745047</v>
      </c>
      <c r="Y15" s="59"/>
      <c r="Z15" s="49"/>
      <c r="AA15" s="40"/>
      <c r="AB15" s="40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</row>
    <row r="16" spans="1:49" ht="15.6" x14ac:dyDescent="0.3">
      <c r="A16" s="27"/>
      <c r="B16" s="50" t="s">
        <v>27</v>
      </c>
      <c r="C16" s="51" t="s">
        <v>70</v>
      </c>
      <c r="D16" s="52">
        <v>129338.97926677077</v>
      </c>
      <c r="E16" s="53">
        <v>4303.1207624776307</v>
      </c>
      <c r="F16" s="53">
        <v>10440.440480519585</v>
      </c>
      <c r="G16" s="53">
        <v>192.52970285018927</v>
      </c>
      <c r="H16" s="54">
        <v>0</v>
      </c>
      <c r="I16" s="52">
        <v>507014069.17928511</v>
      </c>
      <c r="J16" s="55">
        <v>16769037.579140779</v>
      </c>
      <c r="K16" s="55">
        <v>53392863.253143013</v>
      </c>
      <c r="L16" s="53">
        <v>784297.46203339007</v>
      </c>
      <c r="M16" s="82">
        <v>0</v>
      </c>
      <c r="N16" s="83">
        <v>577960267.47360229</v>
      </c>
      <c r="O16" s="61">
        <v>192.17193898523118</v>
      </c>
      <c r="P16" s="53">
        <v>5427.4145541749058</v>
      </c>
      <c r="Q16" s="62">
        <v>7.4338380323839368E-2</v>
      </c>
      <c r="R16" s="62">
        <v>3.3073841656372102E-2</v>
      </c>
      <c r="S16" s="62">
        <v>2.9398489267443977E-2</v>
      </c>
      <c r="T16" s="62">
        <v>0.23274699430050377</v>
      </c>
      <c r="U16" s="55">
        <v>202.79114829502547</v>
      </c>
      <c r="V16" s="55">
        <v>5497.6000045178653</v>
      </c>
      <c r="W16" s="88">
        <v>261300</v>
      </c>
      <c r="X16" s="87">
        <v>2211.8647817589067</v>
      </c>
      <c r="Y16" s="59"/>
      <c r="Z16" s="49"/>
      <c r="AA16" s="40"/>
      <c r="AB16" s="40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</row>
    <row r="17" spans="1:49" ht="15.6" x14ac:dyDescent="0.3">
      <c r="A17" s="27"/>
      <c r="B17" s="50" t="s">
        <v>28</v>
      </c>
      <c r="C17" s="51" t="s">
        <v>71</v>
      </c>
      <c r="D17" s="52">
        <v>412543.44876290363</v>
      </c>
      <c r="E17" s="53">
        <v>2029.2582190700418</v>
      </c>
      <c r="F17" s="53">
        <v>12939.322151165965</v>
      </c>
      <c r="G17" s="53">
        <v>794.6021346058925</v>
      </c>
      <c r="H17" s="54">
        <v>560.17251156955956</v>
      </c>
      <c r="I17" s="52">
        <v>1608541910.0799057</v>
      </c>
      <c r="J17" s="55">
        <v>7902403.5946494881</v>
      </c>
      <c r="K17" s="55">
        <v>66172251.9748694</v>
      </c>
      <c r="L17" s="53">
        <v>3238251.6643649247</v>
      </c>
      <c r="M17" s="82">
        <v>837253.31567814271</v>
      </c>
      <c r="N17" s="83">
        <v>1686692070.6294677</v>
      </c>
      <c r="O17" s="61">
        <v>711.60730632143907</v>
      </c>
      <c r="P17" s="53">
        <v>4805.1447206582743</v>
      </c>
      <c r="Q17" s="62">
        <v>0.27527293973243139</v>
      </c>
      <c r="R17" s="62">
        <v>3.0756918525521076E-2</v>
      </c>
      <c r="S17" s="62">
        <v>0.10886178215193695</v>
      </c>
      <c r="T17" s="62">
        <v>0.20603696724213508</v>
      </c>
      <c r="U17" s="55">
        <v>750.92994089602701</v>
      </c>
      <c r="V17" s="55">
        <v>4867.3126598595682</v>
      </c>
      <c r="W17" s="88">
        <v>262000</v>
      </c>
      <c r="X17" s="87">
        <v>6437.7559947689606</v>
      </c>
      <c r="Y17" s="59"/>
      <c r="Z17" s="49"/>
      <c r="AA17" s="40"/>
      <c r="AB17" s="40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</row>
    <row r="18" spans="1:49" ht="15.6" x14ac:dyDescent="0.3">
      <c r="A18" s="27"/>
      <c r="B18" s="50" t="s">
        <v>29</v>
      </c>
      <c r="C18" s="51" t="s">
        <v>72</v>
      </c>
      <c r="D18" s="52">
        <v>443801.52429901471</v>
      </c>
      <c r="E18" s="53">
        <v>6001.0660452923166</v>
      </c>
      <c r="F18" s="53">
        <v>19618.456095167283</v>
      </c>
      <c r="G18" s="53">
        <v>649153.62504076166</v>
      </c>
      <c r="H18" s="54">
        <v>0</v>
      </c>
      <c r="I18" s="52">
        <v>1740354472.8770363</v>
      </c>
      <c r="J18" s="55">
        <v>23389332.173859321</v>
      </c>
      <c r="K18" s="55">
        <v>100329631.25277326</v>
      </c>
      <c r="L18" s="53">
        <v>2613773451.0524402</v>
      </c>
      <c r="M18" s="82">
        <v>0</v>
      </c>
      <c r="N18" s="83">
        <v>4477846887.3561096</v>
      </c>
      <c r="O18" s="61">
        <v>628.14430978956079</v>
      </c>
      <c r="P18" s="53">
        <v>27745.217271603473</v>
      </c>
      <c r="Q18" s="62">
        <v>0.24298672764591633</v>
      </c>
      <c r="R18" s="62">
        <v>0.1445296493112945</v>
      </c>
      <c r="S18" s="62">
        <v>9.6093601632304848E-2</v>
      </c>
      <c r="T18" s="62">
        <v>1.2031279243724986</v>
      </c>
      <c r="U18" s="55">
        <v>662.85487126713554</v>
      </c>
      <c r="V18" s="55">
        <v>28107.362634299261</v>
      </c>
      <c r="W18" s="88">
        <v>305900</v>
      </c>
      <c r="X18" s="87">
        <v>14638.270308454101</v>
      </c>
      <c r="Y18" s="59"/>
      <c r="Z18" s="49"/>
      <c r="AA18" s="40"/>
      <c r="AB18" s="40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</row>
    <row r="19" spans="1:49" ht="15.6" x14ac:dyDescent="0.3">
      <c r="A19" s="27"/>
      <c r="B19" s="50" t="s">
        <v>30</v>
      </c>
      <c r="C19" s="51" t="s">
        <v>73</v>
      </c>
      <c r="D19" s="52">
        <v>318750.31580934738</v>
      </c>
      <c r="E19" s="53">
        <v>556.9833466119785</v>
      </c>
      <c r="F19" s="53">
        <v>7129.4577998728237</v>
      </c>
      <c r="G19" s="53">
        <v>102215.87434817362</v>
      </c>
      <c r="H19" s="54">
        <v>0</v>
      </c>
      <c r="I19" s="52">
        <v>1252289358.4056656</v>
      </c>
      <c r="J19" s="55">
        <v>2169081.3447533324</v>
      </c>
      <c r="K19" s="55">
        <v>36460354.913945094</v>
      </c>
      <c r="L19" s="53">
        <v>416589676.62392712</v>
      </c>
      <c r="M19" s="82">
        <v>0</v>
      </c>
      <c r="N19" s="83">
        <v>1707508471.2882912</v>
      </c>
      <c r="O19" s="61">
        <v>790.096042783798</v>
      </c>
      <c r="P19" s="53">
        <v>4756.6536289454252</v>
      </c>
      <c r="Q19" s="62">
        <v>0.30563494561678117</v>
      </c>
      <c r="R19" s="62">
        <v>3.0066102069730798E-2</v>
      </c>
      <c r="S19" s="62">
        <v>0.12086899969206522</v>
      </c>
      <c r="T19" s="62">
        <v>0.20405640248722681</v>
      </c>
      <c r="U19" s="55">
        <v>833.75587833245288</v>
      </c>
      <c r="V19" s="55">
        <v>4818.214089438362</v>
      </c>
      <c r="W19" s="88">
        <v>288200</v>
      </c>
      <c r="X19" s="87">
        <v>5924.7344597095462</v>
      </c>
      <c r="Y19" s="59"/>
      <c r="Z19" s="49"/>
      <c r="AA19" s="40"/>
      <c r="AB19" s="40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</row>
    <row r="20" spans="1:49" ht="15.6" x14ac:dyDescent="0.3">
      <c r="A20" s="27"/>
      <c r="B20" s="50" t="s">
        <v>31</v>
      </c>
      <c r="C20" s="51" t="s">
        <v>74</v>
      </c>
      <c r="D20" s="52">
        <v>100231.77227266373</v>
      </c>
      <c r="E20" s="53">
        <v>2323.1424973934927</v>
      </c>
      <c r="F20" s="53">
        <v>14583.901783692774</v>
      </c>
      <c r="G20" s="53">
        <v>0</v>
      </c>
      <c r="H20" s="54">
        <v>0</v>
      </c>
      <c r="I20" s="52">
        <v>394067668.10219318</v>
      </c>
      <c r="J20" s="55">
        <v>9048318.0720035136</v>
      </c>
      <c r="K20" s="55">
        <v>74582703.199819848</v>
      </c>
      <c r="L20" s="53">
        <v>0</v>
      </c>
      <c r="M20" s="82">
        <v>0</v>
      </c>
      <c r="N20" s="83">
        <v>477698689.37401658</v>
      </c>
      <c r="O20" s="61">
        <v>504.03329981055208</v>
      </c>
      <c r="P20" s="53">
        <v>110981.85842691561</v>
      </c>
      <c r="Q20" s="62">
        <v>0.19497653681933325</v>
      </c>
      <c r="R20" s="62">
        <v>0.76210992899536967</v>
      </c>
      <c r="S20" s="62">
        <v>7.7107082507262767E-2</v>
      </c>
      <c r="T20" s="62">
        <v>4.7742182409373539</v>
      </c>
      <c r="U20" s="55">
        <v>531.88562381819975</v>
      </c>
      <c r="V20" s="55">
        <v>112423.62821093983</v>
      </c>
      <c r="W20" s="88">
        <v>216600</v>
      </c>
      <c r="X20" s="87">
        <v>2205.4417791967526</v>
      </c>
      <c r="Y20" s="59"/>
      <c r="Z20" s="49"/>
      <c r="AA20" s="40"/>
      <c r="AB20" s="40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</row>
    <row r="21" spans="1:49" ht="15.6" x14ac:dyDescent="0.3">
      <c r="A21" s="27"/>
      <c r="B21" s="50" t="s">
        <v>32</v>
      </c>
      <c r="C21" s="51" t="s">
        <v>75</v>
      </c>
      <c r="D21" s="52">
        <v>130062.50015603295</v>
      </c>
      <c r="E21" s="53">
        <v>295.42252469489233</v>
      </c>
      <c r="F21" s="53">
        <v>8648.080255158442</v>
      </c>
      <c r="G21" s="53">
        <v>0</v>
      </c>
      <c r="H21" s="54">
        <v>16.81711617868211</v>
      </c>
      <c r="I21" s="52">
        <v>511918188.72301662</v>
      </c>
      <c r="J21" s="55">
        <v>1150739.5305327249</v>
      </c>
      <c r="K21" s="55">
        <v>44226655.697854362</v>
      </c>
      <c r="L21" s="53">
        <v>0</v>
      </c>
      <c r="M21" s="82">
        <v>25318.41273281107</v>
      </c>
      <c r="N21" s="83">
        <v>557320902.36413658</v>
      </c>
      <c r="O21" s="61">
        <v>618.28828935792501</v>
      </c>
      <c r="P21" s="53">
        <v>9586.4026856914206</v>
      </c>
      <c r="Q21" s="62">
        <v>0.23917409714848009</v>
      </c>
      <c r="R21" s="62">
        <v>6.6581736209844394E-2</v>
      </c>
      <c r="S21" s="62">
        <v>9.4585826291070429E-2</v>
      </c>
      <c r="T21" s="62">
        <v>0.41163446462113806</v>
      </c>
      <c r="U21" s="55">
        <v>652.45421802137594</v>
      </c>
      <c r="V21" s="55">
        <v>9710.7342995537656</v>
      </c>
      <c r="W21" s="88">
        <v>143400</v>
      </c>
      <c r="X21" s="87">
        <v>3886.4777012840764</v>
      </c>
      <c r="Y21" s="59"/>
      <c r="Z21" s="49"/>
      <c r="AA21" s="40"/>
      <c r="AB21" s="40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</row>
    <row r="22" spans="1:49" ht="15.6" x14ac:dyDescent="0.3">
      <c r="A22" s="27"/>
      <c r="B22" s="50" t="s">
        <v>76</v>
      </c>
      <c r="C22" s="51" t="s">
        <v>77</v>
      </c>
      <c r="D22" s="52">
        <v>170322.87913603088</v>
      </c>
      <c r="E22" s="53">
        <v>544.96190971215617</v>
      </c>
      <c r="F22" s="53">
        <v>4291.2517592901841</v>
      </c>
      <c r="G22" s="53">
        <v>0</v>
      </c>
      <c r="H22" s="54">
        <v>0</v>
      </c>
      <c r="I22" s="52">
        <v>668413982.38046181</v>
      </c>
      <c r="J22" s="55">
        <v>2124034.6900884071</v>
      </c>
      <c r="K22" s="55">
        <v>21945646.718268305</v>
      </c>
      <c r="L22" s="53">
        <v>0</v>
      </c>
      <c r="M22" s="82">
        <v>0</v>
      </c>
      <c r="N22" s="83">
        <v>692483663.78881848</v>
      </c>
      <c r="O22" s="61">
        <v>216.3957504137463</v>
      </c>
      <c r="P22" s="53">
        <v>7589.6552569899541</v>
      </c>
      <c r="Q22" s="62">
        <v>8.3708941480556104E-2</v>
      </c>
      <c r="R22" s="62">
        <v>4.9486673273803662E-2</v>
      </c>
      <c r="S22" s="62">
        <v>3.3104251222380227E-2</v>
      </c>
      <c r="T22" s="62">
        <v>0.32519794514907385</v>
      </c>
      <c r="U22" s="55">
        <v>228.3535408150295</v>
      </c>
      <c r="V22" s="55">
        <v>7687.8014114762227</v>
      </c>
      <c r="W22" s="88">
        <v>168000</v>
      </c>
      <c r="X22" s="87">
        <v>4121.9265701715385</v>
      </c>
      <c r="Y22" s="59"/>
      <c r="Z22" s="49"/>
      <c r="AA22" s="40"/>
      <c r="AB22" s="40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</row>
    <row r="23" spans="1:49" ht="15.6" x14ac:dyDescent="0.3">
      <c r="A23" s="27"/>
      <c r="B23" s="50" t="s">
        <v>33</v>
      </c>
      <c r="C23" s="51" t="s">
        <v>78</v>
      </c>
      <c r="D23" s="52">
        <v>191537.14415995652</v>
      </c>
      <c r="E23" s="53">
        <v>1269.9390387016178</v>
      </c>
      <c r="F23" s="53">
        <v>20107.06461775869</v>
      </c>
      <c r="G23" s="53">
        <v>0</v>
      </c>
      <c r="H23" s="54">
        <v>35.17543854302928</v>
      </c>
      <c r="I23" s="52">
        <v>751363753.33044946</v>
      </c>
      <c r="J23" s="55">
        <v>4946919.1645962857</v>
      </c>
      <c r="K23" s="55">
        <v>102828396.32688296</v>
      </c>
      <c r="L23" s="53">
        <v>0</v>
      </c>
      <c r="M23" s="82">
        <v>52358.439522161701</v>
      </c>
      <c r="N23" s="83">
        <v>859191427.26145089</v>
      </c>
      <c r="O23" s="61">
        <v>457.14185076181599</v>
      </c>
      <c r="P23" s="53">
        <v>11621.002894847728</v>
      </c>
      <c r="Q23" s="62">
        <v>0.17683739334329884</v>
      </c>
      <c r="R23" s="62">
        <v>7.4272482330557318E-2</v>
      </c>
      <c r="S23" s="62">
        <v>6.9933622277462623E-2</v>
      </c>
      <c r="T23" s="62">
        <v>0.49854091338804696</v>
      </c>
      <c r="U23" s="55">
        <v>482.4030050340823</v>
      </c>
      <c r="V23" s="55">
        <v>11771.424899095631</v>
      </c>
      <c r="W23" s="88">
        <v>317600</v>
      </c>
      <c r="X23" s="87">
        <v>2705.2626802942409</v>
      </c>
      <c r="Y23" s="59"/>
      <c r="Z23" s="49"/>
      <c r="AA23" s="40"/>
      <c r="AB23" s="40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</row>
    <row r="24" spans="1:49" ht="15.6" x14ac:dyDescent="0.3">
      <c r="A24" s="27"/>
      <c r="B24" s="50" t="s">
        <v>34</v>
      </c>
      <c r="C24" s="51" t="s">
        <v>79</v>
      </c>
      <c r="D24" s="52">
        <v>179220.2615026244</v>
      </c>
      <c r="E24" s="53">
        <v>2173.6089622223703</v>
      </c>
      <c r="F24" s="53">
        <v>19159.452328075855</v>
      </c>
      <c r="G24" s="53">
        <v>0</v>
      </c>
      <c r="H24" s="54">
        <v>1150.0723854676505</v>
      </c>
      <c r="I24" s="52">
        <v>701700682.04734766</v>
      </c>
      <c r="J24" s="55">
        <v>8468868.8793931771</v>
      </c>
      <c r="K24" s="55">
        <v>97982266.176106453</v>
      </c>
      <c r="L24" s="53">
        <v>0</v>
      </c>
      <c r="M24" s="82">
        <v>1747767.6165309041</v>
      </c>
      <c r="N24" s="83">
        <v>809899584.71937823</v>
      </c>
      <c r="O24" s="61">
        <v>188.70924896127553</v>
      </c>
      <c r="P24" s="53">
        <v>5839.3646848762482</v>
      </c>
      <c r="Q24" s="62">
        <v>7.299889876735606E-2</v>
      </c>
      <c r="R24" s="62">
        <v>3.7883498708779544E-2</v>
      </c>
      <c r="S24" s="62">
        <v>2.8868766478345381E-2</v>
      </c>
      <c r="T24" s="62">
        <v>0.25041426377878634</v>
      </c>
      <c r="U24" s="55">
        <v>199.13711384100637</v>
      </c>
      <c r="V24" s="55">
        <v>5914.9352229500464</v>
      </c>
      <c r="W24" s="88">
        <v>300600</v>
      </c>
      <c r="X24" s="87">
        <v>2694.2767289400472</v>
      </c>
      <c r="Y24" s="59"/>
      <c r="Z24" s="49"/>
      <c r="AA24" s="40"/>
      <c r="AB24" s="40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</row>
    <row r="25" spans="1:49" ht="15.6" x14ac:dyDescent="0.3">
      <c r="A25" s="27"/>
      <c r="B25" s="50" t="s">
        <v>35</v>
      </c>
      <c r="C25" s="51" t="s">
        <v>80</v>
      </c>
      <c r="D25" s="52">
        <v>146247.49472714571</v>
      </c>
      <c r="E25" s="53">
        <v>720.68474629704122</v>
      </c>
      <c r="F25" s="53">
        <v>9845.0184024262544</v>
      </c>
      <c r="G25" s="53">
        <v>0</v>
      </c>
      <c r="H25" s="54">
        <v>0</v>
      </c>
      <c r="I25" s="52">
        <v>572301230.56356943</v>
      </c>
      <c r="J25" s="55">
        <v>2808529.8684300422</v>
      </c>
      <c r="K25" s="55">
        <v>50347849.045853809</v>
      </c>
      <c r="L25" s="53">
        <v>0</v>
      </c>
      <c r="M25" s="82">
        <v>0</v>
      </c>
      <c r="N25" s="83">
        <v>625457609.4778533</v>
      </c>
      <c r="O25" s="61">
        <v>311.12940183402048</v>
      </c>
      <c r="P25" s="53">
        <v>5684.045163214917</v>
      </c>
      <c r="Q25" s="62">
        <v>0.12035501085953866</v>
      </c>
      <c r="R25" s="62">
        <v>3.7602518115229848E-2</v>
      </c>
      <c r="S25" s="62">
        <v>4.7596618054140866E-2</v>
      </c>
      <c r="T25" s="62">
        <v>0.24342419464287229</v>
      </c>
      <c r="U25" s="55">
        <v>328.32206928564295</v>
      </c>
      <c r="V25" s="55">
        <v>5757.5256361713737</v>
      </c>
      <c r="W25" s="88">
        <v>215200</v>
      </c>
      <c r="X25" s="87">
        <v>2906.4015310309169</v>
      </c>
      <c r="Y25" s="59"/>
      <c r="Z25" s="49"/>
      <c r="AA25" s="40"/>
      <c r="AB25" s="40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</row>
    <row r="26" spans="1:49" ht="15.6" x14ac:dyDescent="0.3">
      <c r="A26" s="27"/>
      <c r="B26" s="50" t="s">
        <v>36</v>
      </c>
      <c r="C26" s="51" t="s">
        <v>81</v>
      </c>
      <c r="D26" s="52">
        <v>192275.21733836425</v>
      </c>
      <c r="E26" s="53">
        <v>2160.7505052978681</v>
      </c>
      <c r="F26" s="53">
        <v>23796.586165177079</v>
      </c>
      <c r="G26" s="53">
        <v>15060.656507203912</v>
      </c>
      <c r="H26" s="54">
        <v>4128.1163236319544</v>
      </c>
      <c r="I26" s="52">
        <v>754471614.15800762</v>
      </c>
      <c r="J26" s="55">
        <v>8414465.1477778275</v>
      </c>
      <c r="K26" s="55">
        <v>121696768.76944402</v>
      </c>
      <c r="L26" s="53">
        <v>60519862.339071818</v>
      </c>
      <c r="M26" s="82">
        <v>6278626.8933379091</v>
      </c>
      <c r="N26" s="83">
        <v>951381337.30763924</v>
      </c>
      <c r="O26" s="61">
        <v>473.20637361057771</v>
      </c>
      <c r="P26" s="53">
        <v>8191.2582017743098</v>
      </c>
      <c r="Q26" s="62">
        <v>0.18305167528039265</v>
      </c>
      <c r="R26" s="62">
        <v>5.061202537398992E-2</v>
      </c>
      <c r="S26" s="62">
        <v>7.2391175159791599E-2</v>
      </c>
      <c r="T26" s="62">
        <v>0.35167937366687702</v>
      </c>
      <c r="U26" s="55">
        <v>499.3552356902054</v>
      </c>
      <c r="V26" s="55">
        <v>8297.3239557613888</v>
      </c>
      <c r="W26" s="88">
        <v>351100</v>
      </c>
      <c r="X26" s="87">
        <v>2709.7161415768705</v>
      </c>
      <c r="Y26" s="59"/>
      <c r="Z26" s="49"/>
      <c r="AA26" s="40"/>
      <c r="AB26" s="40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</row>
    <row r="27" spans="1:49" ht="15.6" x14ac:dyDescent="0.3">
      <c r="A27" s="27"/>
      <c r="B27" s="50" t="s">
        <v>37</v>
      </c>
      <c r="C27" s="51" t="s">
        <v>82</v>
      </c>
      <c r="D27" s="52">
        <v>214779.36057251954</v>
      </c>
      <c r="E27" s="53">
        <v>665.03289767078559</v>
      </c>
      <c r="F27" s="53">
        <v>9871.424768268691</v>
      </c>
      <c r="G27" s="53">
        <v>343.59977508267002</v>
      </c>
      <c r="H27" s="54">
        <v>0</v>
      </c>
      <c r="I27" s="52">
        <v>842567820.79242682</v>
      </c>
      <c r="J27" s="55">
        <v>2589792.8177529722</v>
      </c>
      <c r="K27" s="55">
        <v>50482892.340537436</v>
      </c>
      <c r="L27" s="53">
        <v>1396506.0377285772</v>
      </c>
      <c r="M27" s="82">
        <v>0</v>
      </c>
      <c r="N27" s="83">
        <v>897037011.98844576</v>
      </c>
      <c r="O27" s="61">
        <v>244.82930243360576</v>
      </c>
      <c r="P27" s="53">
        <v>12520.506503024586</v>
      </c>
      <c r="Q27" s="62">
        <v>9.470796774407543E-2</v>
      </c>
      <c r="R27" s="62">
        <v>8.5942493504696502E-2</v>
      </c>
      <c r="S27" s="62">
        <v>3.7454019863448006E-2</v>
      </c>
      <c r="T27" s="62">
        <v>0.53733196437995301</v>
      </c>
      <c r="U27" s="55">
        <v>258.35829954651513</v>
      </c>
      <c r="V27" s="55">
        <v>12682.779990747429</v>
      </c>
      <c r="W27" s="88">
        <v>310300</v>
      </c>
      <c r="X27" s="87">
        <v>2890.8701643198383</v>
      </c>
      <c r="Y27" s="59"/>
      <c r="Z27" s="49"/>
      <c r="AA27" s="40"/>
      <c r="AB27" s="40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</row>
    <row r="28" spans="1:49" ht="15.6" x14ac:dyDescent="0.3">
      <c r="A28" s="27"/>
      <c r="B28" s="50" t="s">
        <v>90</v>
      </c>
      <c r="C28" s="51" t="s">
        <v>83</v>
      </c>
      <c r="D28" s="52">
        <v>164140.10857272739</v>
      </c>
      <c r="E28" s="53">
        <v>381.73363228949506</v>
      </c>
      <c r="F28" s="53">
        <v>4680.8791184921438</v>
      </c>
      <c r="G28" s="53">
        <v>36551.532369948945</v>
      </c>
      <c r="H28" s="54">
        <v>0</v>
      </c>
      <c r="I28" s="52">
        <v>643346393.1869446</v>
      </c>
      <c r="J28" s="55">
        <v>1486617.43221818</v>
      </c>
      <c r="K28" s="55">
        <v>23938217.85052748</v>
      </c>
      <c r="L28" s="53">
        <v>148913770.41513532</v>
      </c>
      <c r="M28" s="82">
        <v>0</v>
      </c>
      <c r="N28" s="83">
        <v>817684998.88482571</v>
      </c>
      <c r="O28" s="61">
        <v>141.23579517911375</v>
      </c>
      <c r="P28" s="53">
        <v>5484.1804634063164</v>
      </c>
      <c r="Q28" s="62">
        <v>5.4634616858248712E-2</v>
      </c>
      <c r="R28" s="62">
        <v>3.5377706220974595E-2</v>
      </c>
      <c r="S28" s="62">
        <v>2.1606271085557363E-2</v>
      </c>
      <c r="T28" s="62">
        <v>0.2348334187918536</v>
      </c>
      <c r="U28" s="55">
        <v>149.04032938406607</v>
      </c>
      <c r="V28" s="55">
        <v>5555.0452648618129</v>
      </c>
      <c r="W28" s="88">
        <v>195200</v>
      </c>
      <c r="X28" s="87">
        <v>4188.9600352706238</v>
      </c>
      <c r="Y28" s="59"/>
      <c r="Z28" s="49"/>
      <c r="AA28" s="40"/>
      <c r="AB28" s="40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</row>
    <row r="29" spans="1:49" ht="15.6" x14ac:dyDescent="0.3">
      <c r="A29" s="27"/>
      <c r="B29" s="50" t="s">
        <v>38</v>
      </c>
      <c r="C29" s="51" t="s">
        <v>84</v>
      </c>
      <c r="D29" s="52">
        <v>184633.14254712814</v>
      </c>
      <c r="E29" s="53">
        <v>1003.2520370924672</v>
      </c>
      <c r="F29" s="53">
        <v>19905.248449615119</v>
      </c>
      <c r="G29" s="53">
        <v>1243.4328394838976</v>
      </c>
      <c r="H29" s="54">
        <v>9100.1075994307557</v>
      </c>
      <c r="I29" s="52">
        <v>724883266.36140275</v>
      </c>
      <c r="J29" s="55">
        <v>3908748.8867141698</v>
      </c>
      <c r="K29" s="55">
        <v>101796299.73210149</v>
      </c>
      <c r="L29" s="53">
        <v>5066433.8989448184</v>
      </c>
      <c r="M29" s="82">
        <v>13839172.861442367</v>
      </c>
      <c r="N29" s="83">
        <v>849493921.74060559</v>
      </c>
      <c r="O29" s="61">
        <v>931.51346059009791</v>
      </c>
      <c r="P29" s="53">
        <v>12513.924046780792</v>
      </c>
      <c r="Q29" s="62">
        <v>0.36033982003711912</v>
      </c>
      <c r="R29" s="62">
        <v>7.6913032646067164E-2</v>
      </c>
      <c r="S29" s="62">
        <v>0.14250305543174122</v>
      </c>
      <c r="T29" s="62">
        <v>0.53716808980540975</v>
      </c>
      <c r="U29" s="55">
        <v>982.98786660968483</v>
      </c>
      <c r="V29" s="55">
        <v>12675.922963358955</v>
      </c>
      <c r="W29" s="88">
        <v>307700</v>
      </c>
      <c r="X29" s="87">
        <v>2760.786226001318</v>
      </c>
      <c r="Y29" s="59"/>
      <c r="Z29" s="49"/>
      <c r="AA29" s="40"/>
      <c r="AB29" s="40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</row>
    <row r="30" spans="1:49" ht="15.6" x14ac:dyDescent="0.3">
      <c r="A30" s="27"/>
      <c r="B30" s="50" t="s">
        <v>39</v>
      </c>
      <c r="C30" s="51" t="s">
        <v>85</v>
      </c>
      <c r="D30" s="52">
        <v>146810.91297094637</v>
      </c>
      <c r="E30" s="53">
        <v>133.59719565153267</v>
      </c>
      <c r="F30" s="53">
        <v>3188.5698067750072</v>
      </c>
      <c r="G30" s="53">
        <v>60.942310057785562</v>
      </c>
      <c r="H30" s="54">
        <v>0</v>
      </c>
      <c r="I30" s="52">
        <v>575024046.1024543</v>
      </c>
      <c r="J30" s="55">
        <v>520259.43424015265</v>
      </c>
      <c r="K30" s="55">
        <v>16306483.618569128</v>
      </c>
      <c r="L30" s="53">
        <v>248302.83362998589</v>
      </c>
      <c r="M30" s="82">
        <v>0</v>
      </c>
      <c r="N30" s="83">
        <v>592099091.98889351</v>
      </c>
      <c r="O30" s="61">
        <v>303.41896233732319</v>
      </c>
      <c r="P30" s="53">
        <v>2730.6070330063981</v>
      </c>
      <c r="Q30" s="62">
        <v>0.11737236111995582</v>
      </c>
      <c r="R30" s="62">
        <v>1.7616156184777056E-2</v>
      </c>
      <c r="S30" s="62">
        <v>4.6417073975083906E-2</v>
      </c>
      <c r="T30" s="62">
        <v>0.11693835860347393</v>
      </c>
      <c r="U30" s="55">
        <v>320.18555940989711</v>
      </c>
      <c r="V30" s="55">
        <v>2765.8950677748526</v>
      </c>
      <c r="W30" s="88">
        <v>209600</v>
      </c>
      <c r="X30" s="87">
        <v>2824.9002480386139</v>
      </c>
      <c r="Y30" s="59"/>
      <c r="Z30" s="49"/>
      <c r="AA30" s="40"/>
      <c r="AB30" s="40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</row>
    <row r="31" spans="1:49" ht="15.6" x14ac:dyDescent="0.3">
      <c r="A31" s="27"/>
      <c r="B31" s="50" t="s">
        <v>40</v>
      </c>
      <c r="C31" s="51" t="s">
        <v>86</v>
      </c>
      <c r="D31" s="52">
        <v>197981.13144340192</v>
      </c>
      <c r="E31" s="53">
        <v>69.782504748572833</v>
      </c>
      <c r="F31" s="53">
        <v>20916.876747249888</v>
      </c>
      <c r="G31" s="53">
        <v>9029.8052685785533</v>
      </c>
      <c r="H31" s="54">
        <v>17515.889146338792</v>
      </c>
      <c r="I31" s="52">
        <v>777301990.82212281</v>
      </c>
      <c r="J31" s="55">
        <v>271749.30779459031</v>
      </c>
      <c r="K31" s="55">
        <v>106969810.51063666</v>
      </c>
      <c r="L31" s="53">
        <v>36797603.003102779</v>
      </c>
      <c r="M31" s="82">
        <v>26883928.143279321</v>
      </c>
      <c r="N31" s="83">
        <v>948225081.78693616</v>
      </c>
      <c r="O31" s="61">
        <v>823.64408187399363</v>
      </c>
      <c r="P31" s="53">
        <v>11184.62934408697</v>
      </c>
      <c r="Q31" s="62">
        <v>0.31861242246472843</v>
      </c>
      <c r="R31" s="62">
        <v>6.5131128105797298E-2</v>
      </c>
      <c r="S31" s="62">
        <v>0.12600118325822407</v>
      </c>
      <c r="T31" s="62">
        <v>0.48114800470475211</v>
      </c>
      <c r="U31" s="55">
        <v>869.1577450465627</v>
      </c>
      <c r="V31" s="55">
        <v>11329.63972769163</v>
      </c>
      <c r="W31" s="88">
        <v>310300</v>
      </c>
      <c r="X31" s="87">
        <v>3055.8333283497782</v>
      </c>
      <c r="Y31" s="59"/>
      <c r="Z31" s="49"/>
      <c r="AA31" s="40"/>
      <c r="AB31" s="40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</row>
    <row r="32" spans="1:49" ht="15.6" x14ac:dyDescent="0.3">
      <c r="A32" s="27"/>
      <c r="B32" s="50" t="s">
        <v>41</v>
      </c>
      <c r="C32" s="51" t="s">
        <v>87</v>
      </c>
      <c r="D32" s="52">
        <v>164754.08645806659</v>
      </c>
      <c r="E32" s="53">
        <v>1201.5958578559678</v>
      </c>
      <c r="F32" s="53">
        <v>5075.2515736247569</v>
      </c>
      <c r="G32" s="53">
        <v>273.73307493684734</v>
      </c>
      <c r="H32" s="54">
        <v>0</v>
      </c>
      <c r="I32" s="52">
        <v>646211007.17672777</v>
      </c>
      <c r="J32" s="55">
        <v>4679293.8115034383</v>
      </c>
      <c r="K32" s="55">
        <v>25955055.608186342</v>
      </c>
      <c r="L32" s="53">
        <v>1112463.455400358</v>
      </c>
      <c r="M32" s="82">
        <v>0</v>
      </c>
      <c r="N32" s="83">
        <v>677957820.05181789</v>
      </c>
      <c r="O32" s="61">
        <v>367.16755370146433</v>
      </c>
      <c r="P32" s="53">
        <v>5683.7819086716281</v>
      </c>
      <c r="Q32" s="62">
        <v>0.14203239762143863</v>
      </c>
      <c r="R32" s="62">
        <v>3.3672971791905093E-2</v>
      </c>
      <c r="S32" s="62">
        <v>5.6169342120629365E-2</v>
      </c>
      <c r="T32" s="62">
        <v>0.24373590902715153</v>
      </c>
      <c r="U32" s="55">
        <v>387.45682759394782</v>
      </c>
      <c r="V32" s="55">
        <v>5757.2570338565165</v>
      </c>
      <c r="W32" s="88">
        <v>278400</v>
      </c>
      <c r="X32" s="87">
        <v>2435.1933191516446</v>
      </c>
      <c r="Y32" s="59"/>
      <c r="Z32" s="49"/>
      <c r="AA32" s="40"/>
      <c r="AB32" s="40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</row>
    <row r="33" spans="1:49" ht="15.6" x14ac:dyDescent="0.3">
      <c r="A33" s="27"/>
      <c r="B33" s="50" t="s">
        <v>42</v>
      </c>
      <c r="C33" s="51" t="s">
        <v>88</v>
      </c>
      <c r="D33" s="52">
        <v>169587.97218576627</v>
      </c>
      <c r="E33" s="53">
        <v>2162.4894064204741</v>
      </c>
      <c r="F33" s="53">
        <v>20972.94373888641</v>
      </c>
      <c r="G33" s="53">
        <v>4408.6295298263385</v>
      </c>
      <c r="H33" s="54">
        <v>4.2711058769321113</v>
      </c>
      <c r="I33" s="52">
        <v>664609349.06337512</v>
      </c>
      <c r="J33" s="55">
        <v>8424906.1537050493</v>
      </c>
      <c r="K33" s="55">
        <v>107256539.5258587</v>
      </c>
      <c r="L33" s="53">
        <v>17910103.089828264</v>
      </c>
      <c r="M33" s="82">
        <v>6239.1590447836534</v>
      </c>
      <c r="N33" s="83">
        <v>798207136.99181175</v>
      </c>
      <c r="O33" s="61">
        <v>555.48638820455778</v>
      </c>
      <c r="P33" s="53">
        <v>10782.999462694383</v>
      </c>
      <c r="Q33" s="62">
        <v>0.21488027132951931</v>
      </c>
      <c r="R33" s="62">
        <v>6.8017057248070514E-2</v>
      </c>
      <c r="S33" s="62">
        <v>8.4978382942256403E-2</v>
      </c>
      <c r="T33" s="62">
        <v>0.46245494552030836</v>
      </c>
      <c r="U33" s="55">
        <v>586.18195310458816</v>
      </c>
      <c r="V33" s="55">
        <v>10922.511462890636</v>
      </c>
      <c r="W33" s="88">
        <v>327500</v>
      </c>
      <c r="X33" s="87">
        <v>2437.2737007383566</v>
      </c>
      <c r="Y33" s="59"/>
      <c r="Z33" s="49"/>
      <c r="AA33" s="40"/>
      <c r="AB33" s="40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</row>
    <row r="34" spans="1:49" ht="15.6" x14ac:dyDescent="0.3">
      <c r="A34" s="27"/>
      <c r="B34" s="50" t="s">
        <v>43</v>
      </c>
      <c r="C34" s="51" t="s">
        <v>89</v>
      </c>
      <c r="D34" s="52">
        <v>199742.75121086166</v>
      </c>
      <c r="E34" s="53">
        <v>1388.6109934208644</v>
      </c>
      <c r="F34" s="53">
        <v>28452.826534316409</v>
      </c>
      <c r="G34" s="53">
        <v>0</v>
      </c>
      <c r="H34" s="54">
        <v>7185.1260285828339</v>
      </c>
      <c r="I34" s="52">
        <v>788357583.3440392</v>
      </c>
      <c r="J34" s="55">
        <v>5413523.1241788482</v>
      </c>
      <c r="K34" s="55">
        <v>145508982.99231058</v>
      </c>
      <c r="L34" s="53">
        <v>0</v>
      </c>
      <c r="M34" s="82">
        <v>11015048.416313777</v>
      </c>
      <c r="N34" s="83">
        <v>950295137.87684238</v>
      </c>
      <c r="O34" s="61">
        <v>1965.4700535683953</v>
      </c>
      <c r="P34" s="53">
        <v>20715.344562331138</v>
      </c>
      <c r="Q34" s="62">
        <v>0.7603079884025794</v>
      </c>
      <c r="R34" s="62">
        <v>0.12283652140008985</v>
      </c>
      <c r="S34" s="62">
        <v>0.30067787513843885</v>
      </c>
      <c r="T34" s="62">
        <v>0.89165327729158872</v>
      </c>
      <c r="U34" s="55">
        <v>2074.0797600697147</v>
      </c>
      <c r="V34" s="55">
        <v>20984.128151999033</v>
      </c>
      <c r="W34" s="88">
        <v>204300</v>
      </c>
      <c r="X34" s="87">
        <v>4651.469103655616</v>
      </c>
      <c r="Y34" s="59"/>
      <c r="Z34" s="49"/>
      <c r="AA34" s="40"/>
      <c r="AB34" s="40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</row>
    <row r="35" spans="1:49" x14ac:dyDescent="0.3">
      <c r="A35" s="27"/>
      <c r="B35" s="42"/>
      <c r="C35" s="42"/>
      <c r="D35" s="42"/>
      <c r="E35" s="42"/>
      <c r="F35" s="42"/>
      <c r="G35" s="64"/>
      <c r="H35" s="64"/>
      <c r="I35" s="42"/>
      <c r="J35" s="42"/>
      <c r="K35" s="42"/>
      <c r="L35" s="42"/>
      <c r="M35" s="42"/>
      <c r="N35" s="64"/>
      <c r="O35" s="42"/>
      <c r="P35" s="42"/>
      <c r="Q35" s="42"/>
      <c r="R35" s="42"/>
      <c r="S35" s="63"/>
      <c r="T35" s="63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</row>
    <row r="36" spans="1:49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65"/>
      <c r="Q36" s="65"/>
      <c r="R36" s="66"/>
      <c r="S36" s="65"/>
      <c r="T36" s="66"/>
      <c r="U36" s="41"/>
      <c r="V36" s="41"/>
      <c r="W36" s="69"/>
      <c r="X36" s="40"/>
      <c r="Y36" s="40"/>
      <c r="Z36" s="40"/>
      <c r="AA36" s="40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</row>
    <row r="37" spans="1:49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41"/>
      <c r="Q37" s="41"/>
      <c r="R37" s="41"/>
      <c r="S37" s="41"/>
      <c r="T37" s="41"/>
      <c r="U37" s="41"/>
      <c r="V37" s="41"/>
      <c r="W37" s="40"/>
      <c r="X37" s="40"/>
      <c r="Y37" s="40"/>
      <c r="Z37" s="40"/>
      <c r="AA37" s="40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</row>
    <row r="38" spans="1:49" x14ac:dyDescent="0.3">
      <c r="A38" s="27"/>
      <c r="B38" s="70"/>
      <c r="C38" s="71"/>
      <c r="D38" s="72"/>
      <c r="E38" s="72"/>
      <c r="F38" s="72"/>
      <c r="G38" s="72"/>
      <c r="H38" s="72"/>
      <c r="I38" s="41"/>
      <c r="J38" s="41"/>
      <c r="K38" s="68"/>
      <c r="L38" s="41"/>
      <c r="M38" s="41"/>
      <c r="N38" s="41"/>
      <c r="O38" s="73"/>
      <c r="P38" s="73"/>
      <c r="Q38" s="73"/>
      <c r="R38" s="73"/>
      <c r="S38" s="73"/>
      <c r="T38" s="73"/>
      <c r="U38" s="41"/>
      <c r="V38" s="41"/>
      <c r="W38" s="40"/>
      <c r="X38" s="40"/>
      <c r="Y38" s="40"/>
      <c r="Z38" s="40"/>
      <c r="AA38" s="40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</row>
    <row r="39" spans="1:49" x14ac:dyDescent="0.3">
      <c r="A39" s="27"/>
      <c r="B39" s="70"/>
      <c r="C39" s="71"/>
      <c r="D39" s="72"/>
      <c r="E39" s="72"/>
      <c r="F39" s="72"/>
      <c r="G39" s="72"/>
      <c r="H39" s="72"/>
      <c r="I39" s="41"/>
      <c r="J39" s="41"/>
      <c r="K39" s="74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0"/>
      <c r="X39" s="40"/>
      <c r="Y39" s="40"/>
      <c r="Z39" s="40"/>
      <c r="AA39" s="40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</row>
    <row r="40" spans="1:49" x14ac:dyDescent="0.3">
      <c r="A40" s="27"/>
      <c r="B40" s="70"/>
      <c r="C40" s="71"/>
      <c r="D40" s="75"/>
      <c r="E40" s="76"/>
      <c r="F40" s="76"/>
      <c r="G40" s="76"/>
      <c r="H40" s="76"/>
      <c r="I40" s="41"/>
      <c r="J40" s="41"/>
      <c r="K40" s="68"/>
      <c r="L40" s="41"/>
      <c r="M40" s="41"/>
      <c r="N40" s="41"/>
      <c r="O40" s="41"/>
      <c r="P40" s="41"/>
      <c r="Q40" s="41"/>
      <c r="R40" s="41"/>
      <c r="S40" s="41"/>
      <c r="T40" s="77"/>
      <c r="U40" s="41"/>
      <c r="V40" s="41"/>
      <c r="W40" s="78"/>
      <c r="X40" s="40"/>
      <c r="Y40" s="40"/>
      <c r="Z40" s="40"/>
      <c r="AA40" s="40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</row>
    <row r="41" spans="1:49" x14ac:dyDescent="0.3">
      <c r="A41" s="27"/>
      <c r="B41" s="70"/>
      <c r="C41" s="71"/>
      <c r="D41" s="72"/>
      <c r="E41" s="41"/>
      <c r="F41" s="79"/>
      <c r="G41" s="79"/>
      <c r="H41" s="41"/>
      <c r="I41" s="41"/>
      <c r="J41" s="41"/>
      <c r="K41" s="68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0"/>
      <c r="X41" s="40"/>
      <c r="Y41" s="40"/>
      <c r="Z41" s="40"/>
      <c r="AA41" s="40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</row>
    <row r="42" spans="1:49" x14ac:dyDescent="0.3">
      <c r="A42" s="27"/>
      <c r="B42" s="41"/>
      <c r="C42" s="71"/>
      <c r="D42" s="41"/>
      <c r="E42" s="41"/>
      <c r="F42" s="41"/>
      <c r="G42" s="41"/>
      <c r="H42" s="41"/>
      <c r="I42" s="41"/>
      <c r="J42" s="41"/>
      <c r="K42" s="68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0"/>
      <c r="X42" s="40"/>
      <c r="Y42" s="40"/>
      <c r="Z42" s="40"/>
      <c r="AA42" s="40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27"/>
      <c r="AR42" s="27"/>
      <c r="AS42" s="27"/>
      <c r="AT42" s="27"/>
      <c r="AU42" s="27"/>
      <c r="AV42" s="27"/>
      <c r="AW42" s="27"/>
    </row>
    <row r="43" spans="1:49" x14ac:dyDescent="0.3">
      <c r="A43" s="27"/>
      <c r="B43" s="27"/>
      <c r="C43" s="80"/>
      <c r="D43" s="80"/>
      <c r="E43" s="80"/>
      <c r="F43" s="80"/>
      <c r="G43" s="80"/>
      <c r="H43" s="80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41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</row>
  </sheetData>
  <conditionalFormatting sqref="W2:Y34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766C-0189-4B79-86A8-25AA65400E88}">
  <dimension ref="B1:C33"/>
  <sheetViews>
    <sheetView workbookViewId="0">
      <selection activeCell="C1" sqref="C1:C33"/>
    </sheetView>
  </sheetViews>
  <sheetFormatPr defaultRowHeight="14.4" x14ac:dyDescent="0.3"/>
  <cols>
    <col min="2" max="2" width="36.33203125" customWidth="1"/>
    <col min="3" max="3" width="29.6640625" customWidth="1"/>
    <col min="4" max="4" width="13.6640625" customWidth="1"/>
    <col min="5" max="5" width="17.33203125" customWidth="1"/>
  </cols>
  <sheetData>
    <row r="1" spans="2:3" ht="15.6" x14ac:dyDescent="0.3">
      <c r="B1" s="85" t="s">
        <v>13</v>
      </c>
      <c r="C1" s="84">
        <v>218900</v>
      </c>
    </row>
    <row r="2" spans="2:3" ht="15.6" x14ac:dyDescent="0.3">
      <c r="B2" s="85" t="s">
        <v>14</v>
      </c>
      <c r="C2" s="84">
        <v>389300</v>
      </c>
    </row>
    <row r="3" spans="2:3" ht="15.6" x14ac:dyDescent="0.3">
      <c r="B3" s="85" t="s">
        <v>15</v>
      </c>
      <c r="C3" s="84">
        <v>246500</v>
      </c>
    </row>
    <row r="4" spans="2:3" ht="15.6" x14ac:dyDescent="0.3">
      <c r="B4" s="85" t="s">
        <v>16</v>
      </c>
      <c r="C4" s="84">
        <v>339800</v>
      </c>
    </row>
    <row r="5" spans="2:3" ht="15.6" x14ac:dyDescent="0.3">
      <c r="B5" s="85" t="s">
        <v>17</v>
      </c>
      <c r="C5" s="84">
        <v>330000</v>
      </c>
    </row>
    <row r="6" spans="2:3" ht="15.6" x14ac:dyDescent="0.3">
      <c r="B6" s="85" t="s">
        <v>18</v>
      </c>
      <c r="C6" s="84">
        <v>210100</v>
      </c>
    </row>
    <row r="7" spans="2:3" ht="15.6" x14ac:dyDescent="0.3">
      <c r="B7" s="85" t="s">
        <v>19</v>
      </c>
      <c r="C7" s="84">
        <v>8600</v>
      </c>
    </row>
    <row r="8" spans="2:3" ht="15.6" x14ac:dyDescent="0.3">
      <c r="B8" s="85" t="s">
        <v>20</v>
      </c>
      <c r="C8" s="84">
        <v>390800</v>
      </c>
    </row>
    <row r="9" spans="2:3" ht="15.6" x14ac:dyDescent="0.3">
      <c r="B9" s="85" t="s">
        <v>21</v>
      </c>
      <c r="C9" s="84">
        <v>367100</v>
      </c>
    </row>
    <row r="10" spans="2:3" ht="15.6" x14ac:dyDescent="0.3">
      <c r="B10" s="85" t="s">
        <v>22</v>
      </c>
      <c r="C10" s="84">
        <v>330000</v>
      </c>
    </row>
    <row r="11" spans="2:3" ht="15.6" x14ac:dyDescent="0.3">
      <c r="B11" s="85" t="s">
        <v>23</v>
      </c>
      <c r="C11" s="84">
        <v>289100</v>
      </c>
    </row>
    <row r="12" spans="2:3" ht="15.6" x14ac:dyDescent="0.3">
      <c r="B12" s="85" t="s">
        <v>24</v>
      </c>
      <c r="C12" s="84">
        <v>259200</v>
      </c>
    </row>
    <row r="13" spans="2:3" ht="15.6" x14ac:dyDescent="0.3">
      <c r="B13" s="85" t="s">
        <v>25</v>
      </c>
      <c r="C13" s="84">
        <v>183200</v>
      </c>
    </row>
    <row r="14" spans="2:3" ht="15.6" x14ac:dyDescent="0.3">
      <c r="B14" s="85" t="s">
        <v>26</v>
      </c>
      <c r="C14" s="84">
        <v>264200</v>
      </c>
    </row>
    <row r="15" spans="2:3" ht="15.6" x14ac:dyDescent="0.3">
      <c r="B15" s="85" t="s">
        <v>27</v>
      </c>
      <c r="C15" s="84">
        <v>261300</v>
      </c>
    </row>
    <row r="16" spans="2:3" ht="15.6" x14ac:dyDescent="0.3">
      <c r="B16" s="85" t="s">
        <v>28</v>
      </c>
      <c r="C16" s="84">
        <v>262000</v>
      </c>
    </row>
    <row r="17" spans="2:3" ht="15.6" x14ac:dyDescent="0.3">
      <c r="B17" s="85" t="s">
        <v>29</v>
      </c>
      <c r="C17" s="84">
        <v>305900</v>
      </c>
    </row>
    <row r="18" spans="2:3" ht="15.6" x14ac:dyDescent="0.3">
      <c r="B18" s="85" t="s">
        <v>30</v>
      </c>
      <c r="C18" s="84">
        <v>288200</v>
      </c>
    </row>
    <row r="19" spans="2:3" ht="15.6" x14ac:dyDescent="0.3">
      <c r="B19" s="85" t="s">
        <v>31</v>
      </c>
      <c r="C19" s="84">
        <v>216600</v>
      </c>
    </row>
    <row r="20" spans="2:3" ht="15.6" x14ac:dyDescent="0.3">
      <c r="B20" s="85" t="s">
        <v>32</v>
      </c>
      <c r="C20" s="84">
        <v>143400</v>
      </c>
    </row>
    <row r="21" spans="2:3" ht="15.6" x14ac:dyDescent="0.3">
      <c r="B21" s="85" t="s">
        <v>76</v>
      </c>
      <c r="C21" s="84">
        <v>168000</v>
      </c>
    </row>
    <row r="22" spans="2:3" ht="15.6" x14ac:dyDescent="0.3">
      <c r="B22" s="85" t="s">
        <v>33</v>
      </c>
      <c r="C22" s="84">
        <v>317600</v>
      </c>
    </row>
    <row r="23" spans="2:3" ht="15.6" x14ac:dyDescent="0.3">
      <c r="B23" s="85" t="s">
        <v>34</v>
      </c>
      <c r="C23" s="84">
        <v>300600</v>
      </c>
    </row>
    <row r="24" spans="2:3" ht="15.6" x14ac:dyDescent="0.3">
      <c r="B24" s="85" t="s">
        <v>35</v>
      </c>
      <c r="C24" s="84">
        <v>215200</v>
      </c>
    </row>
    <row r="25" spans="2:3" ht="15.6" x14ac:dyDescent="0.3">
      <c r="B25" s="85" t="s">
        <v>36</v>
      </c>
      <c r="C25" s="84">
        <v>351100</v>
      </c>
    </row>
    <row r="26" spans="2:3" ht="15.6" x14ac:dyDescent="0.3">
      <c r="B26" s="85" t="s">
        <v>37</v>
      </c>
      <c r="C26" s="84">
        <v>310300</v>
      </c>
    </row>
    <row r="27" spans="2:3" ht="15.6" x14ac:dyDescent="0.3">
      <c r="B27" s="85" t="s">
        <v>90</v>
      </c>
      <c r="C27" s="84">
        <v>195200</v>
      </c>
    </row>
    <row r="28" spans="2:3" ht="15.6" x14ac:dyDescent="0.3">
      <c r="B28" s="85" t="s">
        <v>38</v>
      </c>
      <c r="C28" s="84">
        <v>307700</v>
      </c>
    </row>
    <row r="29" spans="2:3" ht="15.6" x14ac:dyDescent="0.3">
      <c r="B29" s="85" t="s">
        <v>39</v>
      </c>
      <c r="C29" s="84">
        <v>209600</v>
      </c>
    </row>
    <row r="30" spans="2:3" ht="15.6" x14ac:dyDescent="0.3">
      <c r="B30" s="85" t="s">
        <v>40</v>
      </c>
      <c r="C30" s="84">
        <v>310300</v>
      </c>
    </row>
    <row r="31" spans="2:3" ht="15.6" x14ac:dyDescent="0.3">
      <c r="B31" s="85" t="s">
        <v>41</v>
      </c>
      <c r="C31" s="84">
        <v>278400</v>
      </c>
    </row>
    <row r="32" spans="2:3" ht="15.6" x14ac:dyDescent="0.3">
      <c r="B32" s="85" t="s">
        <v>42</v>
      </c>
      <c r="C32" s="84">
        <v>327500</v>
      </c>
    </row>
    <row r="33" spans="2:3" ht="15.6" x14ac:dyDescent="0.3">
      <c r="B33" s="85" t="s">
        <v>43</v>
      </c>
      <c r="C33" s="84">
        <v>204300</v>
      </c>
    </row>
  </sheetData>
  <sortState xmlns:xlrd2="http://schemas.microsoft.com/office/spreadsheetml/2017/richdata2" ref="B1:C33">
    <sortCondition ref="B1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Borough KWH</vt:lpstr>
      <vt:lpstr>Borough GHG</vt:lpstr>
      <vt:lpstr>Borough Transport</vt:lpstr>
      <vt:lpstr>Populations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Turab Hossain</dc:creator>
  <cp:lastModifiedBy>Md. Turab Hossain</cp:lastModifiedBy>
  <dcterms:created xsi:type="dcterms:W3CDTF">2015-06-05T18:17:20Z</dcterms:created>
  <dcterms:modified xsi:type="dcterms:W3CDTF">2026-04-16T03:35:42Z</dcterms:modified>
</cp:coreProperties>
</file>